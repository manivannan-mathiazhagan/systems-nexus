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mmathialagan\My SAS Files\VBA Macros\"/>
    </mc:Choice>
  </mc:AlternateContent>
  <xr:revisionPtr revIDLastSave="0" documentId="13_ncr:1_{D16A802E-5BD2-4E1E-AA5F-0246EE47B788}" xr6:coauthVersionLast="47" xr6:coauthVersionMax="47" xr10:uidLastSave="{00000000-0000-0000-0000-000000000000}"/>
  <bookViews>
    <workbookView xWindow="-120" yWindow="-120" windowWidth="36780" windowHeight="16440" activeTab="1" xr2:uid="{4DA9682F-9890-4D3F-A86C-60317A079CDC}"/>
  </bookViews>
  <sheets>
    <sheet name="Instructions" sheetId="5" r:id="rId1"/>
    <sheet name="Sheet1" sheetId="1" r:id="rId2"/>
    <sheet name="Old Report" sheetId="3" r:id="rId3"/>
    <sheet name="New Report" sheetId="4" r:id="rId4"/>
  </sheets>
  <definedNames>
    <definedName name="_xlnm._FilterDatabase" localSheetId="3" hidden="1">'New Report'!$A$1:$K$1357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" l="1"/>
  <c r="E17" i="4"/>
  <c r="E32" i="4"/>
  <c r="E91" i="4"/>
  <c r="E97" i="4"/>
  <c r="E111" i="4"/>
  <c r="E116" i="4"/>
  <c r="E118" i="4"/>
  <c r="E120" i="4"/>
  <c r="E122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N17" i="4"/>
  <c r="N32" i="4"/>
  <c r="N91" i="4"/>
  <c r="N97" i="4"/>
  <c r="N111" i="4"/>
  <c r="N116" i="4"/>
  <c r="N118" i="4"/>
  <c r="N120" i="4"/>
  <c r="N122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898" i="4"/>
  <c r="N899" i="4"/>
  <c r="N900" i="4"/>
  <c r="N901" i="4"/>
  <c r="N902" i="4"/>
  <c r="N903" i="4"/>
  <c r="N904" i="4"/>
  <c r="N905" i="4"/>
  <c r="N906" i="4"/>
  <c r="N907" i="4"/>
  <c r="N908" i="4"/>
  <c r="N909" i="4"/>
  <c r="N910" i="4"/>
  <c r="N911" i="4"/>
  <c r="N912" i="4"/>
  <c r="N913" i="4"/>
  <c r="N914" i="4"/>
  <c r="N915" i="4"/>
  <c r="N916" i="4"/>
  <c r="N917" i="4"/>
  <c r="N918" i="4"/>
  <c r="N919" i="4"/>
  <c r="N920" i="4"/>
  <c r="N921" i="4"/>
  <c r="N922" i="4"/>
  <c r="N923" i="4"/>
  <c r="N924" i="4"/>
  <c r="N925" i="4"/>
  <c r="N926" i="4"/>
  <c r="N927" i="4"/>
  <c r="N928" i="4"/>
  <c r="N929" i="4"/>
  <c r="N930" i="4"/>
  <c r="N931" i="4"/>
  <c r="N932" i="4"/>
  <c r="N933" i="4"/>
  <c r="N934" i="4"/>
  <c r="N935" i="4"/>
  <c r="N936" i="4"/>
  <c r="N937" i="4"/>
  <c r="N938" i="4"/>
  <c r="N939" i="4"/>
  <c r="N940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013" i="4"/>
  <c r="N1014" i="4"/>
  <c r="N1015" i="4"/>
  <c r="N1016" i="4"/>
  <c r="N1017" i="4"/>
  <c r="N1018" i="4"/>
  <c r="N1019" i="4"/>
  <c r="N1020" i="4"/>
  <c r="N1021" i="4"/>
  <c r="N1022" i="4"/>
  <c r="N1023" i="4"/>
  <c r="N1024" i="4"/>
  <c r="N1025" i="4"/>
  <c r="N1026" i="4"/>
  <c r="N1027" i="4"/>
  <c r="N1028" i="4"/>
  <c r="N1029" i="4"/>
  <c r="N1030" i="4"/>
  <c r="N1031" i="4"/>
  <c r="N1032" i="4"/>
  <c r="N1033" i="4"/>
  <c r="N1034" i="4"/>
  <c r="N1035" i="4"/>
  <c r="N1036" i="4"/>
  <c r="N1037" i="4"/>
  <c r="N1038" i="4"/>
  <c r="N1039" i="4"/>
  <c r="N1040" i="4"/>
  <c r="N1041" i="4"/>
  <c r="N1042" i="4"/>
  <c r="N1043" i="4"/>
  <c r="N1044" i="4"/>
  <c r="N1045" i="4"/>
  <c r="N1046" i="4"/>
  <c r="N1047" i="4"/>
  <c r="N1048" i="4"/>
  <c r="N1049" i="4"/>
  <c r="N1050" i="4"/>
  <c r="N1051" i="4"/>
  <c r="N1052" i="4"/>
  <c r="N1053" i="4"/>
  <c r="N1054" i="4"/>
  <c r="N1055" i="4"/>
  <c r="N1056" i="4"/>
  <c r="N1057" i="4"/>
  <c r="N1058" i="4"/>
  <c r="N1059" i="4"/>
  <c r="N1060" i="4"/>
  <c r="N1061" i="4"/>
  <c r="N1062" i="4"/>
  <c r="N1063" i="4"/>
  <c r="N1064" i="4"/>
  <c r="N1065" i="4"/>
  <c r="N1066" i="4"/>
  <c r="N1067" i="4"/>
  <c r="N1068" i="4"/>
  <c r="N1069" i="4"/>
  <c r="N1070" i="4"/>
  <c r="N1071" i="4"/>
  <c r="N1072" i="4"/>
  <c r="N1073" i="4"/>
  <c r="N1074" i="4"/>
  <c r="N1075" i="4"/>
  <c r="N1076" i="4"/>
  <c r="N1077" i="4"/>
  <c r="N1078" i="4"/>
  <c r="N1079" i="4"/>
  <c r="N1080" i="4"/>
  <c r="N1081" i="4"/>
  <c r="N1082" i="4"/>
  <c r="N1083" i="4"/>
  <c r="N1084" i="4"/>
  <c r="N1085" i="4"/>
  <c r="N1086" i="4"/>
  <c r="N1087" i="4"/>
  <c r="N1088" i="4"/>
  <c r="N1089" i="4"/>
  <c r="N1090" i="4"/>
  <c r="N1091" i="4"/>
  <c r="N1092" i="4"/>
  <c r="N1093" i="4"/>
  <c r="N1094" i="4"/>
  <c r="N1095" i="4"/>
  <c r="N1096" i="4"/>
  <c r="N1097" i="4"/>
  <c r="N1098" i="4"/>
  <c r="N1099" i="4"/>
  <c r="N1100" i="4"/>
  <c r="N1101" i="4"/>
  <c r="N1102" i="4"/>
  <c r="N1103" i="4"/>
  <c r="N1104" i="4"/>
  <c r="N1105" i="4"/>
  <c r="N1106" i="4"/>
  <c r="N1107" i="4"/>
  <c r="N1108" i="4"/>
  <c r="N1109" i="4"/>
  <c r="N1110" i="4"/>
  <c r="N1111" i="4"/>
  <c r="N1112" i="4"/>
  <c r="N1113" i="4"/>
  <c r="N1114" i="4"/>
  <c r="N1115" i="4"/>
  <c r="N1116" i="4"/>
  <c r="N1117" i="4"/>
  <c r="N1118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N1152" i="4"/>
  <c r="N1153" i="4"/>
  <c r="N1154" i="4"/>
  <c r="N1155" i="4"/>
  <c r="N1156" i="4"/>
  <c r="N1157" i="4"/>
  <c r="N1158" i="4"/>
  <c r="N1159" i="4"/>
  <c r="N1160" i="4"/>
  <c r="N1161" i="4"/>
  <c r="N1162" i="4"/>
  <c r="N1163" i="4"/>
  <c r="N1164" i="4"/>
  <c r="N1165" i="4"/>
  <c r="N1166" i="4"/>
  <c r="N1167" i="4"/>
  <c r="N1168" i="4"/>
  <c r="N1169" i="4"/>
  <c r="N1170" i="4"/>
  <c r="N1171" i="4"/>
  <c r="N1172" i="4"/>
  <c r="N1173" i="4"/>
  <c r="N1174" i="4"/>
  <c r="N1175" i="4"/>
  <c r="N1176" i="4"/>
  <c r="N1177" i="4"/>
  <c r="N1178" i="4"/>
  <c r="N1179" i="4"/>
  <c r="N1180" i="4"/>
  <c r="N1181" i="4"/>
  <c r="N1182" i="4"/>
  <c r="N1183" i="4"/>
  <c r="N1184" i="4"/>
  <c r="N1185" i="4"/>
  <c r="N1186" i="4"/>
  <c r="N1187" i="4"/>
  <c r="N1188" i="4"/>
  <c r="N1189" i="4"/>
  <c r="N1190" i="4"/>
  <c r="N1191" i="4"/>
  <c r="N1192" i="4"/>
  <c r="N1193" i="4"/>
  <c r="N1194" i="4"/>
  <c r="N1195" i="4"/>
  <c r="N1196" i="4"/>
  <c r="N1197" i="4"/>
  <c r="N1198" i="4"/>
  <c r="N1199" i="4"/>
  <c r="N1200" i="4"/>
  <c r="N1201" i="4"/>
  <c r="N1202" i="4"/>
  <c r="N1203" i="4"/>
  <c r="N1204" i="4"/>
  <c r="N1205" i="4"/>
  <c r="N1206" i="4"/>
  <c r="N1207" i="4"/>
  <c r="N1208" i="4"/>
  <c r="N1209" i="4"/>
  <c r="N1210" i="4"/>
  <c r="N1211" i="4"/>
  <c r="N1212" i="4"/>
  <c r="N1213" i="4"/>
  <c r="N1214" i="4"/>
  <c r="N1215" i="4"/>
  <c r="N1216" i="4"/>
  <c r="N1217" i="4"/>
  <c r="N1218" i="4"/>
  <c r="N1219" i="4"/>
  <c r="N1220" i="4"/>
  <c r="N1221" i="4"/>
  <c r="N1222" i="4"/>
  <c r="N1223" i="4"/>
  <c r="N1224" i="4"/>
  <c r="N1225" i="4"/>
  <c r="N1226" i="4"/>
  <c r="N1227" i="4"/>
  <c r="N1228" i="4"/>
  <c r="N1229" i="4"/>
  <c r="N1230" i="4"/>
  <c r="N1231" i="4"/>
  <c r="N1232" i="4"/>
  <c r="N1233" i="4"/>
  <c r="N1234" i="4"/>
  <c r="N1235" i="4"/>
  <c r="N1236" i="4"/>
  <c r="N1237" i="4"/>
  <c r="N1238" i="4"/>
  <c r="N1239" i="4"/>
  <c r="N1240" i="4"/>
  <c r="N1241" i="4"/>
  <c r="N1242" i="4"/>
  <c r="N1243" i="4"/>
  <c r="N1244" i="4"/>
  <c r="N1245" i="4"/>
  <c r="N1246" i="4"/>
  <c r="N1247" i="4"/>
  <c r="N1248" i="4"/>
  <c r="N1249" i="4"/>
  <c r="N1250" i="4"/>
  <c r="N1251" i="4"/>
  <c r="N1252" i="4"/>
  <c r="N1253" i="4"/>
  <c r="N1254" i="4"/>
  <c r="N1255" i="4"/>
  <c r="N1256" i="4"/>
  <c r="N1257" i="4"/>
  <c r="N1258" i="4"/>
  <c r="N1259" i="4"/>
  <c r="N1260" i="4"/>
  <c r="N1261" i="4"/>
  <c r="N1262" i="4"/>
  <c r="N1263" i="4"/>
  <c r="N1264" i="4"/>
  <c r="N1265" i="4"/>
  <c r="N1266" i="4"/>
  <c r="N1267" i="4"/>
  <c r="N1268" i="4"/>
  <c r="N1269" i="4"/>
  <c r="N1270" i="4"/>
  <c r="N1271" i="4"/>
  <c r="N1272" i="4"/>
  <c r="N1273" i="4"/>
  <c r="N1274" i="4"/>
  <c r="N1275" i="4"/>
  <c r="N1276" i="4"/>
  <c r="N1277" i="4"/>
  <c r="N1278" i="4"/>
  <c r="N1279" i="4"/>
  <c r="N1280" i="4"/>
  <c r="N1281" i="4"/>
  <c r="N1282" i="4"/>
  <c r="N1283" i="4"/>
  <c r="N1284" i="4"/>
  <c r="N1285" i="4"/>
  <c r="N1286" i="4"/>
  <c r="N1287" i="4"/>
  <c r="N1288" i="4"/>
  <c r="N1289" i="4"/>
  <c r="N1290" i="4"/>
  <c r="N1291" i="4"/>
  <c r="N1292" i="4"/>
  <c r="N1293" i="4"/>
  <c r="N1294" i="4"/>
  <c r="N1295" i="4"/>
  <c r="N1296" i="4"/>
  <c r="N1297" i="4"/>
  <c r="N1298" i="4"/>
  <c r="N1299" i="4"/>
  <c r="N1300" i="4"/>
  <c r="N1301" i="4"/>
  <c r="N1302" i="4"/>
  <c r="N1303" i="4"/>
  <c r="N1304" i="4"/>
  <c r="N1305" i="4"/>
  <c r="N1306" i="4"/>
  <c r="N1307" i="4"/>
  <c r="N1308" i="4"/>
  <c r="N1309" i="4"/>
  <c r="N1310" i="4"/>
  <c r="N1311" i="4"/>
  <c r="N1312" i="4"/>
  <c r="N1313" i="4"/>
  <c r="N1314" i="4"/>
  <c r="N1315" i="4"/>
  <c r="N1316" i="4"/>
  <c r="N1317" i="4"/>
  <c r="N1318" i="4"/>
  <c r="N1319" i="4"/>
  <c r="N1320" i="4"/>
  <c r="N1321" i="4"/>
  <c r="N1322" i="4"/>
  <c r="N1323" i="4"/>
  <c r="N1324" i="4"/>
  <c r="N1325" i="4"/>
  <c r="N1326" i="4"/>
  <c r="N1327" i="4"/>
  <c r="N1328" i="4"/>
  <c r="N1329" i="4"/>
  <c r="N1330" i="4"/>
  <c r="N1331" i="4"/>
  <c r="N1332" i="4"/>
  <c r="N1333" i="4"/>
  <c r="N1334" i="4"/>
  <c r="N1335" i="4"/>
  <c r="N1336" i="4"/>
  <c r="N1337" i="4"/>
  <c r="N1338" i="4"/>
  <c r="N1339" i="4"/>
  <c r="N1340" i="4"/>
  <c r="N1341" i="4"/>
  <c r="N1342" i="4"/>
  <c r="N1343" i="4"/>
  <c r="N1344" i="4"/>
  <c r="N1345" i="4"/>
  <c r="N1346" i="4"/>
  <c r="N1347" i="4"/>
  <c r="N1348" i="4"/>
  <c r="N1349" i="4"/>
  <c r="N1350" i="4"/>
  <c r="N1351" i="4"/>
  <c r="N1352" i="4"/>
  <c r="N1353" i="4"/>
  <c r="N1354" i="4"/>
  <c r="N1355" i="4"/>
  <c r="N1356" i="4"/>
  <c r="N1357" i="4"/>
  <c r="N1358" i="4"/>
  <c r="N1359" i="4"/>
  <c r="N1360" i="4"/>
  <c r="N1361" i="4"/>
  <c r="N1362" i="4"/>
  <c r="N1363" i="4"/>
  <c r="N1364" i="4"/>
  <c r="N1365" i="4"/>
  <c r="N1366" i="4"/>
  <c r="N1367" i="4"/>
  <c r="N1368" i="4"/>
  <c r="N1369" i="4"/>
  <c r="N1370" i="4"/>
  <c r="N1371" i="4"/>
  <c r="N1372" i="4"/>
  <c r="N1373" i="4"/>
  <c r="N1374" i="4"/>
  <c r="N1375" i="4"/>
  <c r="N1376" i="4"/>
  <c r="N1377" i="4"/>
  <c r="N1378" i="4"/>
  <c r="N1379" i="4"/>
  <c r="N1380" i="4"/>
  <c r="N1381" i="4"/>
  <c r="N1382" i="4"/>
  <c r="N1383" i="4"/>
  <c r="N1384" i="4"/>
  <c r="N1385" i="4"/>
  <c r="N1386" i="4"/>
  <c r="N1387" i="4"/>
  <c r="N1388" i="4"/>
  <c r="N1389" i="4"/>
  <c r="N1390" i="4"/>
  <c r="N1391" i="4"/>
  <c r="N1392" i="4"/>
  <c r="N1393" i="4"/>
  <c r="N1394" i="4"/>
  <c r="N1395" i="4"/>
  <c r="N1396" i="4"/>
  <c r="N1397" i="4"/>
  <c r="N1398" i="4"/>
  <c r="N1399" i="4"/>
  <c r="N1400" i="4"/>
  <c r="N1401" i="4"/>
  <c r="N1402" i="4"/>
  <c r="N1403" i="4"/>
  <c r="N1404" i="4"/>
  <c r="N1405" i="4"/>
  <c r="N1406" i="4"/>
  <c r="N1407" i="4"/>
  <c r="N1408" i="4"/>
  <c r="N1409" i="4"/>
  <c r="N1410" i="4"/>
  <c r="N1411" i="4"/>
  <c r="N1412" i="4"/>
  <c r="N1413" i="4"/>
  <c r="N1414" i="4"/>
  <c r="N1415" i="4"/>
  <c r="N1416" i="4"/>
  <c r="N1417" i="4"/>
  <c r="N1418" i="4"/>
  <c r="N1419" i="4"/>
  <c r="N1420" i="4"/>
  <c r="N1421" i="4"/>
  <c r="N1422" i="4"/>
  <c r="N1423" i="4"/>
  <c r="N1424" i="4"/>
  <c r="N1425" i="4"/>
  <c r="N1426" i="4"/>
  <c r="N1427" i="4"/>
  <c r="N1428" i="4"/>
  <c r="N1429" i="4"/>
  <c r="N1430" i="4"/>
  <c r="N1431" i="4"/>
  <c r="N1432" i="4"/>
  <c r="N1433" i="4"/>
  <c r="N1434" i="4"/>
  <c r="N1435" i="4"/>
  <c r="N1436" i="4"/>
  <c r="N1437" i="4"/>
  <c r="N1438" i="4"/>
  <c r="N1439" i="4"/>
  <c r="N1440" i="4"/>
  <c r="N1441" i="4"/>
  <c r="N1442" i="4"/>
  <c r="N1443" i="4"/>
  <c r="N1444" i="4"/>
  <c r="N1445" i="4"/>
  <c r="N1446" i="4"/>
  <c r="N1447" i="4"/>
  <c r="N1448" i="4"/>
  <c r="N1449" i="4"/>
  <c r="N1450" i="4"/>
  <c r="N1451" i="4"/>
  <c r="N1452" i="4"/>
  <c r="N1453" i="4"/>
  <c r="N1454" i="4"/>
  <c r="N1455" i="4"/>
  <c r="N1456" i="4"/>
  <c r="N1457" i="4"/>
  <c r="N1458" i="4"/>
  <c r="N1459" i="4"/>
  <c r="N1460" i="4"/>
  <c r="N1461" i="4"/>
  <c r="N1462" i="4"/>
  <c r="N1463" i="4"/>
  <c r="N1464" i="4"/>
  <c r="N1465" i="4"/>
  <c r="N1466" i="4"/>
  <c r="N1467" i="4"/>
  <c r="N1468" i="4"/>
  <c r="N1469" i="4"/>
  <c r="N1470" i="4"/>
  <c r="N1471" i="4"/>
  <c r="N1472" i="4"/>
  <c r="N1473" i="4"/>
  <c r="N1474" i="4"/>
  <c r="N1475" i="4"/>
  <c r="N1476" i="4"/>
  <c r="N1477" i="4"/>
  <c r="N1478" i="4"/>
  <c r="N1479" i="4"/>
  <c r="N1480" i="4"/>
  <c r="N1481" i="4"/>
  <c r="N1482" i="4"/>
  <c r="N1483" i="4"/>
  <c r="N1484" i="4"/>
  <c r="N1485" i="4"/>
  <c r="N1486" i="4"/>
  <c r="N1487" i="4"/>
  <c r="N1488" i="4"/>
  <c r="N1489" i="4"/>
  <c r="N1490" i="4"/>
  <c r="N1491" i="4"/>
  <c r="N1492" i="4"/>
  <c r="N1493" i="4"/>
  <c r="N1494" i="4"/>
  <c r="N1495" i="4"/>
  <c r="N1496" i="4"/>
  <c r="N1497" i="4"/>
  <c r="N1498" i="4"/>
  <c r="N1499" i="4"/>
  <c r="N1500" i="4"/>
  <c r="N1501" i="4"/>
  <c r="N1502" i="4"/>
  <c r="N1503" i="4"/>
  <c r="N1504" i="4"/>
  <c r="N1505" i="4"/>
  <c r="N1506" i="4"/>
  <c r="N1507" i="4"/>
  <c r="N1508" i="4"/>
  <c r="N1509" i="4"/>
  <c r="N1510" i="4"/>
  <c r="N1511" i="4"/>
  <c r="N1512" i="4"/>
  <c r="N1513" i="4"/>
  <c r="N1514" i="4"/>
  <c r="N1515" i="4"/>
  <c r="N1516" i="4"/>
  <c r="N1517" i="4"/>
  <c r="N1518" i="4"/>
  <c r="N1519" i="4"/>
  <c r="N1520" i="4"/>
  <c r="N1521" i="4"/>
  <c r="N1522" i="4"/>
  <c r="N1523" i="4"/>
  <c r="N1524" i="4"/>
  <c r="N1525" i="4"/>
  <c r="N1526" i="4"/>
  <c r="N1527" i="4"/>
  <c r="N1528" i="4"/>
  <c r="N1529" i="4"/>
  <c r="N1530" i="4"/>
  <c r="N1531" i="4"/>
  <c r="N1532" i="4"/>
  <c r="N1533" i="4"/>
  <c r="N1534" i="4"/>
  <c r="N1535" i="4"/>
  <c r="N1536" i="4"/>
  <c r="N1537" i="4"/>
  <c r="N1538" i="4"/>
  <c r="N1539" i="4"/>
  <c r="N1540" i="4"/>
  <c r="N1541" i="4"/>
  <c r="N1542" i="4"/>
  <c r="N1543" i="4"/>
  <c r="N1544" i="4"/>
  <c r="N1545" i="4"/>
  <c r="N1546" i="4"/>
  <c r="N1547" i="4"/>
  <c r="N1548" i="4"/>
  <c r="N1549" i="4"/>
  <c r="N1550" i="4"/>
  <c r="N1551" i="4"/>
  <c r="N1552" i="4"/>
  <c r="N1553" i="4"/>
  <c r="N1554" i="4"/>
  <c r="N1555" i="4"/>
  <c r="N1556" i="4"/>
  <c r="N1557" i="4"/>
  <c r="N1558" i="4"/>
  <c r="N1559" i="4"/>
  <c r="N1560" i="4"/>
  <c r="N1561" i="4"/>
  <c r="N1562" i="4"/>
  <c r="N1563" i="4"/>
  <c r="N1564" i="4"/>
  <c r="N1565" i="4"/>
  <c r="N1566" i="4"/>
  <c r="N1567" i="4"/>
  <c r="N1568" i="4"/>
  <c r="N1569" i="4"/>
  <c r="N1570" i="4"/>
  <c r="N1571" i="4"/>
  <c r="N1572" i="4"/>
  <c r="N1573" i="4"/>
  <c r="N1574" i="4"/>
  <c r="N1575" i="4"/>
  <c r="N1576" i="4"/>
  <c r="N1577" i="4"/>
  <c r="N1578" i="4"/>
  <c r="N1579" i="4"/>
  <c r="N1580" i="4"/>
  <c r="N1581" i="4"/>
  <c r="N1582" i="4"/>
  <c r="N1583" i="4"/>
  <c r="N1584" i="4"/>
  <c r="N1585" i="4"/>
  <c r="N1586" i="4"/>
  <c r="N1587" i="4"/>
  <c r="N1588" i="4"/>
  <c r="N1589" i="4"/>
  <c r="N1590" i="4"/>
  <c r="N1591" i="4"/>
  <c r="N1592" i="4"/>
  <c r="N1593" i="4"/>
  <c r="N1594" i="4"/>
  <c r="N1595" i="4"/>
  <c r="N1596" i="4"/>
  <c r="N1597" i="4"/>
  <c r="N1598" i="4"/>
  <c r="N1599" i="4"/>
  <c r="N1600" i="4"/>
  <c r="N1601" i="4"/>
  <c r="N1602" i="4"/>
  <c r="N1603" i="4"/>
  <c r="N1604" i="4"/>
  <c r="N1605" i="4"/>
  <c r="N1606" i="4"/>
  <c r="N1607" i="4"/>
  <c r="N1608" i="4"/>
  <c r="N1609" i="4"/>
  <c r="N1610" i="4"/>
  <c r="N1611" i="4"/>
  <c r="N1612" i="4"/>
  <c r="N1613" i="4"/>
  <c r="N1614" i="4"/>
  <c r="N1615" i="4"/>
  <c r="N1616" i="4"/>
  <c r="N1617" i="4"/>
  <c r="N1618" i="4"/>
  <c r="N1619" i="4"/>
  <c r="N1620" i="4"/>
  <c r="N1621" i="4"/>
  <c r="N1622" i="4"/>
  <c r="N1623" i="4"/>
  <c r="N1624" i="4"/>
  <c r="N1625" i="4"/>
  <c r="N1626" i="4"/>
  <c r="N1627" i="4"/>
  <c r="N1628" i="4"/>
  <c r="N1629" i="4"/>
  <c r="N1630" i="4"/>
  <c r="N1631" i="4"/>
  <c r="N1632" i="4"/>
  <c r="N1633" i="4"/>
  <c r="N1634" i="4"/>
  <c r="N1635" i="4"/>
  <c r="N1636" i="4"/>
  <c r="N1637" i="4"/>
  <c r="N1638" i="4"/>
  <c r="N1639" i="4"/>
  <c r="N1640" i="4"/>
  <c r="N1641" i="4"/>
  <c r="N1642" i="4"/>
  <c r="N1643" i="4"/>
  <c r="N1644" i="4"/>
  <c r="N1645" i="4"/>
  <c r="N1646" i="4"/>
  <c r="N1647" i="4"/>
  <c r="N1648" i="4"/>
  <c r="N1649" i="4"/>
  <c r="N1650" i="4"/>
  <c r="N1651" i="4"/>
  <c r="N1652" i="4"/>
  <c r="N1653" i="4"/>
  <c r="N1654" i="4"/>
  <c r="N1655" i="4"/>
  <c r="N1656" i="4"/>
  <c r="N1657" i="4"/>
  <c r="N1658" i="4"/>
  <c r="N1659" i="4"/>
  <c r="N1660" i="4"/>
  <c r="N1661" i="4"/>
  <c r="N1662" i="4"/>
  <c r="N1663" i="4"/>
  <c r="N1664" i="4"/>
  <c r="N1665" i="4"/>
  <c r="N1666" i="4"/>
  <c r="N1667" i="4"/>
  <c r="N1668" i="4"/>
  <c r="N1669" i="4"/>
  <c r="N1670" i="4"/>
  <c r="N1671" i="4"/>
  <c r="N1672" i="4"/>
  <c r="N1673" i="4"/>
  <c r="N1674" i="4"/>
  <c r="N1675" i="4"/>
  <c r="N1676" i="4"/>
  <c r="N1677" i="4"/>
  <c r="N1678" i="4"/>
  <c r="N1679" i="4"/>
  <c r="N1680" i="4"/>
  <c r="N1681" i="4"/>
  <c r="N1682" i="4"/>
  <c r="N1683" i="4"/>
  <c r="N1684" i="4"/>
  <c r="N1685" i="4"/>
  <c r="N1686" i="4"/>
  <c r="N1687" i="4"/>
  <c r="N1688" i="4"/>
  <c r="N1689" i="4"/>
  <c r="N1690" i="4"/>
  <c r="N1691" i="4"/>
  <c r="N1692" i="4"/>
  <c r="N1693" i="4"/>
  <c r="N1694" i="4"/>
  <c r="N1695" i="4"/>
  <c r="N1696" i="4"/>
  <c r="N1697" i="4"/>
  <c r="N1698" i="4"/>
  <c r="N1699" i="4"/>
  <c r="N1700" i="4"/>
  <c r="N1701" i="4"/>
  <c r="N1702" i="4"/>
  <c r="N1703" i="4"/>
  <c r="N1704" i="4"/>
  <c r="N1705" i="4"/>
  <c r="N1706" i="4"/>
  <c r="N1707" i="4"/>
  <c r="N1708" i="4"/>
  <c r="N1709" i="4"/>
  <c r="N1710" i="4"/>
  <c r="N1711" i="4"/>
  <c r="N1712" i="4"/>
  <c r="N1713" i="4"/>
  <c r="N1714" i="4"/>
  <c r="N1715" i="4"/>
  <c r="N1716" i="4"/>
  <c r="N1717" i="4"/>
  <c r="N1718" i="4"/>
  <c r="N1719" i="4"/>
  <c r="N1720" i="4"/>
  <c r="N1721" i="4"/>
  <c r="N1722" i="4"/>
  <c r="N1723" i="4"/>
  <c r="N1724" i="4"/>
  <c r="N1725" i="4"/>
  <c r="N1726" i="4"/>
  <c r="N1727" i="4"/>
  <c r="N1728" i="4"/>
  <c r="N1729" i="4"/>
  <c r="N1730" i="4"/>
  <c r="N1731" i="4"/>
  <c r="N1732" i="4"/>
  <c r="N1733" i="4"/>
  <c r="N1734" i="4"/>
  <c r="N1735" i="4"/>
  <c r="N1736" i="4"/>
  <c r="N1737" i="4"/>
  <c r="N1738" i="4"/>
  <c r="N1739" i="4"/>
  <c r="N1740" i="4"/>
  <c r="N1741" i="4"/>
  <c r="N1742" i="4"/>
  <c r="N1743" i="4"/>
  <c r="N1744" i="4"/>
  <c r="N1745" i="4"/>
  <c r="N1746" i="4"/>
  <c r="N1747" i="4"/>
  <c r="N1748" i="4"/>
  <c r="N1749" i="4"/>
  <c r="N1750" i="4"/>
  <c r="N1751" i="4"/>
  <c r="N1752" i="4"/>
  <c r="N1753" i="4"/>
  <c r="N1754" i="4"/>
  <c r="N1755" i="4"/>
  <c r="N1756" i="4"/>
  <c r="N1757" i="4"/>
  <c r="N1758" i="4"/>
  <c r="N1759" i="4"/>
  <c r="N1760" i="4"/>
  <c r="N1761" i="4"/>
  <c r="N1762" i="4"/>
  <c r="N1763" i="4"/>
  <c r="N1764" i="4"/>
  <c r="N1765" i="4"/>
  <c r="N1766" i="4"/>
  <c r="N1767" i="4"/>
  <c r="N1768" i="4"/>
  <c r="N1769" i="4"/>
  <c r="N1770" i="4"/>
  <c r="N1771" i="4"/>
  <c r="N1772" i="4"/>
  <c r="N1773" i="4"/>
  <c r="N1774" i="4"/>
  <c r="N1775" i="4"/>
  <c r="N1776" i="4"/>
  <c r="N1777" i="4"/>
  <c r="N1778" i="4"/>
  <c r="N1779" i="4"/>
  <c r="N1780" i="4"/>
  <c r="N1781" i="4"/>
  <c r="N1782" i="4"/>
  <c r="N1783" i="4"/>
  <c r="N1784" i="4"/>
  <c r="N1785" i="4"/>
  <c r="N1786" i="4"/>
  <c r="N1787" i="4"/>
  <c r="N1788" i="4"/>
  <c r="N1789" i="4"/>
  <c r="N1790" i="4"/>
  <c r="N1791" i="4"/>
  <c r="N1792" i="4"/>
  <c r="N1793" i="4"/>
  <c r="N1794" i="4"/>
  <c r="N1795" i="4"/>
  <c r="N1796" i="4"/>
  <c r="N1797" i="4"/>
  <c r="N1798" i="4"/>
  <c r="N1799" i="4"/>
  <c r="N1800" i="4"/>
  <c r="N1801" i="4"/>
  <c r="N1802" i="4"/>
  <c r="N1803" i="4"/>
  <c r="N1804" i="4"/>
  <c r="N1805" i="4"/>
  <c r="N1806" i="4"/>
  <c r="N1807" i="4"/>
  <c r="N1808" i="4"/>
  <c r="N1809" i="4"/>
  <c r="N1810" i="4"/>
  <c r="N1811" i="4"/>
  <c r="N1812" i="4"/>
  <c r="N1813" i="4"/>
  <c r="N1814" i="4"/>
  <c r="N1815" i="4"/>
  <c r="N1816" i="4"/>
  <c r="N1817" i="4"/>
  <c r="N1818" i="4"/>
  <c r="N1819" i="4"/>
  <c r="N1820" i="4"/>
  <c r="N1821" i="4"/>
  <c r="N1822" i="4"/>
  <c r="N1823" i="4"/>
  <c r="N1824" i="4"/>
  <c r="N1825" i="4"/>
  <c r="N1826" i="4"/>
  <c r="N1827" i="4"/>
  <c r="N1828" i="4"/>
  <c r="N1829" i="4"/>
  <c r="N1830" i="4"/>
  <c r="N1831" i="4"/>
  <c r="N1832" i="4"/>
  <c r="N1833" i="4"/>
  <c r="N1834" i="4"/>
  <c r="N1835" i="4"/>
  <c r="N1836" i="4"/>
  <c r="N1837" i="4"/>
  <c r="N1838" i="4"/>
  <c r="N1839" i="4"/>
  <c r="N1840" i="4"/>
  <c r="N1841" i="4"/>
  <c r="N1842" i="4"/>
  <c r="N1843" i="4"/>
  <c r="N1844" i="4"/>
  <c r="N1845" i="4"/>
  <c r="N1846" i="4"/>
  <c r="N1847" i="4"/>
  <c r="N1848" i="4"/>
  <c r="N1849" i="4"/>
  <c r="N1850" i="4"/>
  <c r="N1851" i="4"/>
  <c r="N1852" i="4"/>
  <c r="N1853" i="4"/>
  <c r="N1854" i="4"/>
  <c r="N1855" i="4"/>
  <c r="N1856" i="4"/>
  <c r="N1857" i="4"/>
  <c r="N1858" i="4"/>
  <c r="N1859" i="4"/>
  <c r="N1860" i="4"/>
  <c r="N1861" i="4"/>
  <c r="N1862" i="4"/>
  <c r="N1863" i="4"/>
  <c r="N1864" i="4"/>
  <c r="N1865" i="4"/>
  <c r="N1866" i="4"/>
  <c r="N1867" i="4"/>
  <c r="N1868" i="4"/>
  <c r="N1869" i="4"/>
  <c r="N1870" i="4"/>
  <c r="N1871" i="4"/>
  <c r="N1872" i="4"/>
  <c r="N1873" i="4"/>
  <c r="N1874" i="4"/>
  <c r="N1875" i="4"/>
  <c r="N1876" i="4"/>
  <c r="N1877" i="4"/>
  <c r="N1878" i="4"/>
  <c r="N1879" i="4"/>
  <c r="N1880" i="4"/>
  <c r="N1881" i="4"/>
  <c r="N1882" i="4"/>
  <c r="N1883" i="4"/>
  <c r="N1884" i="4"/>
  <c r="N1885" i="4"/>
  <c r="N1886" i="4"/>
  <c r="N1887" i="4"/>
  <c r="N1888" i="4"/>
  <c r="N1889" i="4"/>
  <c r="N1890" i="4"/>
  <c r="N1891" i="4"/>
  <c r="N1892" i="4"/>
  <c r="N1893" i="4"/>
  <c r="N1894" i="4"/>
  <c r="N1895" i="4"/>
  <c r="N1896" i="4"/>
  <c r="N1897" i="4"/>
  <c r="N1898" i="4"/>
  <c r="N1899" i="4"/>
  <c r="N1900" i="4"/>
  <c r="N1901" i="4"/>
  <c r="M2" i="4"/>
  <c r="E2" i="4"/>
  <c r="C2" i="4"/>
  <c r="D14" i="4" s="1"/>
  <c r="E14" i="4" s="1"/>
  <c r="B2" i="4"/>
  <c r="E143" i="3"/>
  <c r="E145" i="3"/>
  <c r="E150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E2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6" i="3"/>
  <c r="C5" i="3"/>
  <c r="C4" i="3"/>
  <c r="C3" i="3"/>
  <c r="C2" i="3"/>
  <c r="D135" i="4" l="1"/>
  <c r="E135" i="4" s="1"/>
  <c r="D124" i="4"/>
  <c r="E124" i="4" s="1"/>
  <c r="D120" i="4"/>
  <c r="D116" i="4"/>
  <c r="D106" i="4"/>
  <c r="E106" i="4" s="1"/>
  <c r="D91" i="4"/>
  <c r="D79" i="4"/>
  <c r="E79" i="4" s="1"/>
  <c r="D60" i="4"/>
  <c r="E60" i="4" s="1"/>
  <c r="D48" i="4"/>
  <c r="E48" i="4" s="1"/>
  <c r="D32" i="4"/>
  <c r="D17" i="4"/>
  <c r="D5" i="4"/>
  <c r="E5" i="4" s="1"/>
  <c r="D132" i="4"/>
  <c r="E132" i="4" s="1"/>
  <c r="D122" i="4"/>
  <c r="D118" i="4"/>
  <c r="D111" i="4"/>
  <c r="D97" i="4"/>
  <c r="D82" i="4"/>
  <c r="E82" i="4" s="1"/>
  <c r="D77" i="4"/>
  <c r="E77" i="4" s="1"/>
  <c r="D50" i="4"/>
  <c r="E50" i="4" s="1"/>
  <c r="D36" i="4"/>
  <c r="E36" i="4" s="1"/>
  <c r="D29" i="4"/>
  <c r="E29" i="4" s="1"/>
  <c r="L1358" i="4"/>
  <c r="M1358" i="4" s="1"/>
  <c r="L1360" i="4"/>
  <c r="M1360" i="4" s="1"/>
  <c r="L1362" i="4"/>
  <c r="M1362" i="4" s="1"/>
  <c r="L1364" i="4"/>
  <c r="M1364" i="4" s="1"/>
  <c r="L1366" i="4"/>
  <c r="M1366" i="4" s="1"/>
  <c r="L1368" i="4"/>
  <c r="M1368" i="4" s="1"/>
  <c r="L1370" i="4"/>
  <c r="M1370" i="4" s="1"/>
  <c r="L1372" i="4"/>
  <c r="M1372" i="4" s="1"/>
  <c r="L1374" i="4"/>
  <c r="M1374" i="4" s="1"/>
  <c r="L1376" i="4"/>
  <c r="M1376" i="4" s="1"/>
  <c r="L1378" i="4"/>
  <c r="M1378" i="4" s="1"/>
  <c r="L1380" i="4"/>
  <c r="M1380" i="4" s="1"/>
  <c r="L1382" i="4"/>
  <c r="M1382" i="4" s="1"/>
  <c r="L1384" i="4"/>
  <c r="M1384" i="4" s="1"/>
  <c r="L1386" i="4"/>
  <c r="M1386" i="4" s="1"/>
  <c r="L1388" i="4"/>
  <c r="M1388" i="4" s="1"/>
  <c r="L1390" i="4"/>
  <c r="M1390" i="4" s="1"/>
  <c r="L1392" i="4"/>
  <c r="M1392" i="4" s="1"/>
  <c r="L1359" i="4"/>
  <c r="M1359" i="4" s="1"/>
  <c r="L1361" i="4"/>
  <c r="M1361" i="4" s="1"/>
  <c r="L1363" i="4"/>
  <c r="M1363" i="4" s="1"/>
  <c r="L1365" i="4"/>
  <c r="M1365" i="4" s="1"/>
  <c r="L1367" i="4"/>
  <c r="M1367" i="4" s="1"/>
  <c r="L1369" i="4"/>
  <c r="M1369" i="4" s="1"/>
  <c r="L1371" i="4"/>
  <c r="M1371" i="4" s="1"/>
  <c r="L1373" i="4"/>
  <c r="M1373" i="4" s="1"/>
  <c r="L1375" i="4"/>
  <c r="M1375" i="4" s="1"/>
  <c r="L1377" i="4"/>
  <c r="M1377" i="4" s="1"/>
  <c r="L1379" i="4"/>
  <c r="M1379" i="4" s="1"/>
  <c r="L1381" i="4"/>
  <c r="M1381" i="4" s="1"/>
  <c r="L1383" i="4"/>
  <c r="M1383" i="4" s="1"/>
  <c r="L1385" i="4"/>
  <c r="M1385" i="4" s="1"/>
  <c r="L1387" i="4"/>
  <c r="M1387" i="4" s="1"/>
  <c r="L1389" i="4"/>
  <c r="M1389" i="4" s="1"/>
  <c r="L1391" i="4"/>
  <c r="M1391" i="4" s="1"/>
  <c r="L1393" i="4"/>
  <c r="M1393" i="4" s="1"/>
  <c r="L1395" i="4"/>
  <c r="M1395" i="4" s="1"/>
  <c r="L1397" i="4"/>
  <c r="M1397" i="4" s="1"/>
  <c r="L1399" i="4"/>
  <c r="M1399" i="4" s="1"/>
  <c r="L1401" i="4"/>
  <c r="M1401" i="4" s="1"/>
  <c r="L1403" i="4"/>
  <c r="M1403" i="4" s="1"/>
  <c r="L1405" i="4"/>
  <c r="M1405" i="4" s="1"/>
  <c r="L1407" i="4"/>
  <c r="M1407" i="4" s="1"/>
  <c r="L1409" i="4"/>
  <c r="M1409" i="4" s="1"/>
  <c r="L1411" i="4"/>
  <c r="M1411" i="4" s="1"/>
  <c r="L1413" i="4"/>
  <c r="M1413" i="4" s="1"/>
  <c r="L1415" i="4"/>
  <c r="M1415" i="4" s="1"/>
  <c r="L1417" i="4"/>
  <c r="M1417" i="4" s="1"/>
  <c r="L1419" i="4"/>
  <c r="M1419" i="4" s="1"/>
  <c r="L1421" i="4"/>
  <c r="M1421" i="4" s="1"/>
  <c r="L1423" i="4"/>
  <c r="M1423" i="4" s="1"/>
  <c r="L1425" i="4"/>
  <c r="M1425" i="4" s="1"/>
  <c r="L1427" i="4"/>
  <c r="M1427" i="4" s="1"/>
  <c r="L1429" i="4"/>
  <c r="M1429" i="4" s="1"/>
  <c r="L1431" i="4"/>
  <c r="M1431" i="4" s="1"/>
  <c r="L1433" i="4"/>
  <c r="M1433" i="4" s="1"/>
  <c r="L1435" i="4"/>
  <c r="M1435" i="4" s="1"/>
  <c r="L1437" i="4"/>
  <c r="M1437" i="4" s="1"/>
  <c r="L1439" i="4"/>
  <c r="M1439" i="4" s="1"/>
  <c r="L1441" i="4"/>
  <c r="M1441" i="4" s="1"/>
  <c r="L1443" i="4"/>
  <c r="M1443" i="4" s="1"/>
  <c r="L1445" i="4"/>
  <c r="M1445" i="4" s="1"/>
  <c r="L1447" i="4"/>
  <c r="M1447" i="4" s="1"/>
  <c r="L1449" i="4"/>
  <c r="M1449" i="4" s="1"/>
  <c r="L1451" i="4"/>
  <c r="M1451" i="4" s="1"/>
  <c r="L1453" i="4"/>
  <c r="M1453" i="4" s="1"/>
  <c r="L1455" i="4"/>
  <c r="M1455" i="4" s="1"/>
  <c r="L1457" i="4"/>
  <c r="M1457" i="4" s="1"/>
  <c r="L1459" i="4"/>
  <c r="M1459" i="4" s="1"/>
  <c r="L1461" i="4"/>
  <c r="M1461" i="4" s="1"/>
  <c r="L1463" i="4"/>
  <c r="M1463" i="4" s="1"/>
  <c r="L1465" i="4"/>
  <c r="M1465" i="4" s="1"/>
  <c r="L1467" i="4"/>
  <c r="M1467" i="4" s="1"/>
  <c r="L1469" i="4"/>
  <c r="M1469" i="4" s="1"/>
  <c r="L1471" i="4"/>
  <c r="M1471" i="4" s="1"/>
  <c r="L1473" i="4"/>
  <c r="M1473" i="4" s="1"/>
  <c r="L1475" i="4"/>
  <c r="M1475" i="4" s="1"/>
  <c r="L1477" i="4"/>
  <c r="M1477" i="4" s="1"/>
  <c r="L1479" i="4"/>
  <c r="M1479" i="4" s="1"/>
  <c r="L1481" i="4"/>
  <c r="M1481" i="4" s="1"/>
  <c r="L1483" i="4"/>
  <c r="M1483" i="4" s="1"/>
  <c r="L1485" i="4"/>
  <c r="M1485" i="4" s="1"/>
  <c r="L1487" i="4"/>
  <c r="M1487" i="4" s="1"/>
  <c r="L1489" i="4"/>
  <c r="M1489" i="4" s="1"/>
  <c r="L1491" i="4"/>
  <c r="M1491" i="4" s="1"/>
  <c r="L1493" i="4"/>
  <c r="M1493" i="4" s="1"/>
  <c r="L1495" i="4"/>
  <c r="M1495" i="4" s="1"/>
  <c r="L1497" i="4"/>
  <c r="M1497" i="4" s="1"/>
  <c r="L1499" i="4"/>
  <c r="M1499" i="4" s="1"/>
  <c r="L1394" i="4"/>
  <c r="M1394" i="4" s="1"/>
  <c r="L1398" i="4"/>
  <c r="M1398" i="4" s="1"/>
  <c r="L1402" i="4"/>
  <c r="M1402" i="4" s="1"/>
  <c r="L1406" i="4"/>
  <c r="M1406" i="4" s="1"/>
  <c r="L1410" i="4"/>
  <c r="M1410" i="4" s="1"/>
  <c r="L1414" i="4"/>
  <c r="M1414" i="4" s="1"/>
  <c r="L1418" i="4"/>
  <c r="M1418" i="4" s="1"/>
  <c r="L1422" i="4"/>
  <c r="M1422" i="4" s="1"/>
  <c r="L1426" i="4"/>
  <c r="M1426" i="4" s="1"/>
  <c r="L1430" i="4"/>
  <c r="M1430" i="4" s="1"/>
  <c r="L1434" i="4"/>
  <c r="M1434" i="4" s="1"/>
  <c r="L1438" i="4"/>
  <c r="M1438" i="4" s="1"/>
  <c r="L1442" i="4"/>
  <c r="M1442" i="4" s="1"/>
  <c r="L1446" i="4"/>
  <c r="M1446" i="4" s="1"/>
  <c r="L1450" i="4"/>
  <c r="M1450" i="4" s="1"/>
  <c r="L1454" i="4"/>
  <c r="M1454" i="4" s="1"/>
  <c r="L1458" i="4"/>
  <c r="M1458" i="4" s="1"/>
  <c r="L1462" i="4"/>
  <c r="M1462" i="4" s="1"/>
  <c r="L1466" i="4"/>
  <c r="M1466" i="4" s="1"/>
  <c r="L1470" i="4"/>
  <c r="M1470" i="4" s="1"/>
  <c r="L1474" i="4"/>
  <c r="M1474" i="4" s="1"/>
  <c r="L1478" i="4"/>
  <c r="M1478" i="4" s="1"/>
  <c r="L1482" i="4"/>
  <c r="M1482" i="4" s="1"/>
  <c r="L1486" i="4"/>
  <c r="M1486" i="4" s="1"/>
  <c r="L1490" i="4"/>
  <c r="M1490" i="4" s="1"/>
  <c r="L1494" i="4"/>
  <c r="M1494" i="4" s="1"/>
  <c r="L1498" i="4"/>
  <c r="M1498" i="4" s="1"/>
  <c r="K1358" i="4"/>
  <c r="K1360" i="4"/>
  <c r="K1362" i="4"/>
  <c r="K1364" i="4"/>
  <c r="K1366" i="4"/>
  <c r="K1368" i="4"/>
  <c r="K1370" i="4"/>
  <c r="K1372" i="4"/>
  <c r="K1374" i="4"/>
  <c r="K1376" i="4"/>
  <c r="K1378" i="4"/>
  <c r="K1380" i="4"/>
  <c r="K1382" i="4"/>
  <c r="K1384" i="4"/>
  <c r="K1386" i="4"/>
  <c r="K1388" i="4"/>
  <c r="K1390" i="4"/>
  <c r="K1392" i="4"/>
  <c r="K1394" i="4"/>
  <c r="K1396" i="4"/>
  <c r="K1398" i="4"/>
  <c r="K1400" i="4"/>
  <c r="K1402" i="4"/>
  <c r="K1404" i="4"/>
  <c r="K1406" i="4"/>
  <c r="K1408" i="4"/>
  <c r="K1410" i="4"/>
  <c r="K1412" i="4"/>
  <c r="K1414" i="4"/>
  <c r="K1416" i="4"/>
  <c r="K1418" i="4"/>
  <c r="K1420" i="4"/>
  <c r="K1422" i="4"/>
  <c r="K1424" i="4"/>
  <c r="K1426" i="4"/>
  <c r="K1428" i="4"/>
  <c r="K1430" i="4"/>
  <c r="K1432" i="4"/>
  <c r="K1434" i="4"/>
  <c r="K1436" i="4"/>
  <c r="K1438" i="4"/>
  <c r="K1440" i="4"/>
  <c r="K1442" i="4"/>
  <c r="K1444" i="4"/>
  <c r="K1446" i="4"/>
  <c r="K1448" i="4"/>
  <c r="K1450" i="4"/>
  <c r="K1452" i="4"/>
  <c r="K1454" i="4"/>
  <c r="K1456" i="4"/>
  <c r="K1458" i="4"/>
  <c r="K1460" i="4"/>
  <c r="K1462" i="4"/>
  <c r="K1464" i="4"/>
  <c r="K1466" i="4"/>
  <c r="K1468" i="4"/>
  <c r="K1470" i="4"/>
  <c r="K1472" i="4"/>
  <c r="L1396" i="4"/>
  <c r="M1396" i="4" s="1"/>
  <c r="L1400" i="4"/>
  <c r="M1400" i="4" s="1"/>
  <c r="L1404" i="4"/>
  <c r="M1404" i="4" s="1"/>
  <c r="L1408" i="4"/>
  <c r="M1408" i="4" s="1"/>
  <c r="L1412" i="4"/>
  <c r="M1412" i="4" s="1"/>
  <c r="L1416" i="4"/>
  <c r="M1416" i="4" s="1"/>
  <c r="L1420" i="4"/>
  <c r="M1420" i="4" s="1"/>
  <c r="L1424" i="4"/>
  <c r="M1424" i="4" s="1"/>
  <c r="L1428" i="4"/>
  <c r="M1428" i="4" s="1"/>
  <c r="L1432" i="4"/>
  <c r="M1432" i="4" s="1"/>
  <c r="L1436" i="4"/>
  <c r="M1436" i="4" s="1"/>
  <c r="L1440" i="4"/>
  <c r="M1440" i="4" s="1"/>
  <c r="L1444" i="4"/>
  <c r="M1444" i="4" s="1"/>
  <c r="L1448" i="4"/>
  <c r="M1448" i="4" s="1"/>
  <c r="L1452" i="4"/>
  <c r="M1452" i="4" s="1"/>
  <c r="L1456" i="4"/>
  <c r="M1456" i="4" s="1"/>
  <c r="L1460" i="4"/>
  <c r="M1460" i="4" s="1"/>
  <c r="L1464" i="4"/>
  <c r="M1464" i="4" s="1"/>
  <c r="L1468" i="4"/>
  <c r="M1468" i="4" s="1"/>
  <c r="L1472" i="4"/>
  <c r="M1472" i="4" s="1"/>
  <c r="L1476" i="4"/>
  <c r="M1476" i="4" s="1"/>
  <c r="L1480" i="4"/>
  <c r="M1480" i="4" s="1"/>
  <c r="L1484" i="4"/>
  <c r="M1484" i="4" s="1"/>
  <c r="L1488" i="4"/>
  <c r="M1488" i="4" s="1"/>
  <c r="L1492" i="4"/>
  <c r="M1492" i="4" s="1"/>
  <c r="L1496" i="4"/>
  <c r="M1496" i="4" s="1"/>
  <c r="L1500" i="4"/>
  <c r="M1500" i="4" s="1"/>
  <c r="K1359" i="4"/>
  <c r="K1361" i="4"/>
  <c r="K1363" i="4"/>
  <c r="K1365" i="4"/>
  <c r="K1367" i="4"/>
  <c r="K1369" i="4"/>
  <c r="K1371" i="4"/>
  <c r="K1373" i="4"/>
  <c r="K1375" i="4"/>
  <c r="K1377" i="4"/>
  <c r="K1379" i="4"/>
  <c r="K1381" i="4"/>
  <c r="K1383" i="4"/>
  <c r="K1385" i="4"/>
  <c r="K1387" i="4"/>
  <c r="K1389" i="4"/>
  <c r="K1391" i="4"/>
  <c r="K1393" i="4"/>
  <c r="K1395" i="4"/>
  <c r="K1397" i="4"/>
  <c r="K1399" i="4"/>
  <c r="K1401" i="4"/>
  <c r="K1405" i="4"/>
  <c r="K1409" i="4"/>
  <c r="K1413" i="4"/>
  <c r="K1417" i="4"/>
  <c r="K1421" i="4"/>
  <c r="K1425" i="4"/>
  <c r="K1429" i="4"/>
  <c r="K1433" i="4"/>
  <c r="K1437" i="4"/>
  <c r="K1441" i="4"/>
  <c r="K1445" i="4"/>
  <c r="K1449" i="4"/>
  <c r="K1453" i="4"/>
  <c r="K1457" i="4"/>
  <c r="K1461" i="4"/>
  <c r="K1465" i="4"/>
  <c r="K1469" i="4"/>
  <c r="K1473" i="4"/>
  <c r="K1475" i="4"/>
  <c r="K1477" i="4"/>
  <c r="K1479" i="4"/>
  <c r="K1481" i="4"/>
  <c r="K1483" i="4"/>
  <c r="K1485" i="4"/>
  <c r="K1487" i="4"/>
  <c r="K1489" i="4"/>
  <c r="K1491" i="4"/>
  <c r="K1493" i="4"/>
  <c r="K1495" i="4"/>
  <c r="K1497" i="4"/>
  <c r="K1499" i="4"/>
  <c r="L1357" i="4"/>
  <c r="M1357" i="4" s="1"/>
  <c r="L1355" i="4"/>
  <c r="M1355" i="4" s="1"/>
  <c r="L1353" i="4"/>
  <c r="M1353" i="4" s="1"/>
  <c r="L1351" i="4"/>
  <c r="M1351" i="4" s="1"/>
  <c r="L1349" i="4"/>
  <c r="M1349" i="4" s="1"/>
  <c r="L1347" i="4"/>
  <c r="M1347" i="4" s="1"/>
  <c r="L1345" i="4"/>
  <c r="M1345" i="4" s="1"/>
  <c r="K1403" i="4"/>
  <c r="K1407" i="4"/>
  <c r="K1411" i="4"/>
  <c r="K1415" i="4"/>
  <c r="K1419" i="4"/>
  <c r="K1423" i="4"/>
  <c r="K1427" i="4"/>
  <c r="K1431" i="4"/>
  <c r="K1435" i="4"/>
  <c r="K1439" i="4"/>
  <c r="K1443" i="4"/>
  <c r="K1447" i="4"/>
  <c r="K1451" i="4"/>
  <c r="K1455" i="4"/>
  <c r="K1459" i="4"/>
  <c r="K1463" i="4"/>
  <c r="K1467" i="4"/>
  <c r="K1471" i="4"/>
  <c r="K1474" i="4"/>
  <c r="K1476" i="4"/>
  <c r="K1478" i="4"/>
  <c r="K1480" i="4"/>
  <c r="K1482" i="4"/>
  <c r="K1484" i="4"/>
  <c r="K1486" i="4"/>
  <c r="K1488" i="4"/>
  <c r="K1490" i="4"/>
  <c r="K1492" i="4"/>
  <c r="K1494" i="4"/>
  <c r="K1496" i="4"/>
  <c r="K1498" i="4"/>
  <c r="K1500" i="4"/>
  <c r="L1356" i="4"/>
  <c r="M1356" i="4" s="1"/>
  <c r="L1354" i="4"/>
  <c r="M1354" i="4" s="1"/>
  <c r="L1352" i="4"/>
  <c r="M1352" i="4" s="1"/>
  <c r="L1350" i="4"/>
  <c r="M1350" i="4" s="1"/>
  <c r="L1348" i="4"/>
  <c r="M1348" i="4" s="1"/>
  <c r="L1346" i="4"/>
  <c r="M1346" i="4" s="1"/>
  <c r="L1344" i="4"/>
  <c r="M1344" i="4" s="1"/>
  <c r="L1342" i="4"/>
  <c r="M1342" i="4" s="1"/>
  <c r="L1340" i="4"/>
  <c r="M1340" i="4" s="1"/>
  <c r="L1338" i="4"/>
  <c r="M1338" i="4" s="1"/>
  <c r="L1336" i="4"/>
  <c r="M1336" i="4" s="1"/>
  <c r="L1334" i="4"/>
  <c r="M1334" i="4" s="1"/>
  <c r="L1332" i="4"/>
  <c r="M1332" i="4" s="1"/>
  <c r="L1330" i="4"/>
  <c r="M1330" i="4" s="1"/>
  <c r="L1328" i="4"/>
  <c r="M1328" i="4" s="1"/>
  <c r="L1326" i="4"/>
  <c r="M1326" i="4" s="1"/>
  <c r="L1324" i="4"/>
  <c r="M1324" i="4" s="1"/>
  <c r="L1322" i="4"/>
  <c r="M1322" i="4" s="1"/>
  <c r="L1320" i="4"/>
  <c r="M1320" i="4" s="1"/>
  <c r="L1318" i="4"/>
  <c r="M1318" i="4" s="1"/>
  <c r="L1316" i="4"/>
  <c r="M1316" i="4" s="1"/>
  <c r="L1314" i="4"/>
  <c r="M1314" i="4" s="1"/>
  <c r="L1312" i="4"/>
  <c r="M1312" i="4" s="1"/>
  <c r="L1310" i="4"/>
  <c r="M1310" i="4" s="1"/>
  <c r="L1308" i="4"/>
  <c r="M1308" i="4" s="1"/>
  <c r="L1306" i="4"/>
  <c r="M1306" i="4" s="1"/>
  <c r="L1304" i="4"/>
  <c r="M1304" i="4" s="1"/>
  <c r="L1302" i="4"/>
  <c r="M1302" i="4" s="1"/>
  <c r="L1300" i="4"/>
  <c r="M1300" i="4" s="1"/>
  <c r="L1298" i="4"/>
  <c r="M1298" i="4" s="1"/>
  <c r="L1296" i="4"/>
  <c r="M1296" i="4" s="1"/>
  <c r="L1294" i="4"/>
  <c r="M1294" i="4" s="1"/>
  <c r="L1292" i="4"/>
  <c r="M1292" i="4" s="1"/>
  <c r="L1290" i="4"/>
  <c r="M1290" i="4" s="1"/>
  <c r="L1288" i="4"/>
  <c r="M1288" i="4" s="1"/>
  <c r="L1286" i="4"/>
  <c r="M1286" i="4" s="1"/>
  <c r="L1284" i="4"/>
  <c r="M1284" i="4" s="1"/>
  <c r="L1282" i="4"/>
  <c r="M1282" i="4" s="1"/>
  <c r="L1280" i="4"/>
  <c r="M1280" i="4" s="1"/>
  <c r="L1278" i="4"/>
  <c r="M1278" i="4" s="1"/>
  <c r="L1276" i="4"/>
  <c r="M1276" i="4" s="1"/>
  <c r="L1274" i="4"/>
  <c r="M1274" i="4" s="1"/>
  <c r="L1272" i="4"/>
  <c r="M1272" i="4" s="1"/>
  <c r="L1270" i="4"/>
  <c r="M1270" i="4" s="1"/>
  <c r="L1268" i="4"/>
  <c r="M1268" i="4" s="1"/>
  <c r="L1266" i="4"/>
  <c r="M1266" i="4" s="1"/>
  <c r="L1264" i="4"/>
  <c r="M1264" i="4" s="1"/>
  <c r="L1262" i="4"/>
  <c r="M1262" i="4" s="1"/>
  <c r="L1260" i="4"/>
  <c r="M1260" i="4" s="1"/>
  <c r="L1258" i="4"/>
  <c r="M1258" i="4" s="1"/>
  <c r="L1256" i="4"/>
  <c r="M1256" i="4" s="1"/>
  <c r="L1254" i="4"/>
  <c r="M1254" i="4" s="1"/>
  <c r="L1252" i="4"/>
  <c r="M1252" i="4" s="1"/>
  <c r="L1250" i="4"/>
  <c r="M1250" i="4" s="1"/>
  <c r="L1248" i="4"/>
  <c r="M1248" i="4" s="1"/>
  <c r="L1246" i="4"/>
  <c r="M1246" i="4" s="1"/>
  <c r="L1244" i="4"/>
  <c r="M1244" i="4" s="1"/>
  <c r="L1242" i="4"/>
  <c r="M1242" i="4" s="1"/>
  <c r="L1240" i="4"/>
  <c r="M1240" i="4" s="1"/>
  <c r="L1238" i="4"/>
  <c r="M1238" i="4" s="1"/>
  <c r="L1236" i="4"/>
  <c r="M1236" i="4" s="1"/>
  <c r="L1234" i="4"/>
  <c r="M1234" i="4" s="1"/>
  <c r="L1232" i="4"/>
  <c r="M1232" i="4" s="1"/>
  <c r="L1230" i="4"/>
  <c r="M1230" i="4" s="1"/>
  <c r="L1228" i="4"/>
  <c r="M1228" i="4" s="1"/>
  <c r="L1226" i="4"/>
  <c r="M1226" i="4" s="1"/>
  <c r="L1224" i="4"/>
  <c r="M1224" i="4" s="1"/>
  <c r="L1222" i="4"/>
  <c r="M1222" i="4" s="1"/>
  <c r="L1220" i="4"/>
  <c r="M1220" i="4" s="1"/>
  <c r="L1218" i="4"/>
  <c r="M1218" i="4" s="1"/>
  <c r="L1216" i="4"/>
  <c r="M1216" i="4" s="1"/>
  <c r="L1214" i="4"/>
  <c r="M1214" i="4" s="1"/>
  <c r="L1212" i="4"/>
  <c r="M1212" i="4" s="1"/>
  <c r="L1210" i="4"/>
  <c r="M1210" i="4" s="1"/>
  <c r="L1208" i="4"/>
  <c r="M1208" i="4" s="1"/>
  <c r="L1206" i="4"/>
  <c r="M1206" i="4" s="1"/>
  <c r="L1204" i="4"/>
  <c r="M1204" i="4" s="1"/>
  <c r="L1202" i="4"/>
  <c r="M1202" i="4" s="1"/>
  <c r="L1200" i="4"/>
  <c r="M1200" i="4" s="1"/>
  <c r="L1198" i="4"/>
  <c r="M1198" i="4" s="1"/>
  <c r="L1196" i="4"/>
  <c r="M1196" i="4" s="1"/>
  <c r="L1194" i="4"/>
  <c r="M1194" i="4" s="1"/>
  <c r="L1192" i="4"/>
  <c r="M1192" i="4" s="1"/>
  <c r="L1190" i="4"/>
  <c r="M1190" i="4" s="1"/>
  <c r="L1188" i="4"/>
  <c r="M1188" i="4" s="1"/>
  <c r="L1186" i="4"/>
  <c r="M1186" i="4" s="1"/>
  <c r="L1184" i="4"/>
  <c r="M1184" i="4" s="1"/>
  <c r="L1182" i="4"/>
  <c r="M1182" i="4" s="1"/>
  <c r="L1180" i="4"/>
  <c r="M1180" i="4" s="1"/>
  <c r="L1178" i="4"/>
  <c r="M1178" i="4" s="1"/>
  <c r="L1176" i="4"/>
  <c r="M1176" i="4" s="1"/>
  <c r="L1174" i="4"/>
  <c r="M1174" i="4" s="1"/>
  <c r="L1172" i="4"/>
  <c r="M1172" i="4" s="1"/>
  <c r="L1170" i="4"/>
  <c r="M1170" i="4" s="1"/>
  <c r="L1168" i="4"/>
  <c r="M1168" i="4" s="1"/>
  <c r="L1166" i="4"/>
  <c r="M1166" i="4" s="1"/>
  <c r="L1164" i="4"/>
  <c r="M1164" i="4" s="1"/>
  <c r="L1162" i="4"/>
  <c r="M1162" i="4" s="1"/>
  <c r="L1160" i="4"/>
  <c r="M1160" i="4" s="1"/>
  <c r="L1158" i="4"/>
  <c r="M1158" i="4" s="1"/>
  <c r="L1156" i="4"/>
  <c r="M1156" i="4" s="1"/>
  <c r="L1154" i="4"/>
  <c r="M1154" i="4" s="1"/>
  <c r="L1152" i="4"/>
  <c r="M1152" i="4" s="1"/>
  <c r="L1150" i="4"/>
  <c r="M1150" i="4" s="1"/>
  <c r="L1148" i="4"/>
  <c r="M1148" i="4" s="1"/>
  <c r="L1146" i="4"/>
  <c r="M1146" i="4" s="1"/>
  <c r="L1144" i="4"/>
  <c r="M1144" i="4" s="1"/>
  <c r="L1142" i="4"/>
  <c r="M1142" i="4" s="1"/>
  <c r="L1140" i="4"/>
  <c r="M1140" i="4" s="1"/>
  <c r="L1138" i="4"/>
  <c r="M1138" i="4" s="1"/>
  <c r="L1136" i="4"/>
  <c r="M1136" i="4" s="1"/>
  <c r="L1134" i="4"/>
  <c r="M1134" i="4" s="1"/>
  <c r="L1132" i="4"/>
  <c r="M1132" i="4" s="1"/>
  <c r="L1130" i="4"/>
  <c r="M1130" i="4" s="1"/>
  <c r="L1128" i="4"/>
  <c r="M1128" i="4" s="1"/>
  <c r="L1126" i="4"/>
  <c r="M1126" i="4" s="1"/>
  <c r="L1124" i="4"/>
  <c r="M1124" i="4" s="1"/>
  <c r="L1122" i="4"/>
  <c r="M1122" i="4" s="1"/>
  <c r="L1120" i="4"/>
  <c r="M1120" i="4" s="1"/>
  <c r="L1118" i="4"/>
  <c r="M1118" i="4" s="1"/>
  <c r="L1116" i="4"/>
  <c r="M1116" i="4" s="1"/>
  <c r="L1114" i="4"/>
  <c r="M1114" i="4" s="1"/>
  <c r="L1112" i="4"/>
  <c r="M1112" i="4" s="1"/>
  <c r="L1110" i="4"/>
  <c r="M1110" i="4" s="1"/>
  <c r="L1108" i="4"/>
  <c r="M1108" i="4" s="1"/>
  <c r="L1106" i="4"/>
  <c r="M1106" i="4" s="1"/>
  <c r="L1104" i="4"/>
  <c r="M1104" i="4" s="1"/>
  <c r="L1102" i="4"/>
  <c r="M1102" i="4" s="1"/>
  <c r="L1100" i="4"/>
  <c r="M1100" i="4" s="1"/>
  <c r="L1098" i="4"/>
  <c r="M1098" i="4" s="1"/>
  <c r="L1096" i="4"/>
  <c r="M1096" i="4" s="1"/>
  <c r="L1094" i="4"/>
  <c r="M1094" i="4" s="1"/>
  <c r="L1092" i="4"/>
  <c r="M1092" i="4" s="1"/>
  <c r="L1090" i="4"/>
  <c r="M1090" i="4" s="1"/>
  <c r="L1088" i="4"/>
  <c r="M1088" i="4" s="1"/>
  <c r="L1086" i="4"/>
  <c r="M1086" i="4" s="1"/>
  <c r="L1084" i="4"/>
  <c r="M1084" i="4" s="1"/>
  <c r="L1082" i="4"/>
  <c r="M1082" i="4" s="1"/>
  <c r="L1341" i="4"/>
  <c r="M1341" i="4" s="1"/>
  <c r="L1337" i="4"/>
  <c r="M1337" i="4" s="1"/>
  <c r="L1333" i="4"/>
  <c r="M1333" i="4" s="1"/>
  <c r="L1329" i="4"/>
  <c r="M1329" i="4" s="1"/>
  <c r="L1325" i="4"/>
  <c r="M1325" i="4" s="1"/>
  <c r="L1321" i="4"/>
  <c r="M1321" i="4" s="1"/>
  <c r="L1317" i="4"/>
  <c r="M1317" i="4" s="1"/>
  <c r="L1313" i="4"/>
  <c r="M1313" i="4" s="1"/>
  <c r="L1309" i="4"/>
  <c r="M1309" i="4" s="1"/>
  <c r="L1305" i="4"/>
  <c r="M1305" i="4" s="1"/>
  <c r="L1301" i="4"/>
  <c r="M1301" i="4" s="1"/>
  <c r="L1297" i="4"/>
  <c r="M1297" i="4" s="1"/>
  <c r="L1293" i="4"/>
  <c r="M1293" i="4" s="1"/>
  <c r="L1289" i="4"/>
  <c r="M1289" i="4" s="1"/>
  <c r="L1285" i="4"/>
  <c r="M1285" i="4" s="1"/>
  <c r="L1281" i="4"/>
  <c r="M1281" i="4" s="1"/>
  <c r="L1277" i="4"/>
  <c r="M1277" i="4" s="1"/>
  <c r="L1273" i="4"/>
  <c r="M1273" i="4" s="1"/>
  <c r="L1269" i="4"/>
  <c r="M1269" i="4" s="1"/>
  <c r="L1265" i="4"/>
  <c r="M1265" i="4" s="1"/>
  <c r="L1261" i="4"/>
  <c r="M1261" i="4" s="1"/>
  <c r="L1257" i="4"/>
  <c r="M1257" i="4" s="1"/>
  <c r="L1253" i="4"/>
  <c r="M1253" i="4" s="1"/>
  <c r="L1249" i="4"/>
  <c r="M1249" i="4" s="1"/>
  <c r="L1245" i="4"/>
  <c r="M1245" i="4" s="1"/>
  <c r="L1241" i="4"/>
  <c r="M1241" i="4" s="1"/>
  <c r="L1237" i="4"/>
  <c r="M1237" i="4" s="1"/>
  <c r="L1233" i="4"/>
  <c r="M1233" i="4" s="1"/>
  <c r="L1229" i="4"/>
  <c r="M1229" i="4" s="1"/>
  <c r="L1225" i="4"/>
  <c r="M1225" i="4" s="1"/>
  <c r="L1221" i="4"/>
  <c r="M1221" i="4" s="1"/>
  <c r="L1217" i="4"/>
  <c r="M1217" i="4" s="1"/>
  <c r="L1213" i="4"/>
  <c r="M1213" i="4" s="1"/>
  <c r="L1209" i="4"/>
  <c r="M1209" i="4" s="1"/>
  <c r="L1205" i="4"/>
  <c r="M1205" i="4" s="1"/>
  <c r="L1201" i="4"/>
  <c r="M1201" i="4" s="1"/>
  <c r="L1197" i="4"/>
  <c r="M1197" i="4" s="1"/>
  <c r="L1193" i="4"/>
  <c r="M1193" i="4" s="1"/>
  <c r="L1189" i="4"/>
  <c r="M1189" i="4" s="1"/>
  <c r="L1185" i="4"/>
  <c r="M1185" i="4" s="1"/>
  <c r="L1181" i="4"/>
  <c r="M1181" i="4" s="1"/>
  <c r="L1177" i="4"/>
  <c r="M1177" i="4" s="1"/>
  <c r="L1173" i="4"/>
  <c r="M1173" i="4" s="1"/>
  <c r="L1169" i="4"/>
  <c r="M1169" i="4" s="1"/>
  <c r="L1165" i="4"/>
  <c r="M1165" i="4" s="1"/>
  <c r="L1161" i="4"/>
  <c r="M1161" i="4" s="1"/>
  <c r="L1157" i="4"/>
  <c r="M1157" i="4" s="1"/>
  <c r="L1153" i="4"/>
  <c r="M1153" i="4" s="1"/>
  <c r="L1149" i="4"/>
  <c r="M1149" i="4" s="1"/>
  <c r="L1145" i="4"/>
  <c r="M1145" i="4" s="1"/>
  <c r="L1141" i="4"/>
  <c r="M1141" i="4" s="1"/>
  <c r="L1137" i="4"/>
  <c r="M1137" i="4" s="1"/>
  <c r="L1133" i="4"/>
  <c r="M1133" i="4" s="1"/>
  <c r="L1129" i="4"/>
  <c r="M1129" i="4" s="1"/>
  <c r="L1125" i="4"/>
  <c r="M1125" i="4" s="1"/>
  <c r="L1121" i="4"/>
  <c r="M1121" i="4" s="1"/>
  <c r="L1117" i="4"/>
  <c r="M1117" i="4" s="1"/>
  <c r="L1113" i="4"/>
  <c r="M1113" i="4" s="1"/>
  <c r="L1109" i="4"/>
  <c r="M1109" i="4" s="1"/>
  <c r="L1105" i="4"/>
  <c r="M1105" i="4" s="1"/>
  <c r="L1101" i="4"/>
  <c r="M1101" i="4" s="1"/>
  <c r="L1097" i="4"/>
  <c r="M1097" i="4" s="1"/>
  <c r="L1093" i="4"/>
  <c r="M1093" i="4" s="1"/>
  <c r="L1089" i="4"/>
  <c r="M1089" i="4" s="1"/>
  <c r="L1085" i="4"/>
  <c r="M1085" i="4" s="1"/>
  <c r="L1081" i="4"/>
  <c r="M1081" i="4" s="1"/>
  <c r="L1079" i="4"/>
  <c r="M1079" i="4" s="1"/>
  <c r="L1077" i="4"/>
  <c r="M1077" i="4" s="1"/>
  <c r="L1075" i="4"/>
  <c r="M1075" i="4" s="1"/>
  <c r="L1073" i="4"/>
  <c r="M1073" i="4" s="1"/>
  <c r="L1071" i="4"/>
  <c r="M1071" i="4" s="1"/>
  <c r="L1069" i="4"/>
  <c r="M1069" i="4" s="1"/>
  <c r="L1067" i="4"/>
  <c r="M1067" i="4" s="1"/>
  <c r="L1065" i="4"/>
  <c r="M1065" i="4" s="1"/>
  <c r="L1063" i="4"/>
  <c r="M1063" i="4" s="1"/>
  <c r="L1061" i="4"/>
  <c r="M1061" i="4" s="1"/>
  <c r="L1059" i="4"/>
  <c r="M1059" i="4" s="1"/>
  <c r="L1057" i="4"/>
  <c r="M1057" i="4" s="1"/>
  <c r="L1055" i="4"/>
  <c r="M1055" i="4" s="1"/>
  <c r="L1053" i="4"/>
  <c r="M1053" i="4" s="1"/>
  <c r="L1051" i="4"/>
  <c r="M1051" i="4" s="1"/>
  <c r="L1049" i="4"/>
  <c r="M1049" i="4" s="1"/>
  <c r="L1047" i="4"/>
  <c r="M1047" i="4" s="1"/>
  <c r="L1045" i="4"/>
  <c r="M1045" i="4" s="1"/>
  <c r="L1043" i="4"/>
  <c r="M1043" i="4" s="1"/>
  <c r="L1041" i="4"/>
  <c r="M1041" i="4" s="1"/>
  <c r="L1039" i="4"/>
  <c r="M1039" i="4" s="1"/>
  <c r="L1037" i="4"/>
  <c r="M1037" i="4" s="1"/>
  <c r="L1035" i="4"/>
  <c r="M1035" i="4" s="1"/>
  <c r="L1033" i="4"/>
  <c r="M1033" i="4" s="1"/>
  <c r="L1031" i="4"/>
  <c r="M1031" i="4" s="1"/>
  <c r="L1029" i="4"/>
  <c r="M1029" i="4" s="1"/>
  <c r="L1027" i="4"/>
  <c r="M1027" i="4" s="1"/>
  <c r="L1025" i="4"/>
  <c r="M1025" i="4" s="1"/>
  <c r="L1023" i="4"/>
  <c r="M1023" i="4" s="1"/>
  <c r="L1021" i="4"/>
  <c r="M1021" i="4" s="1"/>
  <c r="L1019" i="4"/>
  <c r="M1019" i="4" s="1"/>
  <c r="L1017" i="4"/>
  <c r="M1017" i="4" s="1"/>
  <c r="L1015" i="4"/>
  <c r="M1015" i="4" s="1"/>
  <c r="L1013" i="4"/>
  <c r="M1013" i="4" s="1"/>
  <c r="L1011" i="4"/>
  <c r="M1011" i="4" s="1"/>
  <c r="L1009" i="4"/>
  <c r="M1009" i="4" s="1"/>
  <c r="L1007" i="4"/>
  <c r="M1007" i="4" s="1"/>
  <c r="L1005" i="4"/>
  <c r="M1005" i="4" s="1"/>
  <c r="L1003" i="4"/>
  <c r="M1003" i="4" s="1"/>
  <c r="L1001" i="4"/>
  <c r="M1001" i="4" s="1"/>
  <c r="L999" i="4"/>
  <c r="M999" i="4" s="1"/>
  <c r="L997" i="4"/>
  <c r="M997" i="4" s="1"/>
  <c r="L995" i="4"/>
  <c r="M995" i="4" s="1"/>
  <c r="L993" i="4"/>
  <c r="M993" i="4" s="1"/>
  <c r="L991" i="4"/>
  <c r="M991" i="4" s="1"/>
  <c r="L989" i="4"/>
  <c r="M989" i="4" s="1"/>
  <c r="L987" i="4"/>
  <c r="M987" i="4" s="1"/>
  <c r="L985" i="4"/>
  <c r="M985" i="4" s="1"/>
  <c r="L983" i="4"/>
  <c r="M983" i="4" s="1"/>
  <c r="L981" i="4"/>
  <c r="M981" i="4" s="1"/>
  <c r="L979" i="4"/>
  <c r="M979" i="4" s="1"/>
  <c r="L977" i="4"/>
  <c r="M977" i="4" s="1"/>
  <c r="L975" i="4"/>
  <c r="M975" i="4" s="1"/>
  <c r="L973" i="4"/>
  <c r="M973" i="4" s="1"/>
  <c r="L971" i="4"/>
  <c r="M971" i="4" s="1"/>
  <c r="L969" i="4"/>
  <c r="M969" i="4" s="1"/>
  <c r="L967" i="4"/>
  <c r="M967" i="4" s="1"/>
  <c r="L965" i="4"/>
  <c r="M965" i="4" s="1"/>
  <c r="L963" i="4"/>
  <c r="M963" i="4" s="1"/>
  <c r="L961" i="4"/>
  <c r="M961" i="4" s="1"/>
  <c r="L959" i="4"/>
  <c r="M959" i="4" s="1"/>
  <c r="L957" i="4"/>
  <c r="M957" i="4" s="1"/>
  <c r="L955" i="4"/>
  <c r="M955" i="4" s="1"/>
  <c r="L953" i="4"/>
  <c r="M953" i="4" s="1"/>
  <c r="L951" i="4"/>
  <c r="M951" i="4" s="1"/>
  <c r="L949" i="4"/>
  <c r="M949" i="4" s="1"/>
  <c r="L947" i="4"/>
  <c r="M947" i="4" s="1"/>
  <c r="L945" i="4"/>
  <c r="M945" i="4" s="1"/>
  <c r="L943" i="4"/>
  <c r="M943" i="4" s="1"/>
  <c r="L941" i="4"/>
  <c r="M941" i="4" s="1"/>
  <c r="L939" i="4"/>
  <c r="M939" i="4" s="1"/>
  <c r="L937" i="4"/>
  <c r="M937" i="4" s="1"/>
  <c r="L935" i="4"/>
  <c r="M935" i="4" s="1"/>
  <c r="L933" i="4"/>
  <c r="M933" i="4" s="1"/>
  <c r="L931" i="4"/>
  <c r="M931" i="4" s="1"/>
  <c r="L929" i="4"/>
  <c r="M929" i="4" s="1"/>
  <c r="L927" i="4"/>
  <c r="M927" i="4" s="1"/>
  <c r="L925" i="4"/>
  <c r="M925" i="4" s="1"/>
  <c r="L923" i="4"/>
  <c r="M923" i="4" s="1"/>
  <c r="L921" i="4"/>
  <c r="M921" i="4" s="1"/>
  <c r="L919" i="4"/>
  <c r="M919" i="4" s="1"/>
  <c r="L917" i="4"/>
  <c r="M917" i="4" s="1"/>
  <c r="L915" i="4"/>
  <c r="M915" i="4" s="1"/>
  <c r="L913" i="4"/>
  <c r="M913" i="4" s="1"/>
  <c r="L911" i="4"/>
  <c r="M911" i="4" s="1"/>
  <c r="L909" i="4"/>
  <c r="M909" i="4" s="1"/>
  <c r="L907" i="4"/>
  <c r="M907" i="4" s="1"/>
  <c r="L905" i="4"/>
  <c r="M905" i="4" s="1"/>
  <c r="L903" i="4"/>
  <c r="M903" i="4" s="1"/>
  <c r="L901" i="4"/>
  <c r="M901" i="4" s="1"/>
  <c r="L899" i="4"/>
  <c r="M899" i="4" s="1"/>
  <c r="L897" i="4"/>
  <c r="M897" i="4" s="1"/>
  <c r="L895" i="4"/>
  <c r="M895" i="4" s="1"/>
  <c r="L893" i="4"/>
  <c r="M893" i="4" s="1"/>
  <c r="L891" i="4"/>
  <c r="M891" i="4" s="1"/>
  <c r="L889" i="4"/>
  <c r="M889" i="4" s="1"/>
  <c r="L887" i="4"/>
  <c r="M887" i="4" s="1"/>
  <c r="L885" i="4"/>
  <c r="M885" i="4" s="1"/>
  <c r="L883" i="4"/>
  <c r="M883" i="4" s="1"/>
  <c r="L881" i="4"/>
  <c r="M881" i="4" s="1"/>
  <c r="L879" i="4"/>
  <c r="M879" i="4" s="1"/>
  <c r="L877" i="4"/>
  <c r="M877" i="4" s="1"/>
  <c r="L875" i="4"/>
  <c r="M875" i="4" s="1"/>
  <c r="L873" i="4"/>
  <c r="M873" i="4" s="1"/>
  <c r="L1343" i="4"/>
  <c r="M1343" i="4" s="1"/>
  <c r="L1339" i="4"/>
  <c r="M1339" i="4" s="1"/>
  <c r="L1335" i="4"/>
  <c r="M1335" i="4" s="1"/>
  <c r="L1331" i="4"/>
  <c r="M1331" i="4" s="1"/>
  <c r="L1327" i="4"/>
  <c r="M1327" i="4" s="1"/>
  <c r="L1323" i="4"/>
  <c r="M1323" i="4" s="1"/>
  <c r="L1319" i="4"/>
  <c r="M1319" i="4" s="1"/>
  <c r="L1315" i="4"/>
  <c r="M1315" i="4" s="1"/>
  <c r="L1311" i="4"/>
  <c r="M1311" i="4" s="1"/>
  <c r="L1307" i="4"/>
  <c r="M1307" i="4" s="1"/>
  <c r="L1303" i="4"/>
  <c r="M1303" i="4" s="1"/>
  <c r="L1299" i="4"/>
  <c r="M1299" i="4" s="1"/>
  <c r="L1295" i="4"/>
  <c r="M1295" i="4" s="1"/>
  <c r="L1291" i="4"/>
  <c r="M1291" i="4" s="1"/>
  <c r="L1287" i="4"/>
  <c r="M1287" i="4" s="1"/>
  <c r="L1283" i="4"/>
  <c r="M1283" i="4" s="1"/>
  <c r="L1279" i="4"/>
  <c r="M1279" i="4" s="1"/>
  <c r="L1275" i="4"/>
  <c r="M1275" i="4" s="1"/>
  <c r="L1271" i="4"/>
  <c r="M1271" i="4" s="1"/>
  <c r="L1267" i="4"/>
  <c r="M1267" i="4" s="1"/>
  <c r="L1263" i="4"/>
  <c r="M1263" i="4" s="1"/>
  <c r="L1259" i="4"/>
  <c r="M1259" i="4" s="1"/>
  <c r="L1255" i="4"/>
  <c r="M1255" i="4" s="1"/>
  <c r="L1251" i="4"/>
  <c r="M1251" i="4" s="1"/>
  <c r="L1247" i="4"/>
  <c r="M1247" i="4" s="1"/>
  <c r="L1243" i="4"/>
  <c r="M1243" i="4" s="1"/>
  <c r="L1239" i="4"/>
  <c r="M1239" i="4" s="1"/>
  <c r="L1235" i="4"/>
  <c r="M1235" i="4" s="1"/>
  <c r="L1231" i="4"/>
  <c r="M1231" i="4" s="1"/>
  <c r="L1227" i="4"/>
  <c r="M1227" i="4" s="1"/>
  <c r="L1223" i="4"/>
  <c r="M1223" i="4" s="1"/>
  <c r="L1219" i="4"/>
  <c r="M1219" i="4" s="1"/>
  <c r="L1215" i="4"/>
  <c r="M1215" i="4" s="1"/>
  <c r="L1211" i="4"/>
  <c r="M1211" i="4" s="1"/>
  <c r="L1207" i="4"/>
  <c r="M1207" i="4" s="1"/>
  <c r="L1203" i="4"/>
  <c r="M1203" i="4" s="1"/>
  <c r="L1199" i="4"/>
  <c r="M1199" i="4" s="1"/>
  <c r="L1195" i="4"/>
  <c r="M1195" i="4" s="1"/>
  <c r="L1191" i="4"/>
  <c r="M1191" i="4" s="1"/>
  <c r="L1187" i="4"/>
  <c r="M1187" i="4" s="1"/>
  <c r="L1183" i="4"/>
  <c r="M1183" i="4" s="1"/>
  <c r="L1179" i="4"/>
  <c r="M1179" i="4" s="1"/>
  <c r="L1175" i="4"/>
  <c r="M1175" i="4" s="1"/>
  <c r="L1171" i="4"/>
  <c r="M1171" i="4" s="1"/>
  <c r="L1167" i="4"/>
  <c r="M1167" i="4" s="1"/>
  <c r="L1163" i="4"/>
  <c r="M1163" i="4" s="1"/>
  <c r="L1159" i="4"/>
  <c r="M1159" i="4" s="1"/>
  <c r="L1155" i="4"/>
  <c r="M1155" i="4" s="1"/>
  <c r="L1151" i="4"/>
  <c r="M1151" i="4" s="1"/>
  <c r="L1147" i="4"/>
  <c r="M1147" i="4" s="1"/>
  <c r="L1143" i="4"/>
  <c r="M1143" i="4" s="1"/>
  <c r="L1139" i="4"/>
  <c r="M1139" i="4" s="1"/>
  <c r="L1135" i="4"/>
  <c r="M1135" i="4" s="1"/>
  <c r="L1131" i="4"/>
  <c r="M1131" i="4" s="1"/>
  <c r="L1127" i="4"/>
  <c r="M1127" i="4" s="1"/>
  <c r="L1123" i="4"/>
  <c r="M1123" i="4" s="1"/>
  <c r="L1119" i="4"/>
  <c r="M1119" i="4" s="1"/>
  <c r="L1115" i="4"/>
  <c r="M1115" i="4" s="1"/>
  <c r="L1111" i="4"/>
  <c r="M1111" i="4" s="1"/>
  <c r="L1107" i="4"/>
  <c r="M1107" i="4" s="1"/>
  <c r="L1103" i="4"/>
  <c r="M1103" i="4" s="1"/>
  <c r="L1099" i="4"/>
  <c r="M1099" i="4" s="1"/>
  <c r="L1095" i="4"/>
  <c r="M1095" i="4" s="1"/>
  <c r="L1091" i="4"/>
  <c r="M1091" i="4" s="1"/>
  <c r="L1087" i="4"/>
  <c r="M1087" i="4" s="1"/>
  <c r="L1083" i="4"/>
  <c r="M1083" i="4" s="1"/>
  <c r="L1080" i="4"/>
  <c r="M1080" i="4" s="1"/>
  <c r="L1078" i="4"/>
  <c r="M1078" i="4" s="1"/>
  <c r="L1076" i="4"/>
  <c r="M1076" i="4" s="1"/>
  <c r="L1074" i="4"/>
  <c r="M1074" i="4" s="1"/>
  <c r="L1072" i="4"/>
  <c r="M1072" i="4" s="1"/>
  <c r="L1070" i="4"/>
  <c r="M1070" i="4" s="1"/>
  <c r="L1068" i="4"/>
  <c r="M1068" i="4" s="1"/>
  <c r="L1066" i="4"/>
  <c r="M1066" i="4" s="1"/>
  <c r="L1064" i="4"/>
  <c r="M1064" i="4" s="1"/>
  <c r="L1062" i="4"/>
  <c r="M1062" i="4" s="1"/>
  <c r="L1060" i="4"/>
  <c r="M1060" i="4" s="1"/>
  <c r="L1058" i="4"/>
  <c r="M1058" i="4" s="1"/>
  <c r="L1056" i="4"/>
  <c r="M1056" i="4" s="1"/>
  <c r="L1054" i="4"/>
  <c r="M1054" i="4" s="1"/>
  <c r="L1052" i="4"/>
  <c r="M1052" i="4" s="1"/>
  <c r="L1050" i="4"/>
  <c r="M1050" i="4" s="1"/>
  <c r="L1048" i="4"/>
  <c r="M1048" i="4" s="1"/>
  <c r="L1046" i="4"/>
  <c r="M1046" i="4" s="1"/>
  <c r="L1044" i="4"/>
  <c r="M1044" i="4" s="1"/>
  <c r="L1042" i="4"/>
  <c r="M1042" i="4" s="1"/>
  <c r="L1040" i="4"/>
  <c r="M1040" i="4" s="1"/>
  <c r="L1038" i="4"/>
  <c r="M1038" i="4" s="1"/>
  <c r="L1036" i="4"/>
  <c r="M1036" i="4" s="1"/>
  <c r="L1034" i="4"/>
  <c r="M1034" i="4" s="1"/>
  <c r="L1032" i="4"/>
  <c r="M1032" i="4" s="1"/>
  <c r="L1030" i="4"/>
  <c r="M1030" i="4" s="1"/>
  <c r="L1028" i="4"/>
  <c r="M1028" i="4" s="1"/>
  <c r="L1026" i="4"/>
  <c r="M1026" i="4" s="1"/>
  <c r="L1024" i="4"/>
  <c r="M1024" i="4" s="1"/>
  <c r="L1022" i="4"/>
  <c r="M1022" i="4" s="1"/>
  <c r="L1020" i="4"/>
  <c r="M1020" i="4" s="1"/>
  <c r="L1018" i="4"/>
  <c r="M1018" i="4" s="1"/>
  <c r="L1016" i="4"/>
  <c r="M1016" i="4" s="1"/>
  <c r="L1014" i="4"/>
  <c r="M1014" i="4" s="1"/>
  <c r="L1012" i="4"/>
  <c r="M1012" i="4" s="1"/>
  <c r="L1010" i="4"/>
  <c r="M1010" i="4" s="1"/>
  <c r="L1008" i="4"/>
  <c r="M1008" i="4" s="1"/>
  <c r="L1006" i="4"/>
  <c r="M1006" i="4" s="1"/>
  <c r="L1004" i="4"/>
  <c r="M1004" i="4" s="1"/>
  <c r="L1002" i="4"/>
  <c r="M1002" i="4" s="1"/>
  <c r="L1000" i="4"/>
  <c r="M1000" i="4" s="1"/>
  <c r="L998" i="4"/>
  <c r="M998" i="4" s="1"/>
  <c r="L996" i="4"/>
  <c r="M996" i="4" s="1"/>
  <c r="L994" i="4"/>
  <c r="M994" i="4" s="1"/>
  <c r="L992" i="4"/>
  <c r="M992" i="4" s="1"/>
  <c r="L990" i="4"/>
  <c r="M990" i="4" s="1"/>
  <c r="L988" i="4"/>
  <c r="M988" i="4" s="1"/>
  <c r="L986" i="4"/>
  <c r="M986" i="4" s="1"/>
  <c r="L984" i="4"/>
  <c r="M984" i="4" s="1"/>
  <c r="L982" i="4"/>
  <c r="M982" i="4" s="1"/>
  <c r="L980" i="4"/>
  <c r="M980" i="4" s="1"/>
  <c r="L978" i="4"/>
  <c r="M978" i="4" s="1"/>
  <c r="L976" i="4"/>
  <c r="M976" i="4" s="1"/>
  <c r="L974" i="4"/>
  <c r="M974" i="4" s="1"/>
  <c r="L972" i="4"/>
  <c r="M972" i="4" s="1"/>
  <c r="L970" i="4"/>
  <c r="M970" i="4" s="1"/>
  <c r="L968" i="4"/>
  <c r="M968" i="4" s="1"/>
  <c r="L966" i="4"/>
  <c r="M966" i="4" s="1"/>
  <c r="L964" i="4"/>
  <c r="M964" i="4" s="1"/>
  <c r="L962" i="4"/>
  <c r="M962" i="4" s="1"/>
  <c r="L960" i="4"/>
  <c r="M960" i="4" s="1"/>
  <c r="L958" i="4"/>
  <c r="M958" i="4" s="1"/>
  <c r="L956" i="4"/>
  <c r="M956" i="4" s="1"/>
  <c r="L954" i="4"/>
  <c r="M954" i="4" s="1"/>
  <c r="L952" i="4"/>
  <c r="M952" i="4" s="1"/>
  <c r="L950" i="4"/>
  <c r="M950" i="4" s="1"/>
  <c r="L948" i="4"/>
  <c r="M948" i="4" s="1"/>
  <c r="L946" i="4"/>
  <c r="M946" i="4" s="1"/>
  <c r="L944" i="4"/>
  <c r="M944" i="4" s="1"/>
  <c r="L942" i="4"/>
  <c r="M942" i="4" s="1"/>
  <c r="L940" i="4"/>
  <c r="M940" i="4" s="1"/>
  <c r="L938" i="4"/>
  <c r="M938" i="4" s="1"/>
  <c r="L936" i="4"/>
  <c r="M936" i="4" s="1"/>
  <c r="L934" i="4"/>
  <c r="M934" i="4" s="1"/>
  <c r="L932" i="4"/>
  <c r="M932" i="4" s="1"/>
  <c r="L930" i="4"/>
  <c r="M930" i="4" s="1"/>
  <c r="L928" i="4"/>
  <c r="M928" i="4" s="1"/>
  <c r="L926" i="4"/>
  <c r="M926" i="4" s="1"/>
  <c r="L924" i="4"/>
  <c r="M924" i="4" s="1"/>
  <c r="L922" i="4"/>
  <c r="M922" i="4" s="1"/>
  <c r="L920" i="4"/>
  <c r="M920" i="4" s="1"/>
  <c r="L918" i="4"/>
  <c r="M918" i="4" s="1"/>
  <c r="L916" i="4"/>
  <c r="M916" i="4" s="1"/>
  <c r="L914" i="4"/>
  <c r="M914" i="4" s="1"/>
  <c r="L912" i="4"/>
  <c r="M912" i="4" s="1"/>
  <c r="L910" i="4"/>
  <c r="M910" i="4" s="1"/>
  <c r="L908" i="4"/>
  <c r="M908" i="4" s="1"/>
  <c r="L906" i="4"/>
  <c r="M906" i="4" s="1"/>
  <c r="L904" i="4"/>
  <c r="M904" i="4" s="1"/>
  <c r="L902" i="4"/>
  <c r="M902" i="4" s="1"/>
  <c r="L900" i="4"/>
  <c r="M900" i="4" s="1"/>
  <c r="L898" i="4"/>
  <c r="M898" i="4" s="1"/>
  <c r="L456" i="4"/>
  <c r="M456" i="4" s="1"/>
  <c r="L460" i="4"/>
  <c r="M460" i="4" s="1"/>
  <c r="L464" i="4"/>
  <c r="M464" i="4" s="1"/>
  <c r="L468" i="4"/>
  <c r="M468" i="4" s="1"/>
  <c r="L472" i="4"/>
  <c r="M472" i="4" s="1"/>
  <c r="L476" i="4"/>
  <c r="M476" i="4" s="1"/>
  <c r="L480" i="4"/>
  <c r="M480" i="4" s="1"/>
  <c r="L484" i="4"/>
  <c r="M484" i="4" s="1"/>
  <c r="L488" i="4"/>
  <c r="M488" i="4" s="1"/>
  <c r="L492" i="4"/>
  <c r="M492" i="4" s="1"/>
  <c r="L496" i="4"/>
  <c r="M496" i="4" s="1"/>
  <c r="L500" i="4"/>
  <c r="M500" i="4" s="1"/>
  <c r="L504" i="4"/>
  <c r="M504" i="4" s="1"/>
  <c r="L508" i="4"/>
  <c r="M508" i="4" s="1"/>
  <c r="L512" i="4"/>
  <c r="M512" i="4" s="1"/>
  <c r="L516" i="4"/>
  <c r="M516" i="4" s="1"/>
  <c r="L520" i="4"/>
  <c r="M520" i="4" s="1"/>
  <c r="L524" i="4"/>
  <c r="M524" i="4" s="1"/>
  <c r="L528" i="4"/>
  <c r="M528" i="4" s="1"/>
  <c r="L532" i="4"/>
  <c r="M532" i="4" s="1"/>
  <c r="L536" i="4"/>
  <c r="M536" i="4" s="1"/>
  <c r="L540" i="4"/>
  <c r="M540" i="4" s="1"/>
  <c r="L544" i="4"/>
  <c r="M544" i="4" s="1"/>
  <c r="L548" i="4"/>
  <c r="M548" i="4" s="1"/>
  <c r="L552" i="4"/>
  <c r="M552" i="4" s="1"/>
  <c r="L556" i="4"/>
  <c r="M556" i="4" s="1"/>
  <c r="L560" i="4"/>
  <c r="M560" i="4" s="1"/>
  <c r="L564" i="4"/>
  <c r="M564" i="4" s="1"/>
  <c r="L568" i="4"/>
  <c r="M568" i="4" s="1"/>
  <c r="L572" i="4"/>
  <c r="M572" i="4" s="1"/>
  <c r="L576" i="4"/>
  <c r="M576" i="4" s="1"/>
  <c r="L580" i="4"/>
  <c r="M580" i="4" s="1"/>
  <c r="L584" i="4"/>
  <c r="M584" i="4" s="1"/>
  <c r="L588" i="4"/>
  <c r="M588" i="4" s="1"/>
  <c r="L592" i="4"/>
  <c r="M592" i="4" s="1"/>
  <c r="L596" i="4"/>
  <c r="M596" i="4" s="1"/>
  <c r="L600" i="4"/>
  <c r="M600" i="4" s="1"/>
  <c r="L604" i="4"/>
  <c r="M604" i="4" s="1"/>
  <c r="L608" i="4"/>
  <c r="M608" i="4" s="1"/>
  <c r="L612" i="4"/>
  <c r="M612" i="4" s="1"/>
  <c r="L616" i="4"/>
  <c r="M616" i="4" s="1"/>
  <c r="L620" i="4"/>
  <c r="M620" i="4" s="1"/>
  <c r="L624" i="4"/>
  <c r="M624" i="4" s="1"/>
  <c r="L628" i="4"/>
  <c r="M628" i="4" s="1"/>
  <c r="L632" i="4"/>
  <c r="M632" i="4" s="1"/>
  <c r="L636" i="4"/>
  <c r="M636" i="4" s="1"/>
  <c r="L640" i="4"/>
  <c r="M640" i="4" s="1"/>
  <c r="L644" i="4"/>
  <c r="M644" i="4" s="1"/>
  <c r="L648" i="4"/>
  <c r="M648" i="4" s="1"/>
  <c r="L652" i="4"/>
  <c r="M652" i="4" s="1"/>
  <c r="L656" i="4"/>
  <c r="M656" i="4" s="1"/>
  <c r="L660" i="4"/>
  <c r="M660" i="4" s="1"/>
  <c r="L664" i="4"/>
  <c r="M664" i="4" s="1"/>
  <c r="L668" i="4"/>
  <c r="M668" i="4" s="1"/>
  <c r="L672" i="4"/>
  <c r="M672" i="4" s="1"/>
  <c r="L676" i="4"/>
  <c r="M676" i="4" s="1"/>
  <c r="L680" i="4"/>
  <c r="M680" i="4" s="1"/>
  <c r="L684" i="4"/>
  <c r="M684" i="4" s="1"/>
  <c r="L688" i="4"/>
  <c r="M688" i="4" s="1"/>
  <c r="L692" i="4"/>
  <c r="M692" i="4" s="1"/>
  <c r="L696" i="4"/>
  <c r="M696" i="4" s="1"/>
  <c r="L700" i="4"/>
  <c r="M700" i="4" s="1"/>
  <c r="L704" i="4"/>
  <c r="M704" i="4" s="1"/>
  <c r="L708" i="4"/>
  <c r="M708" i="4" s="1"/>
  <c r="L712" i="4"/>
  <c r="M712" i="4" s="1"/>
  <c r="L716" i="4"/>
  <c r="M716" i="4" s="1"/>
  <c r="L720" i="4"/>
  <c r="M720" i="4" s="1"/>
  <c r="L724" i="4"/>
  <c r="M724" i="4" s="1"/>
  <c r="L728" i="4"/>
  <c r="M728" i="4" s="1"/>
  <c r="L732" i="4"/>
  <c r="M732" i="4" s="1"/>
  <c r="L736" i="4"/>
  <c r="M736" i="4" s="1"/>
  <c r="L740" i="4"/>
  <c r="M740" i="4" s="1"/>
  <c r="L744" i="4"/>
  <c r="M744" i="4" s="1"/>
  <c r="L748" i="4"/>
  <c r="M748" i="4" s="1"/>
  <c r="L752" i="4"/>
  <c r="M752" i="4" s="1"/>
  <c r="L756" i="4"/>
  <c r="M756" i="4" s="1"/>
  <c r="L760" i="4"/>
  <c r="M760" i="4" s="1"/>
  <c r="L764" i="4"/>
  <c r="M764" i="4" s="1"/>
  <c r="L768" i="4"/>
  <c r="M768" i="4" s="1"/>
  <c r="L772" i="4"/>
  <c r="M772" i="4" s="1"/>
  <c r="L774" i="4"/>
  <c r="M774" i="4" s="1"/>
  <c r="L776" i="4"/>
  <c r="M776" i="4" s="1"/>
  <c r="L778" i="4"/>
  <c r="M778" i="4" s="1"/>
  <c r="L780" i="4"/>
  <c r="M780" i="4" s="1"/>
  <c r="L782" i="4"/>
  <c r="M782" i="4" s="1"/>
  <c r="L784" i="4"/>
  <c r="M784" i="4" s="1"/>
  <c r="L786" i="4"/>
  <c r="M786" i="4" s="1"/>
  <c r="L788" i="4"/>
  <c r="M788" i="4" s="1"/>
  <c r="L790" i="4"/>
  <c r="M790" i="4" s="1"/>
  <c r="L792" i="4"/>
  <c r="M792" i="4" s="1"/>
  <c r="L794" i="4"/>
  <c r="M794" i="4" s="1"/>
  <c r="L796" i="4"/>
  <c r="M796" i="4" s="1"/>
  <c r="L798" i="4"/>
  <c r="M798" i="4" s="1"/>
  <c r="L800" i="4"/>
  <c r="M800" i="4" s="1"/>
  <c r="L802" i="4"/>
  <c r="M802" i="4" s="1"/>
  <c r="L804" i="4"/>
  <c r="M804" i="4" s="1"/>
  <c r="L806" i="4"/>
  <c r="M806" i="4" s="1"/>
  <c r="L808" i="4"/>
  <c r="M808" i="4" s="1"/>
  <c r="L810" i="4"/>
  <c r="M810" i="4" s="1"/>
  <c r="L812" i="4"/>
  <c r="M812" i="4" s="1"/>
  <c r="L814" i="4"/>
  <c r="M814" i="4" s="1"/>
  <c r="L816" i="4"/>
  <c r="M816" i="4" s="1"/>
  <c r="L818" i="4"/>
  <c r="M818" i="4" s="1"/>
  <c r="L820" i="4"/>
  <c r="M820" i="4" s="1"/>
  <c r="L822" i="4"/>
  <c r="M822" i="4" s="1"/>
  <c r="L824" i="4"/>
  <c r="M824" i="4" s="1"/>
  <c r="L826" i="4"/>
  <c r="M826" i="4" s="1"/>
  <c r="L828" i="4"/>
  <c r="M828" i="4" s="1"/>
  <c r="L830" i="4"/>
  <c r="M830" i="4" s="1"/>
  <c r="L832" i="4"/>
  <c r="M832" i="4" s="1"/>
  <c r="L834" i="4"/>
  <c r="M834" i="4" s="1"/>
  <c r="L836" i="4"/>
  <c r="M836" i="4" s="1"/>
  <c r="L838" i="4"/>
  <c r="M838" i="4" s="1"/>
  <c r="L840" i="4"/>
  <c r="M840" i="4" s="1"/>
  <c r="L842" i="4"/>
  <c r="M842" i="4" s="1"/>
  <c r="L844" i="4"/>
  <c r="M844" i="4" s="1"/>
  <c r="L846" i="4"/>
  <c r="M846" i="4" s="1"/>
  <c r="L848" i="4"/>
  <c r="M848" i="4" s="1"/>
  <c r="L850" i="4"/>
  <c r="M850" i="4" s="1"/>
  <c r="L852" i="4"/>
  <c r="M852" i="4" s="1"/>
  <c r="L854" i="4"/>
  <c r="M854" i="4" s="1"/>
  <c r="L856" i="4"/>
  <c r="M856" i="4" s="1"/>
  <c r="L858" i="4"/>
  <c r="M858" i="4" s="1"/>
  <c r="L860" i="4"/>
  <c r="M860" i="4" s="1"/>
  <c r="L862" i="4"/>
  <c r="M862" i="4" s="1"/>
  <c r="L864" i="4"/>
  <c r="M864" i="4" s="1"/>
  <c r="L866" i="4"/>
  <c r="M866" i="4" s="1"/>
  <c r="L868" i="4"/>
  <c r="M868" i="4" s="1"/>
  <c r="L870" i="4"/>
  <c r="M870" i="4" s="1"/>
  <c r="L872" i="4"/>
  <c r="M872" i="4" s="1"/>
  <c r="L876" i="4"/>
  <c r="M876" i="4" s="1"/>
  <c r="L880" i="4"/>
  <c r="M880" i="4" s="1"/>
  <c r="L884" i="4"/>
  <c r="M884" i="4" s="1"/>
  <c r="L888" i="4"/>
  <c r="M888" i="4" s="1"/>
  <c r="L892" i="4"/>
  <c r="M892" i="4" s="1"/>
  <c r="L896" i="4"/>
  <c r="M896" i="4" s="1"/>
  <c r="L454" i="4"/>
  <c r="M454" i="4" s="1"/>
  <c r="L458" i="4"/>
  <c r="M458" i="4" s="1"/>
  <c r="L462" i="4"/>
  <c r="M462" i="4" s="1"/>
  <c r="L466" i="4"/>
  <c r="M466" i="4" s="1"/>
  <c r="L470" i="4"/>
  <c r="M470" i="4" s="1"/>
  <c r="L474" i="4"/>
  <c r="M474" i="4" s="1"/>
  <c r="L478" i="4"/>
  <c r="M478" i="4" s="1"/>
  <c r="L482" i="4"/>
  <c r="M482" i="4" s="1"/>
  <c r="L486" i="4"/>
  <c r="M486" i="4" s="1"/>
  <c r="L490" i="4"/>
  <c r="M490" i="4" s="1"/>
  <c r="L494" i="4"/>
  <c r="M494" i="4" s="1"/>
  <c r="L498" i="4"/>
  <c r="M498" i="4" s="1"/>
  <c r="L502" i="4"/>
  <c r="M502" i="4" s="1"/>
  <c r="L506" i="4"/>
  <c r="M506" i="4" s="1"/>
  <c r="L510" i="4"/>
  <c r="M510" i="4" s="1"/>
  <c r="L514" i="4"/>
  <c r="M514" i="4" s="1"/>
  <c r="L518" i="4"/>
  <c r="M518" i="4" s="1"/>
  <c r="L522" i="4"/>
  <c r="M522" i="4" s="1"/>
  <c r="L526" i="4"/>
  <c r="M526" i="4" s="1"/>
  <c r="L530" i="4"/>
  <c r="M530" i="4" s="1"/>
  <c r="L534" i="4"/>
  <c r="M534" i="4" s="1"/>
  <c r="L538" i="4"/>
  <c r="M538" i="4" s="1"/>
  <c r="L542" i="4"/>
  <c r="M542" i="4" s="1"/>
  <c r="L546" i="4"/>
  <c r="M546" i="4" s="1"/>
  <c r="L550" i="4"/>
  <c r="M550" i="4" s="1"/>
  <c r="L554" i="4"/>
  <c r="M554" i="4" s="1"/>
  <c r="L558" i="4"/>
  <c r="M558" i="4" s="1"/>
  <c r="L562" i="4"/>
  <c r="M562" i="4" s="1"/>
  <c r="L566" i="4"/>
  <c r="M566" i="4" s="1"/>
  <c r="L570" i="4"/>
  <c r="M570" i="4" s="1"/>
  <c r="L574" i="4"/>
  <c r="M574" i="4" s="1"/>
  <c r="L578" i="4"/>
  <c r="M578" i="4" s="1"/>
  <c r="L582" i="4"/>
  <c r="M582" i="4" s="1"/>
  <c r="L586" i="4"/>
  <c r="M586" i="4" s="1"/>
  <c r="L590" i="4"/>
  <c r="M590" i="4" s="1"/>
  <c r="L594" i="4"/>
  <c r="M594" i="4" s="1"/>
  <c r="L598" i="4"/>
  <c r="M598" i="4" s="1"/>
  <c r="L602" i="4"/>
  <c r="M602" i="4" s="1"/>
  <c r="L606" i="4"/>
  <c r="M606" i="4" s="1"/>
  <c r="L610" i="4"/>
  <c r="M610" i="4" s="1"/>
  <c r="L614" i="4"/>
  <c r="M614" i="4" s="1"/>
  <c r="L618" i="4"/>
  <c r="M618" i="4" s="1"/>
  <c r="L622" i="4"/>
  <c r="M622" i="4" s="1"/>
  <c r="L626" i="4"/>
  <c r="M626" i="4" s="1"/>
  <c r="L630" i="4"/>
  <c r="M630" i="4" s="1"/>
  <c r="L634" i="4"/>
  <c r="M634" i="4" s="1"/>
  <c r="L638" i="4"/>
  <c r="M638" i="4" s="1"/>
  <c r="L642" i="4"/>
  <c r="M642" i="4" s="1"/>
  <c r="L646" i="4"/>
  <c r="M646" i="4" s="1"/>
  <c r="L650" i="4"/>
  <c r="M650" i="4" s="1"/>
  <c r="L654" i="4"/>
  <c r="M654" i="4" s="1"/>
  <c r="L658" i="4"/>
  <c r="M658" i="4" s="1"/>
  <c r="L662" i="4"/>
  <c r="M662" i="4" s="1"/>
  <c r="L666" i="4"/>
  <c r="M666" i="4" s="1"/>
  <c r="L670" i="4"/>
  <c r="M670" i="4" s="1"/>
  <c r="L674" i="4"/>
  <c r="M674" i="4" s="1"/>
  <c r="L678" i="4"/>
  <c r="M678" i="4" s="1"/>
  <c r="L682" i="4"/>
  <c r="M682" i="4" s="1"/>
  <c r="L686" i="4"/>
  <c r="M686" i="4" s="1"/>
  <c r="L690" i="4"/>
  <c r="M690" i="4" s="1"/>
  <c r="L694" i="4"/>
  <c r="M694" i="4" s="1"/>
  <c r="L698" i="4"/>
  <c r="M698" i="4" s="1"/>
  <c r="L702" i="4"/>
  <c r="M702" i="4" s="1"/>
  <c r="L706" i="4"/>
  <c r="M706" i="4" s="1"/>
  <c r="L710" i="4"/>
  <c r="M710" i="4" s="1"/>
  <c r="L714" i="4"/>
  <c r="M714" i="4" s="1"/>
  <c r="L718" i="4"/>
  <c r="M718" i="4" s="1"/>
  <c r="L722" i="4"/>
  <c r="M722" i="4" s="1"/>
  <c r="L726" i="4"/>
  <c r="M726" i="4" s="1"/>
  <c r="L730" i="4"/>
  <c r="M730" i="4" s="1"/>
  <c r="L734" i="4"/>
  <c r="M734" i="4" s="1"/>
  <c r="L738" i="4"/>
  <c r="M738" i="4" s="1"/>
  <c r="L742" i="4"/>
  <c r="M742" i="4" s="1"/>
  <c r="L746" i="4"/>
  <c r="M746" i="4" s="1"/>
  <c r="L750" i="4"/>
  <c r="M750" i="4" s="1"/>
  <c r="L754" i="4"/>
  <c r="M754" i="4" s="1"/>
  <c r="L758" i="4"/>
  <c r="M758" i="4" s="1"/>
  <c r="L762" i="4"/>
  <c r="M762" i="4" s="1"/>
  <c r="L766" i="4"/>
  <c r="M766" i="4" s="1"/>
  <c r="L770" i="4"/>
  <c r="M770" i="4" s="1"/>
  <c r="L773" i="4"/>
  <c r="M773" i="4" s="1"/>
  <c r="L775" i="4"/>
  <c r="M775" i="4" s="1"/>
  <c r="L777" i="4"/>
  <c r="M777" i="4" s="1"/>
  <c r="L779" i="4"/>
  <c r="M779" i="4" s="1"/>
  <c r="L781" i="4"/>
  <c r="M781" i="4" s="1"/>
  <c r="L783" i="4"/>
  <c r="M783" i="4" s="1"/>
  <c r="L785" i="4"/>
  <c r="M785" i="4" s="1"/>
  <c r="L787" i="4"/>
  <c r="M787" i="4" s="1"/>
  <c r="L789" i="4"/>
  <c r="M789" i="4" s="1"/>
  <c r="L791" i="4"/>
  <c r="M791" i="4" s="1"/>
  <c r="L793" i="4"/>
  <c r="M793" i="4" s="1"/>
  <c r="L795" i="4"/>
  <c r="M795" i="4" s="1"/>
  <c r="L797" i="4"/>
  <c r="M797" i="4" s="1"/>
  <c r="L799" i="4"/>
  <c r="M799" i="4" s="1"/>
  <c r="L801" i="4"/>
  <c r="M801" i="4" s="1"/>
  <c r="L803" i="4"/>
  <c r="M803" i="4" s="1"/>
  <c r="L805" i="4"/>
  <c r="M805" i="4" s="1"/>
  <c r="L807" i="4"/>
  <c r="M807" i="4" s="1"/>
  <c r="L809" i="4"/>
  <c r="M809" i="4" s="1"/>
  <c r="L811" i="4"/>
  <c r="M811" i="4" s="1"/>
  <c r="L813" i="4"/>
  <c r="M813" i="4" s="1"/>
  <c r="L815" i="4"/>
  <c r="M815" i="4" s="1"/>
  <c r="L817" i="4"/>
  <c r="M817" i="4" s="1"/>
  <c r="L819" i="4"/>
  <c r="M819" i="4" s="1"/>
  <c r="L821" i="4"/>
  <c r="M821" i="4" s="1"/>
  <c r="L823" i="4"/>
  <c r="M823" i="4" s="1"/>
  <c r="L825" i="4"/>
  <c r="M825" i="4" s="1"/>
  <c r="L827" i="4"/>
  <c r="M827" i="4" s="1"/>
  <c r="L829" i="4"/>
  <c r="M829" i="4" s="1"/>
  <c r="L831" i="4"/>
  <c r="M831" i="4" s="1"/>
  <c r="L833" i="4"/>
  <c r="M833" i="4" s="1"/>
  <c r="L835" i="4"/>
  <c r="M835" i="4" s="1"/>
  <c r="L837" i="4"/>
  <c r="M837" i="4" s="1"/>
  <c r="L839" i="4"/>
  <c r="M839" i="4" s="1"/>
  <c r="L841" i="4"/>
  <c r="M841" i="4" s="1"/>
  <c r="L843" i="4"/>
  <c r="M843" i="4" s="1"/>
  <c r="L845" i="4"/>
  <c r="M845" i="4" s="1"/>
  <c r="L847" i="4"/>
  <c r="M847" i="4" s="1"/>
  <c r="L849" i="4"/>
  <c r="M849" i="4" s="1"/>
  <c r="L851" i="4"/>
  <c r="M851" i="4" s="1"/>
  <c r="L853" i="4"/>
  <c r="M853" i="4" s="1"/>
  <c r="L855" i="4"/>
  <c r="M855" i="4" s="1"/>
  <c r="L857" i="4"/>
  <c r="M857" i="4" s="1"/>
  <c r="L859" i="4"/>
  <c r="M859" i="4" s="1"/>
  <c r="L861" i="4"/>
  <c r="M861" i="4" s="1"/>
  <c r="L863" i="4"/>
  <c r="M863" i="4" s="1"/>
  <c r="L865" i="4"/>
  <c r="M865" i="4" s="1"/>
  <c r="L867" i="4"/>
  <c r="M867" i="4" s="1"/>
  <c r="L869" i="4"/>
  <c r="M869" i="4" s="1"/>
  <c r="L871" i="4"/>
  <c r="M871" i="4" s="1"/>
  <c r="L874" i="4"/>
  <c r="M874" i="4" s="1"/>
  <c r="L878" i="4"/>
  <c r="M878" i="4" s="1"/>
  <c r="L882" i="4"/>
  <c r="M882" i="4" s="1"/>
  <c r="L886" i="4"/>
  <c r="M886" i="4" s="1"/>
  <c r="L890" i="4"/>
  <c r="M890" i="4" s="1"/>
  <c r="L894" i="4"/>
  <c r="M894" i="4" s="1"/>
  <c r="D4" i="4"/>
  <c r="E4" i="4" s="1"/>
  <c r="D6" i="4"/>
  <c r="E6" i="4" s="1"/>
  <c r="D8" i="4"/>
  <c r="E8" i="4" s="1"/>
  <c r="D10" i="4"/>
  <c r="E10" i="4" s="1"/>
  <c r="D12" i="4"/>
  <c r="E12" i="4" s="1"/>
  <c r="D16" i="4"/>
  <c r="E16" i="4" s="1"/>
  <c r="D18" i="4"/>
  <c r="E18" i="4" s="1"/>
  <c r="D20" i="4"/>
  <c r="E20" i="4" s="1"/>
  <c r="D22" i="4"/>
  <c r="E22" i="4" s="1"/>
  <c r="D24" i="4"/>
  <c r="E24" i="4" s="1"/>
  <c r="D26" i="4"/>
  <c r="E26" i="4" s="1"/>
  <c r="D28" i="4"/>
  <c r="E28" i="4" s="1"/>
  <c r="D30" i="4"/>
  <c r="E30" i="4" s="1"/>
  <c r="D34" i="4"/>
  <c r="E34" i="4" s="1"/>
  <c r="D38" i="4"/>
  <c r="E38" i="4" s="1"/>
  <c r="D40" i="4"/>
  <c r="E40" i="4" s="1"/>
  <c r="D42" i="4"/>
  <c r="E42" i="4" s="1"/>
  <c r="D44" i="4"/>
  <c r="E44" i="4" s="1"/>
  <c r="D46" i="4"/>
  <c r="E46" i="4" s="1"/>
  <c r="D52" i="4"/>
  <c r="E52" i="4" s="1"/>
  <c r="D54" i="4"/>
  <c r="E54" i="4" s="1"/>
  <c r="D56" i="4"/>
  <c r="E56" i="4" s="1"/>
  <c r="D58" i="4"/>
  <c r="E58" i="4" s="1"/>
  <c r="D62" i="4"/>
  <c r="E62" i="4" s="1"/>
  <c r="D64" i="4"/>
  <c r="E64" i="4" s="1"/>
  <c r="D66" i="4"/>
  <c r="E66" i="4" s="1"/>
  <c r="D68" i="4"/>
  <c r="E68" i="4" s="1"/>
  <c r="D70" i="4"/>
  <c r="E70" i="4" s="1"/>
  <c r="D72" i="4"/>
  <c r="E72" i="4" s="1"/>
  <c r="D74" i="4"/>
  <c r="E74" i="4" s="1"/>
  <c r="D76" i="4"/>
  <c r="E76" i="4" s="1"/>
  <c r="D78" i="4"/>
  <c r="E78" i="4" s="1"/>
  <c r="D80" i="4"/>
  <c r="E80" i="4" s="1"/>
  <c r="D84" i="4"/>
  <c r="E84" i="4" s="1"/>
  <c r="D86" i="4"/>
  <c r="E86" i="4" s="1"/>
  <c r="D88" i="4"/>
  <c r="E88" i="4" s="1"/>
  <c r="D90" i="4"/>
  <c r="E90" i="4" s="1"/>
  <c r="D92" i="4"/>
  <c r="E92" i="4" s="1"/>
  <c r="D94" i="4"/>
  <c r="E94" i="4" s="1"/>
  <c r="D96" i="4"/>
  <c r="E96" i="4" s="1"/>
  <c r="D98" i="4"/>
  <c r="E98" i="4" s="1"/>
  <c r="D100" i="4"/>
  <c r="E100" i="4" s="1"/>
  <c r="D102" i="4"/>
  <c r="E102" i="4" s="1"/>
  <c r="D104" i="4"/>
  <c r="E104" i="4" s="1"/>
  <c r="D108" i="4"/>
  <c r="E108" i="4" s="1"/>
  <c r="D110" i="4"/>
  <c r="E110" i="4" s="1"/>
  <c r="D112" i="4"/>
  <c r="E112" i="4" s="1"/>
  <c r="D114" i="4"/>
  <c r="E114" i="4" s="1"/>
  <c r="D126" i="4"/>
  <c r="E126" i="4" s="1"/>
  <c r="D128" i="4"/>
  <c r="E128" i="4" s="1"/>
  <c r="D130" i="4"/>
  <c r="E130" i="4" s="1"/>
  <c r="D134" i="4"/>
  <c r="E134" i="4" s="1"/>
  <c r="D136" i="4"/>
  <c r="E136" i="4" s="1"/>
  <c r="D138" i="4"/>
  <c r="E138" i="4" s="1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3" i="4"/>
  <c r="E3" i="4" s="1"/>
  <c r="D7" i="4"/>
  <c r="E7" i="4" s="1"/>
  <c r="D9" i="4"/>
  <c r="E9" i="4" s="1"/>
  <c r="D11" i="4"/>
  <c r="E11" i="4" s="1"/>
  <c r="D13" i="4"/>
  <c r="E13" i="4" s="1"/>
  <c r="D15" i="4"/>
  <c r="E15" i="4" s="1"/>
  <c r="D19" i="4"/>
  <c r="E19" i="4" s="1"/>
  <c r="D21" i="4"/>
  <c r="E21" i="4" s="1"/>
  <c r="D23" i="4"/>
  <c r="E23" i="4" s="1"/>
  <c r="D25" i="4"/>
  <c r="E25" i="4" s="1"/>
  <c r="D27" i="4"/>
  <c r="E27" i="4" s="1"/>
  <c r="D31" i="4"/>
  <c r="E31" i="4" s="1"/>
  <c r="D33" i="4"/>
  <c r="E33" i="4" s="1"/>
  <c r="D35" i="4"/>
  <c r="E35" i="4" s="1"/>
  <c r="D37" i="4"/>
  <c r="E37" i="4" s="1"/>
  <c r="D39" i="4"/>
  <c r="E39" i="4" s="1"/>
  <c r="D41" i="4"/>
  <c r="E41" i="4" s="1"/>
  <c r="D43" i="4"/>
  <c r="E43" i="4" s="1"/>
  <c r="D45" i="4"/>
  <c r="E45" i="4" s="1"/>
  <c r="D47" i="4"/>
  <c r="E47" i="4" s="1"/>
  <c r="D49" i="4"/>
  <c r="E49" i="4" s="1"/>
  <c r="D51" i="4"/>
  <c r="E51" i="4" s="1"/>
  <c r="D53" i="4"/>
  <c r="E53" i="4" s="1"/>
  <c r="D55" i="4"/>
  <c r="E55" i="4" s="1"/>
  <c r="D57" i="4"/>
  <c r="E57" i="4" s="1"/>
  <c r="D59" i="4"/>
  <c r="E59" i="4" s="1"/>
  <c r="D61" i="4"/>
  <c r="E61" i="4" s="1"/>
  <c r="D63" i="4"/>
  <c r="E63" i="4" s="1"/>
  <c r="D65" i="4"/>
  <c r="E65" i="4" s="1"/>
  <c r="D67" i="4"/>
  <c r="E67" i="4" s="1"/>
  <c r="D69" i="4"/>
  <c r="E69" i="4" s="1"/>
  <c r="D71" i="4"/>
  <c r="E71" i="4" s="1"/>
  <c r="D73" i="4"/>
  <c r="E73" i="4" s="1"/>
  <c r="D75" i="4"/>
  <c r="E75" i="4" s="1"/>
  <c r="D81" i="4"/>
  <c r="E81" i="4" s="1"/>
  <c r="D83" i="4"/>
  <c r="E83" i="4" s="1"/>
  <c r="D85" i="4"/>
  <c r="E85" i="4" s="1"/>
  <c r="D87" i="4"/>
  <c r="E87" i="4" s="1"/>
  <c r="D89" i="4"/>
  <c r="E89" i="4" s="1"/>
  <c r="D93" i="4"/>
  <c r="E93" i="4" s="1"/>
  <c r="D95" i="4"/>
  <c r="E95" i="4" s="1"/>
  <c r="D99" i="4"/>
  <c r="E99" i="4" s="1"/>
  <c r="D103" i="4"/>
  <c r="E103" i="4" s="1"/>
  <c r="D109" i="4"/>
  <c r="E109" i="4" s="1"/>
  <c r="D113" i="4"/>
  <c r="E113" i="4" s="1"/>
  <c r="D127" i="4"/>
  <c r="E127" i="4" s="1"/>
  <c r="D131" i="4"/>
  <c r="E131" i="4" s="1"/>
  <c r="D133" i="4"/>
  <c r="E133" i="4" s="1"/>
  <c r="D137" i="4"/>
  <c r="E137" i="4" s="1"/>
  <c r="D141" i="4"/>
  <c r="D145" i="4"/>
  <c r="D149" i="4"/>
  <c r="D153" i="4"/>
  <c r="D157" i="4"/>
  <c r="D161" i="4"/>
  <c r="D165" i="4"/>
  <c r="D169" i="4"/>
  <c r="D173" i="4"/>
  <c r="D177" i="4"/>
  <c r="D181" i="4"/>
  <c r="D185" i="4"/>
  <c r="D189" i="4"/>
  <c r="D193" i="4"/>
  <c r="D197" i="4"/>
  <c r="D201" i="4"/>
  <c r="D203" i="4"/>
  <c r="D205" i="4"/>
  <c r="D207" i="4"/>
  <c r="D209" i="4"/>
  <c r="D211" i="4"/>
  <c r="D213" i="4"/>
  <c r="D215" i="4"/>
  <c r="D217" i="4"/>
  <c r="D219" i="4"/>
  <c r="D221" i="4"/>
  <c r="D223" i="4"/>
  <c r="D225" i="4"/>
  <c r="D227" i="4"/>
  <c r="D229" i="4"/>
  <c r="D231" i="4"/>
  <c r="D233" i="4"/>
  <c r="D235" i="4"/>
  <c r="D237" i="4"/>
  <c r="D239" i="4"/>
  <c r="D241" i="4"/>
  <c r="D243" i="4"/>
  <c r="D245" i="4"/>
  <c r="D247" i="4"/>
  <c r="D249" i="4"/>
  <c r="D251" i="4"/>
  <c r="D253" i="4"/>
  <c r="D255" i="4"/>
  <c r="D257" i="4"/>
  <c r="D259" i="4"/>
  <c r="D261" i="4"/>
  <c r="D263" i="4"/>
  <c r="D265" i="4"/>
  <c r="D267" i="4"/>
  <c r="D269" i="4"/>
  <c r="D271" i="4"/>
  <c r="D273" i="4"/>
  <c r="D275" i="4"/>
  <c r="D277" i="4"/>
  <c r="D279" i="4"/>
  <c r="D281" i="4"/>
  <c r="D283" i="4"/>
  <c r="D285" i="4"/>
  <c r="D287" i="4"/>
  <c r="D289" i="4"/>
  <c r="D291" i="4"/>
  <c r="D293" i="4"/>
  <c r="D295" i="4"/>
  <c r="D297" i="4"/>
  <c r="D299" i="4"/>
  <c r="D301" i="4"/>
  <c r="D303" i="4"/>
  <c r="D305" i="4"/>
  <c r="D307" i="4"/>
  <c r="D309" i="4"/>
  <c r="D101" i="4"/>
  <c r="E101" i="4" s="1"/>
  <c r="D105" i="4"/>
  <c r="E105" i="4" s="1"/>
  <c r="D107" i="4"/>
  <c r="E107" i="4" s="1"/>
  <c r="D115" i="4"/>
  <c r="E115" i="4" s="1"/>
  <c r="D117" i="4"/>
  <c r="E117" i="4" s="1"/>
  <c r="D119" i="4"/>
  <c r="E119" i="4" s="1"/>
  <c r="D121" i="4"/>
  <c r="E121" i="4" s="1"/>
  <c r="D123" i="4"/>
  <c r="E123" i="4" s="1"/>
  <c r="D125" i="4"/>
  <c r="E125" i="4" s="1"/>
  <c r="D129" i="4"/>
  <c r="E129" i="4" s="1"/>
  <c r="D139" i="4"/>
  <c r="D143" i="4"/>
  <c r="D147" i="4"/>
  <c r="D151" i="4"/>
  <c r="D155" i="4"/>
  <c r="D159" i="4"/>
  <c r="D163" i="4"/>
  <c r="D167" i="4"/>
  <c r="D171" i="4"/>
  <c r="D175" i="4"/>
  <c r="D179" i="4"/>
  <c r="D183" i="4"/>
  <c r="D187" i="4"/>
  <c r="D191" i="4"/>
  <c r="D195" i="4"/>
  <c r="D199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D302" i="4"/>
  <c r="D304" i="4"/>
  <c r="D306" i="4"/>
  <c r="D308" i="4"/>
  <c r="D310" i="4"/>
  <c r="D312" i="4"/>
  <c r="D314" i="4"/>
  <c r="D316" i="4"/>
  <c r="D318" i="4"/>
  <c r="D311" i="4"/>
  <c r="D315" i="4"/>
  <c r="D319" i="4"/>
  <c r="D321" i="4"/>
  <c r="D323" i="4"/>
  <c r="D325" i="4"/>
  <c r="D327" i="4"/>
  <c r="D329" i="4"/>
  <c r="D331" i="4"/>
  <c r="D333" i="4"/>
  <c r="D335" i="4"/>
  <c r="D337" i="4"/>
  <c r="D339" i="4"/>
  <c r="D341" i="4"/>
  <c r="D343" i="4"/>
  <c r="D345" i="4"/>
  <c r="D347" i="4"/>
  <c r="D349" i="4"/>
  <c r="D351" i="4"/>
  <c r="D353" i="4"/>
  <c r="D355" i="4"/>
  <c r="D357" i="4"/>
  <c r="D359" i="4"/>
  <c r="D361" i="4"/>
  <c r="D363" i="4"/>
  <c r="D365" i="4"/>
  <c r="D367" i="4"/>
  <c r="D369" i="4"/>
  <c r="D371" i="4"/>
  <c r="D373" i="4"/>
  <c r="D375" i="4"/>
  <c r="D377" i="4"/>
  <c r="D379" i="4"/>
  <c r="D381" i="4"/>
  <c r="D383" i="4"/>
  <c r="D385" i="4"/>
  <c r="D387" i="4"/>
  <c r="D389" i="4"/>
  <c r="D391" i="4"/>
  <c r="D393" i="4"/>
  <c r="D395" i="4"/>
  <c r="D397" i="4"/>
  <c r="D399" i="4"/>
  <c r="D401" i="4"/>
  <c r="D403" i="4"/>
  <c r="D405" i="4"/>
  <c r="D407" i="4"/>
  <c r="D409" i="4"/>
  <c r="D411" i="4"/>
  <c r="D413" i="4"/>
  <c r="D415" i="4"/>
  <c r="D417" i="4"/>
  <c r="D419" i="4"/>
  <c r="D421" i="4"/>
  <c r="D423" i="4"/>
  <c r="D425" i="4"/>
  <c r="D427" i="4"/>
  <c r="D429" i="4"/>
  <c r="D431" i="4"/>
  <c r="D433" i="4"/>
  <c r="D435" i="4"/>
  <c r="D437" i="4"/>
  <c r="D439" i="4"/>
  <c r="D441" i="4"/>
  <c r="D443" i="4"/>
  <c r="D445" i="4"/>
  <c r="D447" i="4"/>
  <c r="D449" i="4"/>
  <c r="D451" i="4"/>
  <c r="D453" i="4"/>
  <c r="D455" i="4"/>
  <c r="D457" i="4"/>
  <c r="D459" i="4"/>
  <c r="D461" i="4"/>
  <c r="D463" i="4"/>
  <c r="D465" i="4"/>
  <c r="D467" i="4"/>
  <c r="D469" i="4"/>
  <c r="D471" i="4"/>
  <c r="D473" i="4"/>
  <c r="D475" i="4"/>
  <c r="D477" i="4"/>
  <c r="D479" i="4"/>
  <c r="D481" i="4"/>
  <c r="D483" i="4"/>
  <c r="D485" i="4"/>
  <c r="D487" i="4"/>
  <c r="D489" i="4"/>
  <c r="D491" i="4"/>
  <c r="D493" i="4"/>
  <c r="D495" i="4"/>
  <c r="D497" i="4"/>
  <c r="D499" i="4"/>
  <c r="D501" i="4"/>
  <c r="D503" i="4"/>
  <c r="D505" i="4"/>
  <c r="D507" i="4"/>
  <c r="D509" i="4"/>
  <c r="D511" i="4"/>
  <c r="D513" i="4"/>
  <c r="D515" i="4"/>
  <c r="D517" i="4"/>
  <c r="D519" i="4"/>
  <c r="D521" i="4"/>
  <c r="D523" i="4"/>
  <c r="D525" i="4"/>
  <c r="D527" i="4"/>
  <c r="D529" i="4"/>
  <c r="D531" i="4"/>
  <c r="D533" i="4"/>
  <c r="D535" i="4"/>
  <c r="D537" i="4"/>
  <c r="D539" i="4"/>
  <c r="D541" i="4"/>
  <c r="D543" i="4"/>
  <c r="D545" i="4"/>
  <c r="D547" i="4"/>
  <c r="D549" i="4"/>
  <c r="D551" i="4"/>
  <c r="D553" i="4"/>
  <c r="D555" i="4"/>
  <c r="D557" i="4"/>
  <c r="D559" i="4"/>
  <c r="D561" i="4"/>
  <c r="D563" i="4"/>
  <c r="D565" i="4"/>
  <c r="D567" i="4"/>
  <c r="D569" i="4"/>
  <c r="D571" i="4"/>
  <c r="D573" i="4"/>
  <c r="D575" i="4"/>
  <c r="D577" i="4"/>
  <c r="D579" i="4"/>
  <c r="D581" i="4"/>
  <c r="D583" i="4"/>
  <c r="D585" i="4"/>
  <c r="D587" i="4"/>
  <c r="D589" i="4"/>
  <c r="D591" i="4"/>
  <c r="D593" i="4"/>
  <c r="D595" i="4"/>
  <c r="D597" i="4"/>
  <c r="D599" i="4"/>
  <c r="D601" i="4"/>
  <c r="D603" i="4"/>
  <c r="D605" i="4"/>
  <c r="D607" i="4"/>
  <c r="D609" i="4"/>
  <c r="D611" i="4"/>
  <c r="D613" i="4"/>
  <c r="D615" i="4"/>
  <c r="D617" i="4"/>
  <c r="D619" i="4"/>
  <c r="D621" i="4"/>
  <c r="D623" i="4"/>
  <c r="D625" i="4"/>
  <c r="D627" i="4"/>
  <c r="D629" i="4"/>
  <c r="D631" i="4"/>
  <c r="D633" i="4"/>
  <c r="D635" i="4"/>
  <c r="D313" i="4"/>
  <c r="D317" i="4"/>
  <c r="D320" i="4"/>
  <c r="D322" i="4"/>
  <c r="D324" i="4"/>
  <c r="D326" i="4"/>
  <c r="D328" i="4"/>
  <c r="D330" i="4"/>
  <c r="D332" i="4"/>
  <c r="D334" i="4"/>
  <c r="D336" i="4"/>
  <c r="D338" i="4"/>
  <c r="D340" i="4"/>
  <c r="D342" i="4"/>
  <c r="D344" i="4"/>
  <c r="D346" i="4"/>
  <c r="D348" i="4"/>
  <c r="D350" i="4"/>
  <c r="D352" i="4"/>
  <c r="D354" i="4"/>
  <c r="D356" i="4"/>
  <c r="D358" i="4"/>
  <c r="D360" i="4"/>
  <c r="D362" i="4"/>
  <c r="D364" i="4"/>
  <c r="D366" i="4"/>
  <c r="D368" i="4"/>
  <c r="D370" i="4"/>
  <c r="D372" i="4"/>
  <c r="D374" i="4"/>
  <c r="D376" i="4"/>
  <c r="D378" i="4"/>
  <c r="D380" i="4"/>
  <c r="D382" i="4"/>
  <c r="D384" i="4"/>
  <c r="D386" i="4"/>
  <c r="D388" i="4"/>
  <c r="D390" i="4"/>
  <c r="D392" i="4"/>
  <c r="D394" i="4"/>
  <c r="D396" i="4"/>
  <c r="D398" i="4"/>
  <c r="D400" i="4"/>
  <c r="D402" i="4"/>
  <c r="D404" i="4"/>
  <c r="D406" i="4"/>
  <c r="D408" i="4"/>
  <c r="D410" i="4"/>
  <c r="D412" i="4"/>
  <c r="D414" i="4"/>
  <c r="D416" i="4"/>
  <c r="D418" i="4"/>
  <c r="D420" i="4"/>
  <c r="D422" i="4"/>
  <c r="D424" i="4"/>
  <c r="D426" i="4"/>
  <c r="D428" i="4"/>
  <c r="D430" i="4"/>
  <c r="D432" i="4"/>
  <c r="D434" i="4"/>
  <c r="D436" i="4"/>
  <c r="D438" i="4"/>
  <c r="D440" i="4"/>
  <c r="D442" i="4"/>
  <c r="D444" i="4"/>
  <c r="D446" i="4"/>
  <c r="D448" i="4"/>
  <c r="D450" i="4"/>
  <c r="D452" i="4"/>
  <c r="D454" i="4"/>
  <c r="D456" i="4"/>
  <c r="D458" i="4"/>
  <c r="D460" i="4"/>
  <c r="D462" i="4"/>
  <c r="D464" i="4"/>
  <c r="D466" i="4"/>
  <c r="D468" i="4"/>
  <c r="D470" i="4"/>
  <c r="D472" i="4"/>
  <c r="D474" i="4"/>
  <c r="D476" i="4"/>
  <c r="D478" i="4"/>
  <c r="D480" i="4"/>
  <c r="D482" i="4"/>
  <c r="D484" i="4"/>
  <c r="D486" i="4"/>
  <c r="D488" i="4"/>
  <c r="D490" i="4"/>
  <c r="D492" i="4"/>
  <c r="D494" i="4"/>
  <c r="D496" i="4"/>
  <c r="D498" i="4"/>
  <c r="D500" i="4"/>
  <c r="D502" i="4"/>
  <c r="D504" i="4"/>
  <c r="D506" i="4"/>
  <c r="D508" i="4"/>
  <c r="D510" i="4"/>
  <c r="D512" i="4"/>
  <c r="D514" i="4"/>
  <c r="D516" i="4"/>
  <c r="D518" i="4"/>
  <c r="D520" i="4"/>
  <c r="D522" i="4"/>
  <c r="D524" i="4"/>
  <c r="D526" i="4"/>
  <c r="D528" i="4"/>
  <c r="D530" i="4"/>
  <c r="D532" i="4"/>
  <c r="D534" i="4"/>
  <c r="D536" i="4"/>
  <c r="D538" i="4"/>
  <c r="D540" i="4"/>
  <c r="D542" i="4"/>
  <c r="D544" i="4"/>
  <c r="D546" i="4"/>
  <c r="D548" i="4"/>
  <c r="D550" i="4"/>
  <c r="D552" i="4"/>
  <c r="D554" i="4"/>
  <c r="D556" i="4"/>
  <c r="D558" i="4"/>
  <c r="D560" i="4"/>
  <c r="D562" i="4"/>
  <c r="D564" i="4"/>
  <c r="D566" i="4"/>
  <c r="D568" i="4"/>
  <c r="D570" i="4"/>
  <c r="D572" i="4"/>
  <c r="D574" i="4"/>
  <c r="D576" i="4"/>
  <c r="D578" i="4"/>
  <c r="D580" i="4"/>
  <c r="D582" i="4"/>
  <c r="D584" i="4"/>
  <c r="D586" i="4"/>
  <c r="D588" i="4"/>
  <c r="D590" i="4"/>
  <c r="D592" i="4"/>
  <c r="D594" i="4"/>
  <c r="D596" i="4"/>
  <c r="D598" i="4"/>
  <c r="D600" i="4"/>
  <c r="D602" i="4"/>
  <c r="D604" i="4"/>
  <c r="D606" i="4"/>
  <c r="D608" i="4"/>
  <c r="D610" i="4"/>
  <c r="D612" i="4"/>
  <c r="D614" i="4"/>
  <c r="D616" i="4"/>
  <c r="D618" i="4"/>
  <c r="D620" i="4"/>
  <c r="D622" i="4"/>
  <c r="D624" i="4"/>
  <c r="D626" i="4"/>
  <c r="D628" i="4"/>
  <c r="D630" i="4"/>
  <c r="D632" i="4"/>
  <c r="D634" i="4"/>
  <c r="D636" i="4"/>
  <c r="D638" i="4"/>
  <c r="D640" i="4"/>
  <c r="D642" i="4"/>
  <c r="D644" i="4"/>
  <c r="D646" i="4"/>
  <c r="D648" i="4"/>
  <c r="D650" i="4"/>
  <c r="D652" i="4"/>
  <c r="D654" i="4"/>
  <c r="D637" i="4"/>
  <c r="D641" i="4"/>
  <c r="D645" i="4"/>
  <c r="D649" i="4"/>
  <c r="D653" i="4"/>
  <c r="D656" i="4"/>
  <c r="D658" i="4"/>
  <c r="D660" i="4"/>
  <c r="D662" i="4"/>
  <c r="D664" i="4"/>
  <c r="D666" i="4"/>
  <c r="D668" i="4"/>
  <c r="D670" i="4"/>
  <c r="D672" i="4"/>
  <c r="D674" i="4"/>
  <c r="D676" i="4"/>
  <c r="D678" i="4"/>
  <c r="D680" i="4"/>
  <c r="D682" i="4"/>
  <c r="D684" i="4"/>
  <c r="D686" i="4"/>
  <c r="D688" i="4"/>
  <c r="D690" i="4"/>
  <c r="D692" i="4"/>
  <c r="D694" i="4"/>
  <c r="D696" i="4"/>
  <c r="D698" i="4"/>
  <c r="D700" i="4"/>
  <c r="D702" i="4"/>
  <c r="D704" i="4"/>
  <c r="D706" i="4"/>
  <c r="D708" i="4"/>
  <c r="D710" i="4"/>
  <c r="D712" i="4"/>
  <c r="D714" i="4"/>
  <c r="D716" i="4"/>
  <c r="D718" i="4"/>
  <c r="D720" i="4"/>
  <c r="D722" i="4"/>
  <c r="D724" i="4"/>
  <c r="D726" i="4"/>
  <c r="D728" i="4"/>
  <c r="D730" i="4"/>
  <c r="D732" i="4"/>
  <c r="D734" i="4"/>
  <c r="D736" i="4"/>
  <c r="D738" i="4"/>
  <c r="D740" i="4"/>
  <c r="D742" i="4"/>
  <c r="D744" i="4"/>
  <c r="D746" i="4"/>
  <c r="D748" i="4"/>
  <c r="D750" i="4"/>
  <c r="D752" i="4"/>
  <c r="D754" i="4"/>
  <c r="D756" i="4"/>
  <c r="D758" i="4"/>
  <c r="D760" i="4"/>
  <c r="D762" i="4"/>
  <c r="D764" i="4"/>
  <c r="D766" i="4"/>
  <c r="D768" i="4"/>
  <c r="D770" i="4"/>
  <c r="D772" i="4"/>
  <c r="D774" i="4"/>
  <c r="D776" i="4"/>
  <c r="D778" i="4"/>
  <c r="D780" i="4"/>
  <c r="D782" i="4"/>
  <c r="D784" i="4"/>
  <c r="D786" i="4"/>
  <c r="D788" i="4"/>
  <c r="D790" i="4"/>
  <c r="D792" i="4"/>
  <c r="D794" i="4"/>
  <c r="D796" i="4"/>
  <c r="D798" i="4"/>
  <c r="D800" i="4"/>
  <c r="D802" i="4"/>
  <c r="D804" i="4"/>
  <c r="D806" i="4"/>
  <c r="D808" i="4"/>
  <c r="D810" i="4"/>
  <c r="D812" i="4"/>
  <c r="D814" i="4"/>
  <c r="D816" i="4"/>
  <c r="D818" i="4"/>
  <c r="D820" i="4"/>
  <c r="D822" i="4"/>
  <c r="D824" i="4"/>
  <c r="D826" i="4"/>
  <c r="D828" i="4"/>
  <c r="D830" i="4"/>
  <c r="D832" i="4"/>
  <c r="D834" i="4"/>
  <c r="D836" i="4"/>
  <c r="D838" i="4"/>
  <c r="D840" i="4"/>
  <c r="D842" i="4"/>
  <c r="D844" i="4"/>
  <c r="D846" i="4"/>
  <c r="D848" i="4"/>
  <c r="D850" i="4"/>
  <c r="D852" i="4"/>
  <c r="D854" i="4"/>
  <c r="D856" i="4"/>
  <c r="D858" i="4"/>
  <c r="D860" i="4"/>
  <c r="D862" i="4"/>
  <c r="D864" i="4"/>
  <c r="D866" i="4"/>
  <c r="D868" i="4"/>
  <c r="D870" i="4"/>
  <c r="D872" i="4"/>
  <c r="D874" i="4"/>
  <c r="D876" i="4"/>
  <c r="D878" i="4"/>
  <c r="D880" i="4"/>
  <c r="D882" i="4"/>
  <c r="D884" i="4"/>
  <c r="D886" i="4"/>
  <c r="D888" i="4"/>
  <c r="D890" i="4"/>
  <c r="D892" i="4"/>
  <c r="D894" i="4"/>
  <c r="D896" i="4"/>
  <c r="D898" i="4"/>
  <c r="D900" i="4"/>
  <c r="D902" i="4"/>
  <c r="D904" i="4"/>
  <c r="D906" i="4"/>
  <c r="D908" i="4"/>
  <c r="D910" i="4"/>
  <c r="D912" i="4"/>
  <c r="D914" i="4"/>
  <c r="D916" i="4"/>
  <c r="D918" i="4"/>
  <c r="D920" i="4"/>
  <c r="D922" i="4"/>
  <c r="D924" i="4"/>
  <c r="D926" i="4"/>
  <c r="D928" i="4"/>
  <c r="D930" i="4"/>
  <c r="D932" i="4"/>
  <c r="D934" i="4"/>
  <c r="D936" i="4"/>
  <c r="D938" i="4"/>
  <c r="D940" i="4"/>
  <c r="D942" i="4"/>
  <c r="D944" i="4"/>
  <c r="D946" i="4"/>
  <c r="D948" i="4"/>
  <c r="D950" i="4"/>
  <c r="D952" i="4"/>
  <c r="D954" i="4"/>
  <c r="D956" i="4"/>
  <c r="D958" i="4"/>
  <c r="D960" i="4"/>
  <c r="D962" i="4"/>
  <c r="D964" i="4"/>
  <c r="D966" i="4"/>
  <c r="D968" i="4"/>
  <c r="D970" i="4"/>
  <c r="D972" i="4"/>
  <c r="D974" i="4"/>
  <c r="D976" i="4"/>
  <c r="D978" i="4"/>
  <c r="D980" i="4"/>
  <c r="D982" i="4"/>
  <c r="D984" i="4"/>
  <c r="D639" i="4"/>
  <c r="D643" i="4"/>
  <c r="D647" i="4"/>
  <c r="D651" i="4"/>
  <c r="D655" i="4"/>
  <c r="D657" i="4"/>
  <c r="D659" i="4"/>
  <c r="D661" i="4"/>
  <c r="D663" i="4"/>
  <c r="D665" i="4"/>
  <c r="D667" i="4"/>
  <c r="D669" i="4"/>
  <c r="D671" i="4"/>
  <c r="D673" i="4"/>
  <c r="D675" i="4"/>
  <c r="D677" i="4"/>
  <c r="D679" i="4"/>
  <c r="D681" i="4"/>
  <c r="D683" i="4"/>
  <c r="D685" i="4"/>
  <c r="D687" i="4"/>
  <c r="D689" i="4"/>
  <c r="D691" i="4"/>
  <c r="D693" i="4"/>
  <c r="D695" i="4"/>
  <c r="D697" i="4"/>
  <c r="D699" i="4"/>
  <c r="D701" i="4"/>
  <c r="D703" i="4"/>
  <c r="D705" i="4"/>
  <c r="D707" i="4"/>
  <c r="D709" i="4"/>
  <c r="D711" i="4"/>
  <c r="D713" i="4"/>
  <c r="D715" i="4"/>
  <c r="D717" i="4"/>
  <c r="D719" i="4"/>
  <c r="D721" i="4"/>
  <c r="D723" i="4"/>
  <c r="D725" i="4"/>
  <c r="D727" i="4"/>
  <c r="D729" i="4"/>
  <c r="D731" i="4"/>
  <c r="D733" i="4"/>
  <c r="D735" i="4"/>
  <c r="D737" i="4"/>
  <c r="D739" i="4"/>
  <c r="D741" i="4"/>
  <c r="D743" i="4"/>
  <c r="D745" i="4"/>
  <c r="D747" i="4"/>
  <c r="D749" i="4"/>
  <c r="D751" i="4"/>
  <c r="D753" i="4"/>
  <c r="D755" i="4"/>
  <c r="D757" i="4"/>
  <c r="D759" i="4"/>
  <c r="D761" i="4"/>
  <c r="D763" i="4"/>
  <c r="D765" i="4"/>
  <c r="D767" i="4"/>
  <c r="D769" i="4"/>
  <c r="D771" i="4"/>
  <c r="D773" i="4"/>
  <c r="D775" i="4"/>
  <c r="D777" i="4"/>
  <c r="D779" i="4"/>
  <c r="D781" i="4"/>
  <c r="D783" i="4"/>
  <c r="D785" i="4"/>
  <c r="D787" i="4"/>
  <c r="D789" i="4"/>
  <c r="D791" i="4"/>
  <c r="D793" i="4"/>
  <c r="D795" i="4"/>
  <c r="D797" i="4"/>
  <c r="D799" i="4"/>
  <c r="D801" i="4"/>
  <c r="D803" i="4"/>
  <c r="D805" i="4"/>
  <c r="D807" i="4"/>
  <c r="D809" i="4"/>
  <c r="D811" i="4"/>
  <c r="D813" i="4"/>
  <c r="D815" i="4"/>
  <c r="D817" i="4"/>
  <c r="D819" i="4"/>
  <c r="D821" i="4"/>
  <c r="D823" i="4"/>
  <c r="D825" i="4"/>
  <c r="D827" i="4"/>
  <c r="D829" i="4"/>
  <c r="D831" i="4"/>
  <c r="D833" i="4"/>
  <c r="D835" i="4"/>
  <c r="D837" i="4"/>
  <c r="D839" i="4"/>
  <c r="D841" i="4"/>
  <c r="D843" i="4"/>
  <c r="D845" i="4"/>
  <c r="D847" i="4"/>
  <c r="D849" i="4"/>
  <c r="D851" i="4"/>
  <c r="D853" i="4"/>
  <c r="D855" i="4"/>
  <c r="D1500" i="4"/>
  <c r="D1498" i="4"/>
  <c r="D1496" i="4"/>
  <c r="D1494" i="4"/>
  <c r="D1492" i="4"/>
  <c r="D1490" i="4"/>
  <c r="D1488" i="4"/>
  <c r="D1486" i="4"/>
  <c r="D1484" i="4"/>
  <c r="D1482" i="4"/>
  <c r="D1480" i="4"/>
  <c r="D1478" i="4"/>
  <c r="D1476" i="4"/>
  <c r="D1474" i="4"/>
  <c r="D1472" i="4"/>
  <c r="D1470" i="4"/>
  <c r="D1468" i="4"/>
  <c r="D1466" i="4"/>
  <c r="D1464" i="4"/>
  <c r="D1462" i="4"/>
  <c r="D1460" i="4"/>
  <c r="D1458" i="4"/>
  <c r="D1456" i="4"/>
  <c r="D1454" i="4"/>
  <c r="D1452" i="4"/>
  <c r="D1450" i="4"/>
  <c r="D1448" i="4"/>
  <c r="D1446" i="4"/>
  <c r="D1444" i="4"/>
  <c r="D1442" i="4"/>
  <c r="D1440" i="4"/>
  <c r="D1438" i="4"/>
  <c r="D1436" i="4"/>
  <c r="D1434" i="4"/>
  <c r="D1432" i="4"/>
  <c r="D1430" i="4"/>
  <c r="D1428" i="4"/>
  <c r="D1426" i="4"/>
  <c r="D1424" i="4"/>
  <c r="D1422" i="4"/>
  <c r="D1420" i="4"/>
  <c r="D1418" i="4"/>
  <c r="D1416" i="4"/>
  <c r="D1414" i="4"/>
  <c r="D1412" i="4"/>
  <c r="D1410" i="4"/>
  <c r="D1408" i="4"/>
  <c r="D1406" i="4"/>
  <c r="D1404" i="4"/>
  <c r="D1402" i="4"/>
  <c r="D1400" i="4"/>
  <c r="D1398" i="4"/>
  <c r="D1396" i="4"/>
  <c r="D1394" i="4"/>
  <c r="D1392" i="4"/>
  <c r="D1390" i="4"/>
  <c r="D1388" i="4"/>
  <c r="D1386" i="4"/>
  <c r="D1384" i="4"/>
  <c r="D1382" i="4"/>
  <c r="D1380" i="4"/>
  <c r="D1378" i="4"/>
  <c r="D1376" i="4"/>
  <c r="D1374" i="4"/>
  <c r="D1372" i="4"/>
  <c r="D1370" i="4"/>
  <c r="D1368" i="4"/>
  <c r="D1366" i="4"/>
  <c r="D1364" i="4"/>
  <c r="D1362" i="4"/>
  <c r="D1360" i="4"/>
  <c r="D1358" i="4"/>
  <c r="D1356" i="4"/>
  <c r="D1354" i="4"/>
  <c r="D1352" i="4"/>
  <c r="D1350" i="4"/>
  <c r="D1348" i="4"/>
  <c r="D1346" i="4"/>
  <c r="D1344" i="4"/>
  <c r="D1342" i="4"/>
  <c r="D1340" i="4"/>
  <c r="D1338" i="4"/>
  <c r="D1336" i="4"/>
  <c r="D1334" i="4"/>
  <c r="D1332" i="4"/>
  <c r="D1330" i="4"/>
  <c r="D1328" i="4"/>
  <c r="D1326" i="4"/>
  <c r="D1324" i="4"/>
  <c r="D1322" i="4"/>
  <c r="D1320" i="4"/>
  <c r="D1318" i="4"/>
  <c r="D1316" i="4"/>
  <c r="D1314" i="4"/>
  <c r="D1312" i="4"/>
  <c r="D1310" i="4"/>
  <c r="D1308" i="4"/>
  <c r="D1306" i="4"/>
  <c r="D1304" i="4"/>
  <c r="D1302" i="4"/>
  <c r="D1300" i="4"/>
  <c r="D1298" i="4"/>
  <c r="D1296" i="4"/>
  <c r="D1294" i="4"/>
  <c r="D1292" i="4"/>
  <c r="D1290" i="4"/>
  <c r="D1288" i="4"/>
  <c r="D1286" i="4"/>
  <c r="D1284" i="4"/>
  <c r="D1282" i="4"/>
  <c r="D1280" i="4"/>
  <c r="D1278" i="4"/>
  <c r="D1276" i="4"/>
  <c r="D1274" i="4"/>
  <c r="D1272" i="4"/>
  <c r="D1270" i="4"/>
  <c r="D1268" i="4"/>
  <c r="D1266" i="4"/>
  <c r="D1264" i="4"/>
  <c r="D1262" i="4"/>
  <c r="D1260" i="4"/>
  <c r="D1258" i="4"/>
  <c r="D1256" i="4"/>
  <c r="D1254" i="4"/>
  <c r="D1252" i="4"/>
  <c r="D1250" i="4"/>
  <c r="D1248" i="4"/>
  <c r="D1246" i="4"/>
  <c r="D1244" i="4"/>
  <c r="D1242" i="4"/>
  <c r="D1240" i="4"/>
  <c r="D1238" i="4"/>
  <c r="D1236" i="4"/>
  <c r="D1234" i="4"/>
  <c r="D1232" i="4"/>
  <c r="D1230" i="4"/>
  <c r="D1228" i="4"/>
  <c r="D1226" i="4"/>
  <c r="D1224" i="4"/>
  <c r="D1222" i="4"/>
  <c r="D1220" i="4"/>
  <c r="D1218" i="4"/>
  <c r="D1216" i="4"/>
  <c r="D1214" i="4"/>
  <c r="D1212" i="4"/>
  <c r="D1210" i="4"/>
  <c r="D1208" i="4"/>
  <c r="D1206" i="4"/>
  <c r="D1204" i="4"/>
  <c r="D1202" i="4"/>
  <c r="D1200" i="4"/>
  <c r="D1198" i="4"/>
  <c r="D1196" i="4"/>
  <c r="D1194" i="4"/>
  <c r="D1192" i="4"/>
  <c r="D1190" i="4"/>
  <c r="D1188" i="4"/>
  <c r="D1186" i="4"/>
  <c r="D1184" i="4"/>
  <c r="D1182" i="4"/>
  <c r="D1180" i="4"/>
  <c r="D1178" i="4"/>
  <c r="D1176" i="4"/>
  <c r="D1174" i="4"/>
  <c r="D1172" i="4"/>
  <c r="D1170" i="4"/>
  <c r="D1168" i="4"/>
  <c r="D1166" i="4"/>
  <c r="D1164" i="4"/>
  <c r="D1162" i="4"/>
  <c r="D1160" i="4"/>
  <c r="D1158" i="4"/>
  <c r="D1156" i="4"/>
  <c r="D1154" i="4"/>
  <c r="D1152" i="4"/>
  <c r="D1150" i="4"/>
  <c r="D1148" i="4"/>
  <c r="D1146" i="4"/>
  <c r="D1144" i="4"/>
  <c r="D1142" i="4"/>
  <c r="D1140" i="4"/>
  <c r="D1138" i="4"/>
  <c r="D1136" i="4"/>
  <c r="D1134" i="4"/>
  <c r="D1132" i="4"/>
  <c r="D1130" i="4"/>
  <c r="D1128" i="4"/>
  <c r="D1126" i="4"/>
  <c r="D1124" i="4"/>
  <c r="D1122" i="4"/>
  <c r="D1120" i="4"/>
  <c r="D1118" i="4"/>
  <c r="D1116" i="4"/>
  <c r="D1114" i="4"/>
  <c r="D1112" i="4"/>
  <c r="D1110" i="4"/>
  <c r="D1108" i="4"/>
  <c r="D1106" i="4"/>
  <c r="D1104" i="4"/>
  <c r="D1102" i="4"/>
  <c r="D1100" i="4"/>
  <c r="D1098" i="4"/>
  <c r="D1096" i="4"/>
  <c r="D1094" i="4"/>
  <c r="D1092" i="4"/>
  <c r="D1090" i="4"/>
  <c r="D1088" i="4"/>
  <c r="D1086" i="4"/>
  <c r="D1084" i="4"/>
  <c r="D1082" i="4"/>
  <c r="D1080" i="4"/>
  <c r="D1078" i="4"/>
  <c r="D1076" i="4"/>
  <c r="D1074" i="4"/>
  <c r="D1072" i="4"/>
  <c r="D1070" i="4"/>
  <c r="D1068" i="4"/>
  <c r="D1066" i="4"/>
  <c r="D1064" i="4"/>
  <c r="D1062" i="4"/>
  <c r="D1060" i="4"/>
  <c r="D1058" i="4"/>
  <c r="D1056" i="4"/>
  <c r="D1054" i="4"/>
  <c r="D1052" i="4"/>
  <c r="D1050" i="4"/>
  <c r="D1048" i="4"/>
  <c r="D1046" i="4"/>
  <c r="D1044" i="4"/>
  <c r="D1042" i="4"/>
  <c r="D1040" i="4"/>
  <c r="D1038" i="4"/>
  <c r="D1036" i="4"/>
  <c r="D1034" i="4"/>
  <c r="D1032" i="4"/>
  <c r="D1030" i="4"/>
  <c r="D1028" i="4"/>
  <c r="D1026" i="4"/>
  <c r="D1024" i="4"/>
  <c r="D1022" i="4"/>
  <c r="D1020" i="4"/>
  <c r="D1018" i="4"/>
  <c r="D1016" i="4"/>
  <c r="D1014" i="4"/>
  <c r="D1012" i="4"/>
  <c r="D1010" i="4"/>
  <c r="D1008" i="4"/>
  <c r="D1006" i="4"/>
  <c r="D1004" i="4"/>
  <c r="D1002" i="4"/>
  <c r="D1000" i="4"/>
  <c r="D998" i="4"/>
  <c r="D996" i="4"/>
  <c r="D994" i="4"/>
  <c r="D992" i="4"/>
  <c r="D990" i="4"/>
  <c r="D988" i="4"/>
  <c r="D986" i="4"/>
  <c r="D983" i="4"/>
  <c r="D979" i="4"/>
  <c r="D975" i="4"/>
  <c r="D971" i="4"/>
  <c r="D967" i="4"/>
  <c r="D963" i="4"/>
  <c r="D959" i="4"/>
  <c r="D955" i="4"/>
  <c r="D951" i="4"/>
  <c r="D947" i="4"/>
  <c r="D943" i="4"/>
  <c r="D939" i="4"/>
  <c r="D935" i="4"/>
  <c r="D931" i="4"/>
  <c r="D927" i="4"/>
  <c r="D923" i="4"/>
  <c r="D919" i="4"/>
  <c r="D915" i="4"/>
  <c r="D911" i="4"/>
  <c r="D907" i="4"/>
  <c r="D903" i="4"/>
  <c r="D899" i="4"/>
  <c r="D895" i="4"/>
  <c r="D891" i="4"/>
  <c r="D887" i="4"/>
  <c r="D883" i="4"/>
  <c r="D879" i="4"/>
  <c r="D875" i="4"/>
  <c r="D871" i="4"/>
  <c r="D867" i="4"/>
  <c r="D863" i="4"/>
  <c r="D859" i="4"/>
  <c r="D1499" i="4"/>
  <c r="D1497" i="4"/>
  <c r="D1495" i="4"/>
  <c r="D1493" i="4"/>
  <c r="D1491" i="4"/>
  <c r="D1489" i="4"/>
  <c r="D1487" i="4"/>
  <c r="D1485" i="4"/>
  <c r="D1483" i="4"/>
  <c r="D1481" i="4"/>
  <c r="D1479" i="4"/>
  <c r="D1477" i="4"/>
  <c r="D1475" i="4"/>
  <c r="D1473" i="4"/>
  <c r="D1471" i="4"/>
  <c r="D1469" i="4"/>
  <c r="D1467" i="4"/>
  <c r="D1465" i="4"/>
  <c r="D1463" i="4"/>
  <c r="D1461" i="4"/>
  <c r="D1459" i="4"/>
  <c r="D1457" i="4"/>
  <c r="D1455" i="4"/>
  <c r="D1453" i="4"/>
  <c r="D1451" i="4"/>
  <c r="D1449" i="4"/>
  <c r="D1447" i="4"/>
  <c r="D1445" i="4"/>
  <c r="D1443" i="4"/>
  <c r="D1441" i="4"/>
  <c r="D1439" i="4"/>
  <c r="D1437" i="4"/>
  <c r="D1435" i="4"/>
  <c r="D1433" i="4"/>
  <c r="D1431" i="4"/>
  <c r="D1429" i="4"/>
  <c r="D1427" i="4"/>
  <c r="D1425" i="4"/>
  <c r="D1423" i="4"/>
  <c r="D1421" i="4"/>
  <c r="D1419" i="4"/>
  <c r="D1417" i="4"/>
  <c r="D1415" i="4"/>
  <c r="D1413" i="4"/>
  <c r="D1411" i="4"/>
  <c r="D1409" i="4"/>
  <c r="D1407" i="4"/>
  <c r="D1405" i="4"/>
  <c r="D1403" i="4"/>
  <c r="D1401" i="4"/>
  <c r="D1399" i="4"/>
  <c r="D1397" i="4"/>
  <c r="D1395" i="4"/>
  <c r="D1393" i="4"/>
  <c r="D1391" i="4"/>
  <c r="D1389" i="4"/>
  <c r="D1387" i="4"/>
  <c r="D1385" i="4"/>
  <c r="D1383" i="4"/>
  <c r="D1381" i="4"/>
  <c r="D1379" i="4"/>
  <c r="D1377" i="4"/>
  <c r="D1375" i="4"/>
  <c r="D1373" i="4"/>
  <c r="D1371" i="4"/>
  <c r="D1369" i="4"/>
  <c r="D1367" i="4"/>
  <c r="D1365" i="4"/>
  <c r="D1363" i="4"/>
  <c r="D1361" i="4"/>
  <c r="D1359" i="4"/>
  <c r="D1357" i="4"/>
  <c r="D1355" i="4"/>
  <c r="D1353" i="4"/>
  <c r="D1351" i="4"/>
  <c r="D1349" i="4"/>
  <c r="D1347" i="4"/>
  <c r="D1345" i="4"/>
  <c r="D1343" i="4"/>
  <c r="D1341" i="4"/>
  <c r="D1339" i="4"/>
  <c r="D1337" i="4"/>
  <c r="D1335" i="4"/>
  <c r="D1333" i="4"/>
  <c r="D1331" i="4"/>
  <c r="D1329" i="4"/>
  <c r="D1327" i="4"/>
  <c r="D1325" i="4"/>
  <c r="D1323" i="4"/>
  <c r="D1321" i="4"/>
  <c r="D1319" i="4"/>
  <c r="D1317" i="4"/>
  <c r="D1315" i="4"/>
  <c r="D1313" i="4"/>
  <c r="D1311" i="4"/>
  <c r="D1309" i="4"/>
  <c r="D1307" i="4"/>
  <c r="D1305" i="4"/>
  <c r="D1303" i="4"/>
  <c r="D1301" i="4"/>
  <c r="D1299" i="4"/>
  <c r="D1297" i="4"/>
  <c r="D1295" i="4"/>
  <c r="D1293" i="4"/>
  <c r="D1291" i="4"/>
  <c r="D1289" i="4"/>
  <c r="D1287" i="4"/>
  <c r="D1285" i="4"/>
  <c r="D1283" i="4"/>
  <c r="D1281" i="4"/>
  <c r="D1279" i="4"/>
  <c r="D1277" i="4"/>
  <c r="D1275" i="4"/>
  <c r="D1273" i="4"/>
  <c r="D1271" i="4"/>
  <c r="D1269" i="4"/>
  <c r="D1267" i="4"/>
  <c r="D1265" i="4"/>
  <c r="D1263" i="4"/>
  <c r="D1261" i="4"/>
  <c r="D1259" i="4"/>
  <c r="D1257" i="4"/>
  <c r="D1255" i="4"/>
  <c r="D1253" i="4"/>
  <c r="D1251" i="4"/>
  <c r="D1249" i="4"/>
  <c r="D1247" i="4"/>
  <c r="D1245" i="4"/>
  <c r="D1243" i="4"/>
  <c r="D1241" i="4"/>
  <c r="D1239" i="4"/>
  <c r="D1237" i="4"/>
  <c r="D1235" i="4"/>
  <c r="D1233" i="4"/>
  <c r="D1231" i="4"/>
  <c r="D1229" i="4"/>
  <c r="D1227" i="4"/>
  <c r="D1225" i="4"/>
  <c r="D1223" i="4"/>
  <c r="D1221" i="4"/>
  <c r="D1219" i="4"/>
  <c r="D1217" i="4"/>
  <c r="D1215" i="4"/>
  <c r="D1213" i="4"/>
  <c r="D1211" i="4"/>
  <c r="D1209" i="4"/>
  <c r="D1207" i="4"/>
  <c r="D1205" i="4"/>
  <c r="D1203" i="4"/>
  <c r="D1201" i="4"/>
  <c r="D1199" i="4"/>
  <c r="D1197" i="4"/>
  <c r="D1195" i="4"/>
  <c r="D1193" i="4"/>
  <c r="D1191" i="4"/>
  <c r="D1189" i="4"/>
  <c r="D1187" i="4"/>
  <c r="D1185" i="4"/>
  <c r="D1183" i="4"/>
  <c r="D1181" i="4"/>
  <c r="D1179" i="4"/>
  <c r="D1177" i="4"/>
  <c r="D1175" i="4"/>
  <c r="D1173" i="4"/>
  <c r="D1171" i="4"/>
  <c r="D1169" i="4"/>
  <c r="D1167" i="4"/>
  <c r="D1165" i="4"/>
  <c r="D1163" i="4"/>
  <c r="D1161" i="4"/>
  <c r="D1159" i="4"/>
  <c r="D1157" i="4"/>
  <c r="D1155" i="4"/>
  <c r="D1153" i="4"/>
  <c r="D1151" i="4"/>
  <c r="D1149" i="4"/>
  <c r="D1147" i="4"/>
  <c r="D1145" i="4"/>
  <c r="D1143" i="4"/>
  <c r="D1141" i="4"/>
  <c r="D1139" i="4"/>
  <c r="D1137" i="4"/>
  <c r="D1135" i="4"/>
  <c r="D1133" i="4"/>
  <c r="D1131" i="4"/>
  <c r="D1129" i="4"/>
  <c r="D1127" i="4"/>
  <c r="D1125" i="4"/>
  <c r="D1123" i="4"/>
  <c r="D1121" i="4"/>
  <c r="D1119" i="4"/>
  <c r="D1117" i="4"/>
  <c r="D1115" i="4"/>
  <c r="D1113" i="4"/>
  <c r="D1111" i="4"/>
  <c r="D1109" i="4"/>
  <c r="D1107" i="4"/>
  <c r="D1105" i="4"/>
  <c r="D1103" i="4"/>
  <c r="D1101" i="4"/>
  <c r="D1099" i="4"/>
  <c r="D1097" i="4"/>
  <c r="D1095" i="4"/>
  <c r="D1093" i="4"/>
  <c r="D1091" i="4"/>
  <c r="D1089" i="4"/>
  <c r="D1087" i="4"/>
  <c r="D1085" i="4"/>
  <c r="D1083" i="4"/>
  <c r="D1081" i="4"/>
  <c r="D1079" i="4"/>
  <c r="D1077" i="4"/>
  <c r="D1075" i="4"/>
  <c r="D1073" i="4"/>
  <c r="D1071" i="4"/>
  <c r="D1069" i="4"/>
  <c r="D1067" i="4"/>
  <c r="D1065" i="4"/>
  <c r="D1063" i="4"/>
  <c r="D1061" i="4"/>
  <c r="D1059" i="4"/>
  <c r="D1057" i="4"/>
  <c r="D1055" i="4"/>
  <c r="D1053" i="4"/>
  <c r="D1051" i="4"/>
  <c r="D1049" i="4"/>
  <c r="D1047" i="4"/>
  <c r="D1045" i="4"/>
  <c r="D1043" i="4"/>
  <c r="D1041" i="4"/>
  <c r="D1039" i="4"/>
  <c r="D1037" i="4"/>
  <c r="D1035" i="4"/>
  <c r="D1033" i="4"/>
  <c r="D1031" i="4"/>
  <c r="D1029" i="4"/>
  <c r="D1027" i="4"/>
  <c r="D1025" i="4"/>
  <c r="D1023" i="4"/>
  <c r="D1021" i="4"/>
  <c r="D1019" i="4"/>
  <c r="D1017" i="4"/>
  <c r="D1015" i="4"/>
  <c r="D1013" i="4"/>
  <c r="D1011" i="4"/>
  <c r="D1009" i="4"/>
  <c r="D1007" i="4"/>
  <c r="D1005" i="4"/>
  <c r="D1003" i="4"/>
  <c r="D1001" i="4"/>
  <c r="D999" i="4"/>
  <c r="D997" i="4"/>
  <c r="D995" i="4"/>
  <c r="D993" i="4"/>
  <c r="D991" i="4"/>
  <c r="D989" i="4"/>
  <c r="D987" i="4"/>
  <c r="D985" i="4"/>
  <c r="D981" i="4"/>
  <c r="D977" i="4"/>
  <c r="D973" i="4"/>
  <c r="D969" i="4"/>
  <c r="D965" i="4"/>
  <c r="D961" i="4"/>
  <c r="D957" i="4"/>
  <c r="D953" i="4"/>
  <c r="D949" i="4"/>
  <c r="D945" i="4"/>
  <c r="D941" i="4"/>
  <c r="D937" i="4"/>
  <c r="D933" i="4"/>
  <c r="D929" i="4"/>
  <c r="D925" i="4"/>
  <c r="D921" i="4"/>
  <c r="D917" i="4"/>
  <c r="D913" i="4"/>
  <c r="D909" i="4"/>
  <c r="D905" i="4"/>
  <c r="D901" i="4"/>
  <c r="D897" i="4"/>
  <c r="D893" i="4"/>
  <c r="D889" i="4"/>
  <c r="D885" i="4"/>
  <c r="D881" i="4"/>
  <c r="D877" i="4"/>
  <c r="D873" i="4"/>
  <c r="D869" i="4"/>
  <c r="D865" i="4"/>
  <c r="D861" i="4"/>
  <c r="D857" i="4"/>
  <c r="L142" i="4"/>
  <c r="M142" i="4" s="1"/>
  <c r="K142" i="4"/>
  <c r="L146" i="4"/>
  <c r="M146" i="4" s="1"/>
  <c r="K146" i="4"/>
  <c r="L150" i="4"/>
  <c r="M150" i="4" s="1"/>
  <c r="K150" i="4"/>
  <c r="L154" i="4"/>
  <c r="M154" i="4" s="1"/>
  <c r="K154" i="4"/>
  <c r="L158" i="4"/>
  <c r="M158" i="4" s="1"/>
  <c r="K158" i="4"/>
  <c r="L160" i="4"/>
  <c r="M160" i="4" s="1"/>
  <c r="K160" i="4"/>
  <c r="L166" i="4"/>
  <c r="M166" i="4" s="1"/>
  <c r="K166" i="4"/>
  <c r="L168" i="4"/>
  <c r="M168" i="4" s="1"/>
  <c r="K168" i="4"/>
  <c r="L172" i="4"/>
  <c r="M172" i="4" s="1"/>
  <c r="K172" i="4"/>
  <c r="L176" i="4"/>
  <c r="M176" i="4" s="1"/>
  <c r="K176" i="4"/>
  <c r="L180" i="4"/>
  <c r="M180" i="4" s="1"/>
  <c r="K180" i="4"/>
  <c r="L184" i="4"/>
  <c r="M184" i="4" s="1"/>
  <c r="K184" i="4"/>
  <c r="L188" i="4"/>
  <c r="M188" i="4" s="1"/>
  <c r="K188" i="4"/>
  <c r="L192" i="4"/>
  <c r="M192" i="4" s="1"/>
  <c r="K192" i="4"/>
  <c r="L194" i="4"/>
  <c r="M194" i="4" s="1"/>
  <c r="K194" i="4"/>
  <c r="L200" i="4"/>
  <c r="M200" i="4" s="1"/>
  <c r="K200" i="4"/>
  <c r="L202" i="4"/>
  <c r="M202" i="4" s="1"/>
  <c r="K202" i="4"/>
  <c r="L206" i="4"/>
  <c r="M206" i="4" s="1"/>
  <c r="K206" i="4"/>
  <c r="L212" i="4"/>
  <c r="M212" i="4" s="1"/>
  <c r="K212" i="4"/>
  <c r="L214" i="4"/>
  <c r="M214" i="4" s="1"/>
  <c r="K214" i="4"/>
  <c r="L218" i="4"/>
  <c r="M218" i="4" s="1"/>
  <c r="K218" i="4"/>
  <c r="L222" i="4"/>
  <c r="M222" i="4" s="1"/>
  <c r="K222" i="4"/>
  <c r="L226" i="4"/>
  <c r="M226" i="4" s="1"/>
  <c r="K226" i="4"/>
  <c r="L230" i="4"/>
  <c r="M230" i="4" s="1"/>
  <c r="K230" i="4"/>
  <c r="L234" i="4"/>
  <c r="M234" i="4" s="1"/>
  <c r="K234" i="4"/>
  <c r="L238" i="4"/>
  <c r="M238" i="4" s="1"/>
  <c r="K238" i="4"/>
  <c r="L242" i="4"/>
  <c r="M242" i="4" s="1"/>
  <c r="K242" i="4"/>
  <c r="L246" i="4"/>
  <c r="M246" i="4" s="1"/>
  <c r="K246" i="4"/>
  <c r="L250" i="4"/>
  <c r="M250" i="4" s="1"/>
  <c r="K250" i="4"/>
  <c r="L254" i="4"/>
  <c r="M254" i="4" s="1"/>
  <c r="K254" i="4"/>
  <c r="L258" i="4"/>
  <c r="M258" i="4" s="1"/>
  <c r="K258" i="4"/>
  <c r="L262" i="4"/>
  <c r="M262" i="4" s="1"/>
  <c r="K262" i="4"/>
  <c r="L266" i="4"/>
  <c r="M266" i="4" s="1"/>
  <c r="K266" i="4"/>
  <c r="L270" i="4"/>
  <c r="M270" i="4" s="1"/>
  <c r="K270" i="4"/>
  <c r="L274" i="4"/>
  <c r="M274" i="4" s="1"/>
  <c r="K274" i="4"/>
  <c r="L278" i="4"/>
  <c r="M278" i="4" s="1"/>
  <c r="K278" i="4"/>
  <c r="L282" i="4"/>
  <c r="M282" i="4" s="1"/>
  <c r="K282" i="4"/>
  <c r="L286" i="4"/>
  <c r="M286" i="4" s="1"/>
  <c r="K286" i="4"/>
  <c r="L290" i="4"/>
  <c r="M290" i="4" s="1"/>
  <c r="K290" i="4"/>
  <c r="L294" i="4"/>
  <c r="M294" i="4" s="1"/>
  <c r="K294" i="4"/>
  <c r="L298" i="4"/>
  <c r="M298" i="4" s="1"/>
  <c r="K298" i="4"/>
  <c r="L302" i="4"/>
  <c r="M302" i="4" s="1"/>
  <c r="K302" i="4"/>
  <c r="L306" i="4"/>
  <c r="M306" i="4" s="1"/>
  <c r="K306" i="4"/>
  <c r="L310" i="4"/>
  <c r="M310" i="4" s="1"/>
  <c r="K310" i="4"/>
  <c r="L314" i="4"/>
  <c r="M314" i="4" s="1"/>
  <c r="K314" i="4"/>
  <c r="L318" i="4"/>
  <c r="M318" i="4" s="1"/>
  <c r="K318" i="4"/>
  <c r="L322" i="4"/>
  <c r="M322" i="4" s="1"/>
  <c r="K322" i="4"/>
  <c r="L326" i="4"/>
  <c r="M326" i="4" s="1"/>
  <c r="K326" i="4"/>
  <c r="L330" i="4"/>
  <c r="M330" i="4" s="1"/>
  <c r="K330" i="4"/>
  <c r="L334" i="4"/>
  <c r="M334" i="4" s="1"/>
  <c r="K334" i="4"/>
  <c r="L338" i="4"/>
  <c r="M338" i="4" s="1"/>
  <c r="K338" i="4"/>
  <c r="L342" i="4"/>
  <c r="M342" i="4" s="1"/>
  <c r="K342" i="4"/>
  <c r="L346" i="4"/>
  <c r="M346" i="4" s="1"/>
  <c r="K346" i="4"/>
  <c r="L350" i="4"/>
  <c r="M350" i="4" s="1"/>
  <c r="K350" i="4"/>
  <c r="L354" i="4"/>
  <c r="M354" i="4" s="1"/>
  <c r="K354" i="4"/>
  <c r="L358" i="4"/>
  <c r="M358" i="4" s="1"/>
  <c r="K358" i="4"/>
  <c r="L360" i="4"/>
  <c r="M360" i="4" s="1"/>
  <c r="K360" i="4"/>
  <c r="L364" i="4"/>
  <c r="M364" i="4" s="1"/>
  <c r="K364" i="4"/>
  <c r="L368" i="4"/>
  <c r="M368" i="4" s="1"/>
  <c r="K368" i="4"/>
  <c r="L374" i="4"/>
  <c r="M374" i="4" s="1"/>
  <c r="K374" i="4"/>
  <c r="L378" i="4"/>
  <c r="M378" i="4" s="1"/>
  <c r="K378" i="4"/>
  <c r="L380" i="4"/>
  <c r="M380" i="4" s="1"/>
  <c r="K380" i="4"/>
  <c r="L386" i="4"/>
  <c r="M386" i="4" s="1"/>
  <c r="K386" i="4"/>
  <c r="L388" i="4"/>
  <c r="M388" i="4" s="1"/>
  <c r="K388" i="4"/>
  <c r="L392" i="4"/>
  <c r="M392" i="4" s="1"/>
  <c r="K392" i="4"/>
  <c r="L396" i="4"/>
  <c r="M396" i="4" s="1"/>
  <c r="K396" i="4"/>
  <c r="L398" i="4"/>
  <c r="M398" i="4" s="1"/>
  <c r="K398" i="4"/>
  <c r="L402" i="4"/>
  <c r="M402" i="4" s="1"/>
  <c r="K402" i="4"/>
  <c r="L406" i="4"/>
  <c r="M406" i="4" s="1"/>
  <c r="K406" i="4"/>
  <c r="L410" i="4"/>
  <c r="M410" i="4" s="1"/>
  <c r="K410" i="4"/>
  <c r="L414" i="4"/>
  <c r="M414" i="4" s="1"/>
  <c r="K414" i="4"/>
  <c r="L420" i="4"/>
  <c r="M420" i="4" s="1"/>
  <c r="K420" i="4"/>
  <c r="L424" i="4"/>
  <c r="M424" i="4" s="1"/>
  <c r="K424" i="4"/>
  <c r="L428" i="4"/>
  <c r="M428" i="4" s="1"/>
  <c r="K428" i="4"/>
  <c r="L432" i="4"/>
  <c r="M432" i="4" s="1"/>
  <c r="K432" i="4"/>
  <c r="L438" i="4"/>
  <c r="M438" i="4" s="1"/>
  <c r="K438" i="4"/>
  <c r="L444" i="4"/>
  <c r="M444" i="4" s="1"/>
  <c r="K444" i="4"/>
  <c r="L446" i="4"/>
  <c r="M446" i="4" s="1"/>
  <c r="K446" i="4"/>
  <c r="L448" i="4"/>
  <c r="M448" i="4" s="1"/>
  <c r="K448" i="4"/>
  <c r="L452" i="4"/>
  <c r="M452" i="4" s="1"/>
  <c r="K452" i="4"/>
  <c r="K1356" i="4"/>
  <c r="K1354" i="4"/>
  <c r="K1352" i="4"/>
  <c r="K1350" i="4"/>
  <c r="K1348" i="4"/>
  <c r="K1346" i="4"/>
  <c r="K1344" i="4"/>
  <c r="K1342" i="4"/>
  <c r="K1340" i="4"/>
  <c r="K1338" i="4"/>
  <c r="K1336" i="4"/>
  <c r="K1334" i="4"/>
  <c r="K1332" i="4"/>
  <c r="K1330" i="4"/>
  <c r="K1328" i="4"/>
  <c r="K1326" i="4"/>
  <c r="K1324" i="4"/>
  <c r="K1322" i="4"/>
  <c r="K1320" i="4"/>
  <c r="K1318" i="4"/>
  <c r="K1316" i="4"/>
  <c r="K1314" i="4"/>
  <c r="K1312" i="4"/>
  <c r="K1310" i="4"/>
  <c r="K1308" i="4"/>
  <c r="K1306" i="4"/>
  <c r="K1304" i="4"/>
  <c r="K1302" i="4"/>
  <c r="K1300" i="4"/>
  <c r="K1298" i="4"/>
  <c r="K1296" i="4"/>
  <c r="K1294" i="4"/>
  <c r="K1292" i="4"/>
  <c r="K1290" i="4"/>
  <c r="K1288" i="4"/>
  <c r="K1286" i="4"/>
  <c r="K1284" i="4"/>
  <c r="K1282" i="4"/>
  <c r="K1280" i="4"/>
  <c r="K1278" i="4"/>
  <c r="K1276" i="4"/>
  <c r="K1274" i="4"/>
  <c r="K1272" i="4"/>
  <c r="K1270" i="4"/>
  <c r="K1268" i="4"/>
  <c r="K1266" i="4"/>
  <c r="K1264" i="4"/>
  <c r="K1262" i="4"/>
  <c r="K1260" i="4"/>
  <c r="K1258" i="4"/>
  <c r="K1256" i="4"/>
  <c r="K1254" i="4"/>
  <c r="K1252" i="4"/>
  <c r="K1250" i="4"/>
  <c r="K1248" i="4"/>
  <c r="K1246" i="4"/>
  <c r="K1244" i="4"/>
  <c r="K1242" i="4"/>
  <c r="K1240" i="4"/>
  <c r="K1238" i="4"/>
  <c r="K1236" i="4"/>
  <c r="K1234" i="4"/>
  <c r="K1232" i="4"/>
  <c r="K1230" i="4"/>
  <c r="K1228" i="4"/>
  <c r="K1226" i="4"/>
  <c r="K1224" i="4"/>
  <c r="K1222" i="4"/>
  <c r="K1220" i="4"/>
  <c r="K1218" i="4"/>
  <c r="K1216" i="4"/>
  <c r="K1214" i="4"/>
  <c r="K1212" i="4"/>
  <c r="K1210" i="4"/>
  <c r="K1208" i="4"/>
  <c r="K1206" i="4"/>
  <c r="K1204" i="4"/>
  <c r="K1202" i="4"/>
  <c r="K1200" i="4"/>
  <c r="K1198" i="4"/>
  <c r="K1196" i="4"/>
  <c r="K1194" i="4"/>
  <c r="K1192" i="4"/>
  <c r="K1190" i="4"/>
  <c r="K1188" i="4"/>
  <c r="K1186" i="4"/>
  <c r="K1184" i="4"/>
  <c r="K1182" i="4"/>
  <c r="K1180" i="4"/>
  <c r="K1178" i="4"/>
  <c r="K1176" i="4"/>
  <c r="K1174" i="4"/>
  <c r="K1172" i="4"/>
  <c r="K1170" i="4"/>
  <c r="K1168" i="4"/>
  <c r="K1166" i="4"/>
  <c r="K1164" i="4"/>
  <c r="K1162" i="4"/>
  <c r="K1160" i="4"/>
  <c r="K1158" i="4"/>
  <c r="K1156" i="4"/>
  <c r="K1154" i="4"/>
  <c r="K1152" i="4"/>
  <c r="K1150" i="4"/>
  <c r="K1148" i="4"/>
  <c r="K1146" i="4"/>
  <c r="K1144" i="4"/>
  <c r="K1142" i="4"/>
  <c r="K1140" i="4"/>
  <c r="K1138" i="4"/>
  <c r="K1136" i="4"/>
  <c r="K1134" i="4"/>
  <c r="K1132" i="4"/>
  <c r="K1130" i="4"/>
  <c r="K1128" i="4"/>
  <c r="K1126" i="4"/>
  <c r="K1124" i="4"/>
  <c r="K1122" i="4"/>
  <c r="K1120" i="4"/>
  <c r="K1118" i="4"/>
  <c r="K1116" i="4"/>
  <c r="K1114" i="4"/>
  <c r="K1112" i="4"/>
  <c r="K1110" i="4"/>
  <c r="K1108" i="4"/>
  <c r="K1106" i="4"/>
  <c r="K1104" i="4"/>
  <c r="K1102" i="4"/>
  <c r="K1100" i="4"/>
  <c r="K1098" i="4"/>
  <c r="K1096" i="4"/>
  <c r="K1094" i="4"/>
  <c r="K1092" i="4"/>
  <c r="K1090" i="4"/>
  <c r="K1088" i="4"/>
  <c r="K1086" i="4"/>
  <c r="K1084" i="4"/>
  <c r="K1082" i="4"/>
  <c r="K1080" i="4"/>
  <c r="K1078" i="4"/>
  <c r="K1076" i="4"/>
  <c r="K1074" i="4"/>
  <c r="K1072" i="4"/>
  <c r="K1070" i="4"/>
  <c r="K1068" i="4"/>
  <c r="K1066" i="4"/>
  <c r="K1064" i="4"/>
  <c r="K1062" i="4"/>
  <c r="K1060" i="4"/>
  <c r="K1058" i="4"/>
  <c r="K1056" i="4"/>
  <c r="K1054" i="4"/>
  <c r="K1052" i="4"/>
  <c r="K1050" i="4"/>
  <c r="K1048" i="4"/>
  <c r="K1046" i="4"/>
  <c r="K1044" i="4"/>
  <c r="K1042" i="4"/>
  <c r="K1040" i="4"/>
  <c r="K1038" i="4"/>
  <c r="K1036" i="4"/>
  <c r="K1034" i="4"/>
  <c r="K1032" i="4"/>
  <c r="K1030" i="4"/>
  <c r="K1028" i="4"/>
  <c r="K1026" i="4"/>
  <c r="K1024" i="4"/>
  <c r="K1022" i="4"/>
  <c r="K1020" i="4"/>
  <c r="K1018" i="4"/>
  <c r="K1016" i="4"/>
  <c r="K1014" i="4"/>
  <c r="K1012" i="4"/>
  <c r="K1010" i="4"/>
  <c r="K1008" i="4"/>
  <c r="K1006" i="4"/>
  <c r="K1004" i="4"/>
  <c r="K1002" i="4"/>
  <c r="K1000" i="4"/>
  <c r="K998" i="4"/>
  <c r="K996" i="4"/>
  <c r="K994" i="4"/>
  <c r="K992" i="4"/>
  <c r="K990" i="4"/>
  <c r="K988" i="4"/>
  <c r="K986" i="4"/>
  <c r="K984" i="4"/>
  <c r="K982" i="4"/>
  <c r="K980" i="4"/>
  <c r="K978" i="4"/>
  <c r="K976" i="4"/>
  <c r="K974" i="4"/>
  <c r="K972" i="4"/>
  <c r="K970" i="4"/>
  <c r="K968" i="4"/>
  <c r="K966" i="4"/>
  <c r="K964" i="4"/>
  <c r="K962" i="4"/>
  <c r="K960" i="4"/>
  <c r="K958" i="4"/>
  <c r="K956" i="4"/>
  <c r="K954" i="4"/>
  <c r="K952" i="4"/>
  <c r="K950" i="4"/>
  <c r="K948" i="4"/>
  <c r="K946" i="4"/>
  <c r="K944" i="4"/>
  <c r="K942" i="4"/>
  <c r="K940" i="4"/>
  <c r="K938" i="4"/>
  <c r="K936" i="4"/>
  <c r="K934" i="4"/>
  <c r="K932" i="4"/>
  <c r="K930" i="4"/>
  <c r="K928" i="4"/>
  <c r="K926" i="4"/>
  <c r="K924" i="4"/>
  <c r="K922" i="4"/>
  <c r="K920" i="4"/>
  <c r="K918" i="4"/>
  <c r="K916" i="4"/>
  <c r="K914" i="4"/>
  <c r="K912" i="4"/>
  <c r="K910" i="4"/>
  <c r="K908" i="4"/>
  <c r="K906" i="4"/>
  <c r="K904" i="4"/>
  <c r="K902" i="4"/>
  <c r="K900" i="4"/>
  <c r="K898" i="4"/>
  <c r="K896" i="4"/>
  <c r="K894" i="4"/>
  <c r="K892" i="4"/>
  <c r="K890" i="4"/>
  <c r="K888" i="4"/>
  <c r="K886" i="4"/>
  <c r="K884" i="4"/>
  <c r="K882" i="4"/>
  <c r="K880" i="4"/>
  <c r="K878" i="4"/>
  <c r="K876" i="4"/>
  <c r="K874" i="4"/>
  <c r="K872" i="4"/>
  <c r="K870" i="4"/>
  <c r="K868" i="4"/>
  <c r="K866" i="4"/>
  <c r="K864" i="4"/>
  <c r="K862" i="4"/>
  <c r="K860" i="4"/>
  <c r="K858" i="4"/>
  <c r="K856" i="4"/>
  <c r="K854" i="4"/>
  <c r="K852" i="4"/>
  <c r="K850" i="4"/>
  <c r="K848" i="4"/>
  <c r="K846" i="4"/>
  <c r="K844" i="4"/>
  <c r="K842" i="4"/>
  <c r="K840" i="4"/>
  <c r="K838" i="4"/>
  <c r="K836" i="4"/>
  <c r="K834" i="4"/>
  <c r="K832" i="4"/>
  <c r="K830" i="4"/>
  <c r="K828" i="4"/>
  <c r="K826" i="4"/>
  <c r="K824" i="4"/>
  <c r="K822" i="4"/>
  <c r="K820" i="4"/>
  <c r="K818" i="4"/>
  <c r="K816" i="4"/>
  <c r="K814" i="4"/>
  <c r="K812" i="4"/>
  <c r="K810" i="4"/>
  <c r="K808" i="4"/>
  <c r="K806" i="4"/>
  <c r="K804" i="4"/>
  <c r="K802" i="4"/>
  <c r="K800" i="4"/>
  <c r="K798" i="4"/>
  <c r="K796" i="4"/>
  <c r="K794" i="4"/>
  <c r="K792" i="4"/>
  <c r="K790" i="4"/>
  <c r="K788" i="4"/>
  <c r="K786" i="4"/>
  <c r="K784" i="4"/>
  <c r="K782" i="4"/>
  <c r="K780" i="4"/>
  <c r="K778" i="4"/>
  <c r="K776" i="4"/>
  <c r="K774" i="4"/>
  <c r="K772" i="4"/>
  <c r="K768" i="4"/>
  <c r="K764" i="4"/>
  <c r="K760" i="4"/>
  <c r="K756" i="4"/>
  <c r="K752" i="4"/>
  <c r="K748" i="4"/>
  <c r="K744" i="4"/>
  <c r="K740" i="4"/>
  <c r="K736" i="4"/>
  <c r="K732" i="4"/>
  <c r="K728" i="4"/>
  <c r="K724" i="4"/>
  <c r="K720" i="4"/>
  <c r="K716" i="4"/>
  <c r="K712" i="4"/>
  <c r="K708" i="4"/>
  <c r="K704" i="4"/>
  <c r="K700" i="4"/>
  <c r="K696" i="4"/>
  <c r="K692" i="4"/>
  <c r="K688" i="4"/>
  <c r="K684" i="4"/>
  <c r="K680" i="4"/>
  <c r="K676" i="4"/>
  <c r="K672" i="4"/>
  <c r="K668" i="4"/>
  <c r="K664" i="4"/>
  <c r="K660" i="4"/>
  <c r="K656" i="4"/>
  <c r="K652" i="4"/>
  <c r="K648" i="4"/>
  <c r="K644" i="4"/>
  <c r="K640" i="4"/>
  <c r="K636" i="4"/>
  <c r="K632" i="4"/>
  <c r="K628" i="4"/>
  <c r="K624" i="4"/>
  <c r="K620" i="4"/>
  <c r="K616" i="4"/>
  <c r="K612" i="4"/>
  <c r="K608" i="4"/>
  <c r="K604" i="4"/>
  <c r="K600" i="4"/>
  <c r="K596" i="4"/>
  <c r="K592" i="4"/>
  <c r="K588" i="4"/>
  <c r="K584" i="4"/>
  <c r="K580" i="4"/>
  <c r="K576" i="4"/>
  <c r="K572" i="4"/>
  <c r="K568" i="4"/>
  <c r="K564" i="4"/>
  <c r="K560" i="4"/>
  <c r="K556" i="4"/>
  <c r="K552" i="4"/>
  <c r="K548" i="4"/>
  <c r="K544" i="4"/>
  <c r="K540" i="4"/>
  <c r="K536" i="4"/>
  <c r="K532" i="4"/>
  <c r="K528" i="4"/>
  <c r="K524" i="4"/>
  <c r="K520" i="4"/>
  <c r="K516" i="4"/>
  <c r="K512" i="4"/>
  <c r="K508" i="4"/>
  <c r="K504" i="4"/>
  <c r="K500" i="4"/>
  <c r="K496" i="4"/>
  <c r="K492" i="4"/>
  <c r="K488" i="4"/>
  <c r="K484" i="4"/>
  <c r="K480" i="4"/>
  <c r="K476" i="4"/>
  <c r="K472" i="4"/>
  <c r="K468" i="4"/>
  <c r="K464" i="4"/>
  <c r="K460" i="4"/>
  <c r="K456" i="4"/>
  <c r="L140" i="4"/>
  <c r="M140" i="4" s="1"/>
  <c r="K140" i="4"/>
  <c r="L144" i="4"/>
  <c r="M144" i="4" s="1"/>
  <c r="K144" i="4"/>
  <c r="L148" i="4"/>
  <c r="M148" i="4" s="1"/>
  <c r="K148" i="4"/>
  <c r="L152" i="4"/>
  <c r="M152" i="4" s="1"/>
  <c r="K152" i="4"/>
  <c r="L156" i="4"/>
  <c r="M156" i="4" s="1"/>
  <c r="K156" i="4"/>
  <c r="L162" i="4"/>
  <c r="M162" i="4" s="1"/>
  <c r="K162" i="4"/>
  <c r="L164" i="4"/>
  <c r="M164" i="4" s="1"/>
  <c r="K164" i="4"/>
  <c r="L170" i="4"/>
  <c r="M170" i="4" s="1"/>
  <c r="K170" i="4"/>
  <c r="L174" i="4"/>
  <c r="M174" i="4" s="1"/>
  <c r="K174" i="4"/>
  <c r="L178" i="4"/>
  <c r="M178" i="4" s="1"/>
  <c r="K178" i="4"/>
  <c r="L182" i="4"/>
  <c r="M182" i="4" s="1"/>
  <c r="K182" i="4"/>
  <c r="L186" i="4"/>
  <c r="M186" i="4" s="1"/>
  <c r="K186" i="4"/>
  <c r="L190" i="4"/>
  <c r="M190" i="4" s="1"/>
  <c r="K190" i="4"/>
  <c r="L196" i="4"/>
  <c r="M196" i="4" s="1"/>
  <c r="K196" i="4"/>
  <c r="L198" i="4"/>
  <c r="M198" i="4" s="1"/>
  <c r="K198" i="4"/>
  <c r="L204" i="4"/>
  <c r="M204" i="4" s="1"/>
  <c r="K204" i="4"/>
  <c r="L208" i="4"/>
  <c r="M208" i="4" s="1"/>
  <c r="K208" i="4"/>
  <c r="L210" i="4"/>
  <c r="M210" i="4" s="1"/>
  <c r="K210" i="4"/>
  <c r="L216" i="4"/>
  <c r="M216" i="4" s="1"/>
  <c r="K216" i="4"/>
  <c r="L220" i="4"/>
  <c r="M220" i="4" s="1"/>
  <c r="K220" i="4"/>
  <c r="L224" i="4"/>
  <c r="M224" i="4" s="1"/>
  <c r="K224" i="4"/>
  <c r="L228" i="4"/>
  <c r="M228" i="4" s="1"/>
  <c r="K228" i="4"/>
  <c r="L232" i="4"/>
  <c r="M232" i="4" s="1"/>
  <c r="K232" i="4"/>
  <c r="L236" i="4"/>
  <c r="M236" i="4" s="1"/>
  <c r="K236" i="4"/>
  <c r="L240" i="4"/>
  <c r="M240" i="4" s="1"/>
  <c r="K240" i="4"/>
  <c r="L244" i="4"/>
  <c r="M244" i="4" s="1"/>
  <c r="K244" i="4"/>
  <c r="L248" i="4"/>
  <c r="M248" i="4" s="1"/>
  <c r="K248" i="4"/>
  <c r="L252" i="4"/>
  <c r="M252" i="4" s="1"/>
  <c r="K252" i="4"/>
  <c r="L256" i="4"/>
  <c r="M256" i="4" s="1"/>
  <c r="K256" i="4"/>
  <c r="L260" i="4"/>
  <c r="M260" i="4" s="1"/>
  <c r="K260" i="4"/>
  <c r="L264" i="4"/>
  <c r="M264" i="4" s="1"/>
  <c r="K264" i="4"/>
  <c r="L268" i="4"/>
  <c r="M268" i="4" s="1"/>
  <c r="K268" i="4"/>
  <c r="L272" i="4"/>
  <c r="M272" i="4" s="1"/>
  <c r="K272" i="4"/>
  <c r="L276" i="4"/>
  <c r="M276" i="4" s="1"/>
  <c r="K276" i="4"/>
  <c r="L280" i="4"/>
  <c r="M280" i="4" s="1"/>
  <c r="K280" i="4"/>
  <c r="L284" i="4"/>
  <c r="M284" i="4" s="1"/>
  <c r="K284" i="4"/>
  <c r="L288" i="4"/>
  <c r="M288" i="4" s="1"/>
  <c r="K288" i="4"/>
  <c r="L292" i="4"/>
  <c r="M292" i="4" s="1"/>
  <c r="K292" i="4"/>
  <c r="L296" i="4"/>
  <c r="M296" i="4" s="1"/>
  <c r="K296" i="4"/>
  <c r="L300" i="4"/>
  <c r="M300" i="4" s="1"/>
  <c r="K300" i="4"/>
  <c r="L304" i="4"/>
  <c r="M304" i="4" s="1"/>
  <c r="K304" i="4"/>
  <c r="L308" i="4"/>
  <c r="M308" i="4" s="1"/>
  <c r="K308" i="4"/>
  <c r="L312" i="4"/>
  <c r="M312" i="4" s="1"/>
  <c r="K312" i="4"/>
  <c r="L316" i="4"/>
  <c r="M316" i="4" s="1"/>
  <c r="K316" i="4"/>
  <c r="L320" i="4"/>
  <c r="M320" i="4" s="1"/>
  <c r="K320" i="4"/>
  <c r="L324" i="4"/>
  <c r="M324" i="4" s="1"/>
  <c r="K324" i="4"/>
  <c r="L328" i="4"/>
  <c r="M328" i="4" s="1"/>
  <c r="K328" i="4"/>
  <c r="L332" i="4"/>
  <c r="M332" i="4" s="1"/>
  <c r="K332" i="4"/>
  <c r="L336" i="4"/>
  <c r="M336" i="4" s="1"/>
  <c r="K336" i="4"/>
  <c r="L340" i="4"/>
  <c r="M340" i="4" s="1"/>
  <c r="K340" i="4"/>
  <c r="L344" i="4"/>
  <c r="M344" i="4" s="1"/>
  <c r="K344" i="4"/>
  <c r="L348" i="4"/>
  <c r="M348" i="4" s="1"/>
  <c r="K348" i="4"/>
  <c r="L352" i="4"/>
  <c r="M352" i="4" s="1"/>
  <c r="K352" i="4"/>
  <c r="L356" i="4"/>
  <c r="M356" i="4" s="1"/>
  <c r="K356" i="4"/>
  <c r="L362" i="4"/>
  <c r="M362" i="4" s="1"/>
  <c r="K362" i="4"/>
  <c r="L366" i="4"/>
  <c r="M366" i="4" s="1"/>
  <c r="K366" i="4"/>
  <c r="L370" i="4"/>
  <c r="M370" i="4" s="1"/>
  <c r="K370" i="4"/>
  <c r="L372" i="4"/>
  <c r="M372" i="4" s="1"/>
  <c r="K372" i="4"/>
  <c r="L376" i="4"/>
  <c r="M376" i="4" s="1"/>
  <c r="K376" i="4"/>
  <c r="L382" i="4"/>
  <c r="M382" i="4" s="1"/>
  <c r="K382" i="4"/>
  <c r="L384" i="4"/>
  <c r="M384" i="4" s="1"/>
  <c r="K384" i="4"/>
  <c r="L390" i="4"/>
  <c r="M390" i="4" s="1"/>
  <c r="K390" i="4"/>
  <c r="L394" i="4"/>
  <c r="M394" i="4" s="1"/>
  <c r="K394" i="4"/>
  <c r="L400" i="4"/>
  <c r="M400" i="4" s="1"/>
  <c r="K400" i="4"/>
  <c r="L404" i="4"/>
  <c r="M404" i="4" s="1"/>
  <c r="K404" i="4"/>
  <c r="L408" i="4"/>
  <c r="M408" i="4" s="1"/>
  <c r="K408" i="4"/>
  <c r="L412" i="4"/>
  <c r="M412" i="4" s="1"/>
  <c r="K412" i="4"/>
  <c r="L416" i="4"/>
  <c r="M416" i="4" s="1"/>
  <c r="K416" i="4"/>
  <c r="L418" i="4"/>
  <c r="M418" i="4" s="1"/>
  <c r="K418" i="4"/>
  <c r="L422" i="4"/>
  <c r="M422" i="4" s="1"/>
  <c r="K422" i="4"/>
  <c r="L426" i="4"/>
  <c r="M426" i="4" s="1"/>
  <c r="K426" i="4"/>
  <c r="L430" i="4"/>
  <c r="M430" i="4" s="1"/>
  <c r="K430" i="4"/>
  <c r="L434" i="4"/>
  <c r="M434" i="4" s="1"/>
  <c r="K434" i="4"/>
  <c r="L436" i="4"/>
  <c r="M436" i="4" s="1"/>
  <c r="K436" i="4"/>
  <c r="L440" i="4"/>
  <c r="M440" i="4" s="1"/>
  <c r="K440" i="4"/>
  <c r="L442" i="4"/>
  <c r="M442" i="4" s="1"/>
  <c r="K442" i="4"/>
  <c r="L450" i="4"/>
  <c r="M450" i="4" s="1"/>
  <c r="K450" i="4"/>
  <c r="L139" i="4"/>
  <c r="M139" i="4" s="1"/>
  <c r="K139" i="4"/>
  <c r="L141" i="4"/>
  <c r="M141" i="4" s="1"/>
  <c r="K141" i="4"/>
  <c r="L143" i="4"/>
  <c r="M143" i="4" s="1"/>
  <c r="K143" i="4"/>
  <c r="L145" i="4"/>
  <c r="M145" i="4" s="1"/>
  <c r="K145" i="4"/>
  <c r="L147" i="4"/>
  <c r="M147" i="4" s="1"/>
  <c r="K147" i="4"/>
  <c r="L149" i="4"/>
  <c r="M149" i="4" s="1"/>
  <c r="K149" i="4"/>
  <c r="L151" i="4"/>
  <c r="M151" i="4" s="1"/>
  <c r="K151" i="4"/>
  <c r="L153" i="4"/>
  <c r="M153" i="4" s="1"/>
  <c r="K153" i="4"/>
  <c r="L155" i="4"/>
  <c r="M155" i="4" s="1"/>
  <c r="K155" i="4"/>
  <c r="L157" i="4"/>
  <c r="M157" i="4" s="1"/>
  <c r="K157" i="4"/>
  <c r="L159" i="4"/>
  <c r="M159" i="4" s="1"/>
  <c r="K159" i="4"/>
  <c r="L161" i="4"/>
  <c r="M161" i="4" s="1"/>
  <c r="K161" i="4"/>
  <c r="L163" i="4"/>
  <c r="M163" i="4" s="1"/>
  <c r="K163" i="4"/>
  <c r="L165" i="4"/>
  <c r="M165" i="4" s="1"/>
  <c r="K165" i="4"/>
  <c r="L167" i="4"/>
  <c r="M167" i="4" s="1"/>
  <c r="K167" i="4"/>
  <c r="L169" i="4"/>
  <c r="M169" i="4" s="1"/>
  <c r="K169" i="4"/>
  <c r="L171" i="4"/>
  <c r="M171" i="4" s="1"/>
  <c r="K171" i="4"/>
  <c r="L173" i="4"/>
  <c r="M173" i="4" s="1"/>
  <c r="K173" i="4"/>
  <c r="L175" i="4"/>
  <c r="M175" i="4" s="1"/>
  <c r="K175" i="4"/>
  <c r="L177" i="4"/>
  <c r="M177" i="4" s="1"/>
  <c r="K177" i="4"/>
  <c r="L179" i="4"/>
  <c r="M179" i="4" s="1"/>
  <c r="K179" i="4"/>
  <c r="L181" i="4"/>
  <c r="M181" i="4" s="1"/>
  <c r="K181" i="4"/>
  <c r="L183" i="4"/>
  <c r="M183" i="4" s="1"/>
  <c r="K183" i="4"/>
  <c r="L185" i="4"/>
  <c r="M185" i="4" s="1"/>
  <c r="K185" i="4"/>
  <c r="L187" i="4"/>
  <c r="M187" i="4" s="1"/>
  <c r="K187" i="4"/>
  <c r="L189" i="4"/>
  <c r="M189" i="4" s="1"/>
  <c r="K189" i="4"/>
  <c r="L191" i="4"/>
  <c r="M191" i="4" s="1"/>
  <c r="K191" i="4"/>
  <c r="L193" i="4"/>
  <c r="M193" i="4" s="1"/>
  <c r="K193" i="4"/>
  <c r="L195" i="4"/>
  <c r="M195" i="4" s="1"/>
  <c r="K195" i="4"/>
  <c r="L197" i="4"/>
  <c r="M197" i="4" s="1"/>
  <c r="K197" i="4"/>
  <c r="L199" i="4"/>
  <c r="M199" i="4" s="1"/>
  <c r="K199" i="4"/>
  <c r="L201" i="4"/>
  <c r="M201" i="4" s="1"/>
  <c r="K201" i="4"/>
  <c r="L203" i="4"/>
  <c r="M203" i="4" s="1"/>
  <c r="K203" i="4"/>
  <c r="L205" i="4"/>
  <c r="M205" i="4" s="1"/>
  <c r="K205" i="4"/>
  <c r="L207" i="4"/>
  <c r="M207" i="4" s="1"/>
  <c r="K207" i="4"/>
  <c r="L209" i="4"/>
  <c r="M209" i="4" s="1"/>
  <c r="K209" i="4"/>
  <c r="L211" i="4"/>
  <c r="M211" i="4" s="1"/>
  <c r="K211" i="4"/>
  <c r="L213" i="4"/>
  <c r="M213" i="4" s="1"/>
  <c r="K213" i="4"/>
  <c r="L215" i="4"/>
  <c r="M215" i="4" s="1"/>
  <c r="K215" i="4"/>
  <c r="L217" i="4"/>
  <c r="M217" i="4" s="1"/>
  <c r="K217" i="4"/>
  <c r="L219" i="4"/>
  <c r="M219" i="4" s="1"/>
  <c r="K219" i="4"/>
  <c r="L221" i="4"/>
  <c r="M221" i="4" s="1"/>
  <c r="K221" i="4"/>
  <c r="L223" i="4"/>
  <c r="M223" i="4" s="1"/>
  <c r="K223" i="4"/>
  <c r="L225" i="4"/>
  <c r="M225" i="4" s="1"/>
  <c r="K225" i="4"/>
  <c r="L227" i="4"/>
  <c r="M227" i="4" s="1"/>
  <c r="K227" i="4"/>
  <c r="L229" i="4"/>
  <c r="M229" i="4" s="1"/>
  <c r="K229" i="4"/>
  <c r="L231" i="4"/>
  <c r="M231" i="4" s="1"/>
  <c r="K231" i="4"/>
  <c r="L233" i="4"/>
  <c r="M233" i="4" s="1"/>
  <c r="K233" i="4"/>
  <c r="L235" i="4"/>
  <c r="M235" i="4" s="1"/>
  <c r="K235" i="4"/>
  <c r="L237" i="4"/>
  <c r="M237" i="4" s="1"/>
  <c r="K237" i="4"/>
  <c r="L239" i="4"/>
  <c r="M239" i="4" s="1"/>
  <c r="K239" i="4"/>
  <c r="L241" i="4"/>
  <c r="M241" i="4" s="1"/>
  <c r="K241" i="4"/>
  <c r="L243" i="4"/>
  <c r="M243" i="4" s="1"/>
  <c r="K243" i="4"/>
  <c r="L245" i="4"/>
  <c r="M245" i="4" s="1"/>
  <c r="K245" i="4"/>
  <c r="L247" i="4"/>
  <c r="M247" i="4" s="1"/>
  <c r="K247" i="4"/>
  <c r="L249" i="4"/>
  <c r="M249" i="4" s="1"/>
  <c r="K249" i="4"/>
  <c r="L251" i="4"/>
  <c r="M251" i="4" s="1"/>
  <c r="K251" i="4"/>
  <c r="L253" i="4"/>
  <c r="M253" i="4" s="1"/>
  <c r="K253" i="4"/>
  <c r="L255" i="4"/>
  <c r="M255" i="4" s="1"/>
  <c r="K255" i="4"/>
  <c r="L257" i="4"/>
  <c r="M257" i="4" s="1"/>
  <c r="K257" i="4"/>
  <c r="L259" i="4"/>
  <c r="M259" i="4" s="1"/>
  <c r="K259" i="4"/>
  <c r="L261" i="4"/>
  <c r="M261" i="4" s="1"/>
  <c r="K261" i="4"/>
  <c r="L263" i="4"/>
  <c r="M263" i="4" s="1"/>
  <c r="K263" i="4"/>
  <c r="L265" i="4"/>
  <c r="M265" i="4" s="1"/>
  <c r="K265" i="4"/>
  <c r="L267" i="4"/>
  <c r="M267" i="4" s="1"/>
  <c r="K267" i="4"/>
  <c r="L269" i="4"/>
  <c r="M269" i="4" s="1"/>
  <c r="K269" i="4"/>
  <c r="L271" i="4"/>
  <c r="M271" i="4" s="1"/>
  <c r="K271" i="4"/>
  <c r="L273" i="4"/>
  <c r="M273" i="4" s="1"/>
  <c r="K273" i="4"/>
  <c r="L275" i="4"/>
  <c r="M275" i="4" s="1"/>
  <c r="K275" i="4"/>
  <c r="L277" i="4"/>
  <c r="M277" i="4" s="1"/>
  <c r="K277" i="4"/>
  <c r="L279" i="4"/>
  <c r="M279" i="4" s="1"/>
  <c r="K279" i="4"/>
  <c r="L281" i="4"/>
  <c r="M281" i="4" s="1"/>
  <c r="K281" i="4"/>
  <c r="L283" i="4"/>
  <c r="M283" i="4" s="1"/>
  <c r="K283" i="4"/>
  <c r="L285" i="4"/>
  <c r="M285" i="4" s="1"/>
  <c r="K285" i="4"/>
  <c r="L287" i="4"/>
  <c r="M287" i="4" s="1"/>
  <c r="K287" i="4"/>
  <c r="L289" i="4"/>
  <c r="M289" i="4" s="1"/>
  <c r="K289" i="4"/>
  <c r="L291" i="4"/>
  <c r="M291" i="4" s="1"/>
  <c r="K291" i="4"/>
  <c r="L293" i="4"/>
  <c r="M293" i="4" s="1"/>
  <c r="K293" i="4"/>
  <c r="L295" i="4"/>
  <c r="M295" i="4" s="1"/>
  <c r="K295" i="4"/>
  <c r="L297" i="4"/>
  <c r="M297" i="4" s="1"/>
  <c r="K297" i="4"/>
  <c r="L299" i="4"/>
  <c r="M299" i="4" s="1"/>
  <c r="K299" i="4"/>
  <c r="L301" i="4"/>
  <c r="M301" i="4" s="1"/>
  <c r="K301" i="4"/>
  <c r="L303" i="4"/>
  <c r="M303" i="4" s="1"/>
  <c r="K303" i="4"/>
  <c r="L305" i="4"/>
  <c r="M305" i="4" s="1"/>
  <c r="K305" i="4"/>
  <c r="L307" i="4"/>
  <c r="M307" i="4" s="1"/>
  <c r="K307" i="4"/>
  <c r="L309" i="4"/>
  <c r="M309" i="4" s="1"/>
  <c r="K309" i="4"/>
  <c r="L311" i="4"/>
  <c r="M311" i="4" s="1"/>
  <c r="K311" i="4"/>
  <c r="L313" i="4"/>
  <c r="M313" i="4" s="1"/>
  <c r="K313" i="4"/>
  <c r="L315" i="4"/>
  <c r="M315" i="4" s="1"/>
  <c r="K315" i="4"/>
  <c r="L317" i="4"/>
  <c r="M317" i="4" s="1"/>
  <c r="K317" i="4"/>
  <c r="L319" i="4"/>
  <c r="M319" i="4" s="1"/>
  <c r="K319" i="4"/>
  <c r="L321" i="4"/>
  <c r="M321" i="4" s="1"/>
  <c r="K321" i="4"/>
  <c r="L323" i="4"/>
  <c r="M323" i="4" s="1"/>
  <c r="K323" i="4"/>
  <c r="L325" i="4"/>
  <c r="M325" i="4" s="1"/>
  <c r="K325" i="4"/>
  <c r="L327" i="4"/>
  <c r="M327" i="4" s="1"/>
  <c r="K327" i="4"/>
  <c r="L329" i="4"/>
  <c r="M329" i="4" s="1"/>
  <c r="K329" i="4"/>
  <c r="L331" i="4"/>
  <c r="M331" i="4" s="1"/>
  <c r="K331" i="4"/>
  <c r="L333" i="4"/>
  <c r="M333" i="4" s="1"/>
  <c r="K333" i="4"/>
  <c r="L335" i="4"/>
  <c r="M335" i="4" s="1"/>
  <c r="K335" i="4"/>
  <c r="L337" i="4"/>
  <c r="M337" i="4" s="1"/>
  <c r="K337" i="4"/>
  <c r="L339" i="4"/>
  <c r="M339" i="4" s="1"/>
  <c r="K339" i="4"/>
  <c r="L341" i="4"/>
  <c r="M341" i="4" s="1"/>
  <c r="K341" i="4"/>
  <c r="L343" i="4"/>
  <c r="M343" i="4" s="1"/>
  <c r="K343" i="4"/>
  <c r="L345" i="4"/>
  <c r="M345" i="4" s="1"/>
  <c r="K345" i="4"/>
  <c r="L347" i="4"/>
  <c r="M347" i="4" s="1"/>
  <c r="K347" i="4"/>
  <c r="L349" i="4"/>
  <c r="M349" i="4" s="1"/>
  <c r="K349" i="4"/>
  <c r="L351" i="4"/>
  <c r="M351" i="4" s="1"/>
  <c r="K351" i="4"/>
  <c r="L353" i="4"/>
  <c r="M353" i="4" s="1"/>
  <c r="K353" i="4"/>
  <c r="L355" i="4"/>
  <c r="M355" i="4" s="1"/>
  <c r="K355" i="4"/>
  <c r="L357" i="4"/>
  <c r="M357" i="4" s="1"/>
  <c r="K357" i="4"/>
  <c r="L359" i="4"/>
  <c r="M359" i="4" s="1"/>
  <c r="K359" i="4"/>
  <c r="L361" i="4"/>
  <c r="M361" i="4" s="1"/>
  <c r="K361" i="4"/>
  <c r="L363" i="4"/>
  <c r="M363" i="4" s="1"/>
  <c r="K363" i="4"/>
  <c r="L365" i="4"/>
  <c r="M365" i="4" s="1"/>
  <c r="K365" i="4"/>
  <c r="L367" i="4"/>
  <c r="M367" i="4" s="1"/>
  <c r="K367" i="4"/>
  <c r="L369" i="4"/>
  <c r="M369" i="4" s="1"/>
  <c r="K369" i="4"/>
  <c r="L371" i="4"/>
  <c r="M371" i="4" s="1"/>
  <c r="K371" i="4"/>
  <c r="L373" i="4"/>
  <c r="M373" i="4" s="1"/>
  <c r="K373" i="4"/>
  <c r="L375" i="4"/>
  <c r="M375" i="4" s="1"/>
  <c r="K375" i="4"/>
  <c r="L377" i="4"/>
  <c r="M377" i="4" s="1"/>
  <c r="K377" i="4"/>
  <c r="L379" i="4"/>
  <c r="M379" i="4" s="1"/>
  <c r="K379" i="4"/>
  <c r="L381" i="4"/>
  <c r="M381" i="4" s="1"/>
  <c r="K381" i="4"/>
  <c r="L383" i="4"/>
  <c r="M383" i="4" s="1"/>
  <c r="K383" i="4"/>
  <c r="L385" i="4"/>
  <c r="M385" i="4" s="1"/>
  <c r="K385" i="4"/>
  <c r="L387" i="4"/>
  <c r="M387" i="4" s="1"/>
  <c r="K387" i="4"/>
  <c r="L389" i="4"/>
  <c r="M389" i="4" s="1"/>
  <c r="K389" i="4"/>
  <c r="L391" i="4"/>
  <c r="M391" i="4" s="1"/>
  <c r="K391" i="4"/>
  <c r="L393" i="4"/>
  <c r="M393" i="4" s="1"/>
  <c r="K393" i="4"/>
  <c r="L395" i="4"/>
  <c r="M395" i="4" s="1"/>
  <c r="K395" i="4"/>
  <c r="L397" i="4"/>
  <c r="M397" i="4" s="1"/>
  <c r="K397" i="4"/>
  <c r="L399" i="4"/>
  <c r="M399" i="4" s="1"/>
  <c r="K399" i="4"/>
  <c r="L401" i="4"/>
  <c r="M401" i="4" s="1"/>
  <c r="K401" i="4"/>
  <c r="L403" i="4"/>
  <c r="M403" i="4" s="1"/>
  <c r="K403" i="4"/>
  <c r="L405" i="4"/>
  <c r="M405" i="4" s="1"/>
  <c r="K405" i="4"/>
  <c r="L407" i="4"/>
  <c r="M407" i="4" s="1"/>
  <c r="K407" i="4"/>
  <c r="L409" i="4"/>
  <c r="M409" i="4" s="1"/>
  <c r="K409" i="4"/>
  <c r="L411" i="4"/>
  <c r="M411" i="4" s="1"/>
  <c r="K411" i="4"/>
  <c r="L413" i="4"/>
  <c r="M413" i="4" s="1"/>
  <c r="K413" i="4"/>
  <c r="L415" i="4"/>
  <c r="M415" i="4" s="1"/>
  <c r="K415" i="4"/>
  <c r="L417" i="4"/>
  <c r="M417" i="4" s="1"/>
  <c r="K417" i="4"/>
  <c r="L419" i="4"/>
  <c r="M419" i="4" s="1"/>
  <c r="K419" i="4"/>
  <c r="L421" i="4"/>
  <c r="M421" i="4" s="1"/>
  <c r="K421" i="4"/>
  <c r="L423" i="4"/>
  <c r="M423" i="4" s="1"/>
  <c r="K423" i="4"/>
  <c r="L425" i="4"/>
  <c r="M425" i="4" s="1"/>
  <c r="K425" i="4"/>
  <c r="L427" i="4"/>
  <c r="M427" i="4" s="1"/>
  <c r="K427" i="4"/>
  <c r="L429" i="4"/>
  <c r="M429" i="4" s="1"/>
  <c r="K429" i="4"/>
  <c r="L431" i="4"/>
  <c r="M431" i="4" s="1"/>
  <c r="K431" i="4"/>
  <c r="L433" i="4"/>
  <c r="M433" i="4" s="1"/>
  <c r="K433" i="4"/>
  <c r="L435" i="4"/>
  <c r="M435" i="4" s="1"/>
  <c r="K435" i="4"/>
  <c r="L437" i="4"/>
  <c r="M437" i="4" s="1"/>
  <c r="K437" i="4"/>
  <c r="L439" i="4"/>
  <c r="M439" i="4" s="1"/>
  <c r="K439" i="4"/>
  <c r="L441" i="4"/>
  <c r="M441" i="4" s="1"/>
  <c r="K441" i="4"/>
  <c r="L443" i="4"/>
  <c r="M443" i="4" s="1"/>
  <c r="K443" i="4"/>
  <c r="L445" i="4"/>
  <c r="M445" i="4" s="1"/>
  <c r="K445" i="4"/>
  <c r="L447" i="4"/>
  <c r="M447" i="4" s="1"/>
  <c r="K447" i="4"/>
  <c r="L449" i="4"/>
  <c r="M449" i="4" s="1"/>
  <c r="K449" i="4"/>
  <c r="L451" i="4"/>
  <c r="M451" i="4" s="1"/>
  <c r="K451" i="4"/>
  <c r="L453" i="4"/>
  <c r="M453" i="4" s="1"/>
  <c r="K453" i="4"/>
  <c r="L455" i="4"/>
  <c r="M455" i="4" s="1"/>
  <c r="K455" i="4"/>
  <c r="L457" i="4"/>
  <c r="M457" i="4" s="1"/>
  <c r="K457" i="4"/>
  <c r="L459" i="4"/>
  <c r="M459" i="4" s="1"/>
  <c r="K459" i="4"/>
  <c r="L461" i="4"/>
  <c r="M461" i="4" s="1"/>
  <c r="K461" i="4"/>
  <c r="L463" i="4"/>
  <c r="M463" i="4" s="1"/>
  <c r="K463" i="4"/>
  <c r="L465" i="4"/>
  <c r="M465" i="4" s="1"/>
  <c r="K465" i="4"/>
  <c r="L467" i="4"/>
  <c r="M467" i="4" s="1"/>
  <c r="K467" i="4"/>
  <c r="L469" i="4"/>
  <c r="M469" i="4" s="1"/>
  <c r="K469" i="4"/>
  <c r="L471" i="4"/>
  <c r="M471" i="4" s="1"/>
  <c r="K471" i="4"/>
  <c r="L473" i="4"/>
  <c r="M473" i="4" s="1"/>
  <c r="K473" i="4"/>
  <c r="L475" i="4"/>
  <c r="M475" i="4" s="1"/>
  <c r="K475" i="4"/>
  <c r="L477" i="4"/>
  <c r="M477" i="4" s="1"/>
  <c r="K477" i="4"/>
  <c r="L479" i="4"/>
  <c r="M479" i="4" s="1"/>
  <c r="K479" i="4"/>
  <c r="L481" i="4"/>
  <c r="M481" i="4" s="1"/>
  <c r="K481" i="4"/>
  <c r="L483" i="4"/>
  <c r="M483" i="4" s="1"/>
  <c r="K483" i="4"/>
  <c r="L485" i="4"/>
  <c r="M485" i="4" s="1"/>
  <c r="K485" i="4"/>
  <c r="L487" i="4"/>
  <c r="M487" i="4" s="1"/>
  <c r="K487" i="4"/>
  <c r="L489" i="4"/>
  <c r="M489" i="4" s="1"/>
  <c r="K489" i="4"/>
  <c r="L491" i="4"/>
  <c r="M491" i="4" s="1"/>
  <c r="K491" i="4"/>
  <c r="L493" i="4"/>
  <c r="M493" i="4" s="1"/>
  <c r="K493" i="4"/>
  <c r="L495" i="4"/>
  <c r="M495" i="4" s="1"/>
  <c r="K495" i="4"/>
  <c r="L497" i="4"/>
  <c r="M497" i="4" s="1"/>
  <c r="K497" i="4"/>
  <c r="L499" i="4"/>
  <c r="M499" i="4" s="1"/>
  <c r="K499" i="4"/>
  <c r="L501" i="4"/>
  <c r="M501" i="4" s="1"/>
  <c r="K501" i="4"/>
  <c r="L503" i="4"/>
  <c r="M503" i="4" s="1"/>
  <c r="K503" i="4"/>
  <c r="L505" i="4"/>
  <c r="M505" i="4" s="1"/>
  <c r="K505" i="4"/>
  <c r="L507" i="4"/>
  <c r="M507" i="4" s="1"/>
  <c r="K507" i="4"/>
  <c r="L509" i="4"/>
  <c r="M509" i="4" s="1"/>
  <c r="K509" i="4"/>
  <c r="L511" i="4"/>
  <c r="M511" i="4" s="1"/>
  <c r="K511" i="4"/>
  <c r="L513" i="4"/>
  <c r="M513" i="4" s="1"/>
  <c r="K513" i="4"/>
  <c r="L515" i="4"/>
  <c r="M515" i="4" s="1"/>
  <c r="K515" i="4"/>
  <c r="L517" i="4"/>
  <c r="M517" i="4" s="1"/>
  <c r="K517" i="4"/>
  <c r="L519" i="4"/>
  <c r="M519" i="4" s="1"/>
  <c r="K519" i="4"/>
  <c r="L521" i="4"/>
  <c r="M521" i="4" s="1"/>
  <c r="K521" i="4"/>
  <c r="L523" i="4"/>
  <c r="M523" i="4" s="1"/>
  <c r="K523" i="4"/>
  <c r="L525" i="4"/>
  <c r="M525" i="4" s="1"/>
  <c r="K525" i="4"/>
  <c r="L527" i="4"/>
  <c r="M527" i="4" s="1"/>
  <c r="K527" i="4"/>
  <c r="L529" i="4"/>
  <c r="M529" i="4" s="1"/>
  <c r="K529" i="4"/>
  <c r="L531" i="4"/>
  <c r="M531" i="4" s="1"/>
  <c r="K531" i="4"/>
  <c r="L533" i="4"/>
  <c r="M533" i="4" s="1"/>
  <c r="K533" i="4"/>
  <c r="L535" i="4"/>
  <c r="M535" i="4" s="1"/>
  <c r="K535" i="4"/>
  <c r="L537" i="4"/>
  <c r="M537" i="4" s="1"/>
  <c r="K537" i="4"/>
  <c r="L539" i="4"/>
  <c r="M539" i="4" s="1"/>
  <c r="K539" i="4"/>
  <c r="L541" i="4"/>
  <c r="M541" i="4" s="1"/>
  <c r="K541" i="4"/>
  <c r="L543" i="4"/>
  <c r="M543" i="4" s="1"/>
  <c r="K543" i="4"/>
  <c r="L545" i="4"/>
  <c r="M545" i="4" s="1"/>
  <c r="K545" i="4"/>
  <c r="L547" i="4"/>
  <c r="M547" i="4" s="1"/>
  <c r="K547" i="4"/>
  <c r="L549" i="4"/>
  <c r="M549" i="4" s="1"/>
  <c r="K549" i="4"/>
  <c r="L551" i="4"/>
  <c r="M551" i="4" s="1"/>
  <c r="K551" i="4"/>
  <c r="L553" i="4"/>
  <c r="M553" i="4" s="1"/>
  <c r="K553" i="4"/>
  <c r="L555" i="4"/>
  <c r="M555" i="4" s="1"/>
  <c r="K555" i="4"/>
  <c r="L557" i="4"/>
  <c r="M557" i="4" s="1"/>
  <c r="K557" i="4"/>
  <c r="L559" i="4"/>
  <c r="M559" i="4" s="1"/>
  <c r="K559" i="4"/>
  <c r="L561" i="4"/>
  <c r="M561" i="4" s="1"/>
  <c r="K561" i="4"/>
  <c r="L563" i="4"/>
  <c r="M563" i="4" s="1"/>
  <c r="K563" i="4"/>
  <c r="L565" i="4"/>
  <c r="M565" i="4" s="1"/>
  <c r="K565" i="4"/>
  <c r="L567" i="4"/>
  <c r="M567" i="4" s="1"/>
  <c r="K567" i="4"/>
  <c r="L569" i="4"/>
  <c r="M569" i="4" s="1"/>
  <c r="K569" i="4"/>
  <c r="L571" i="4"/>
  <c r="M571" i="4" s="1"/>
  <c r="K571" i="4"/>
  <c r="L573" i="4"/>
  <c r="M573" i="4" s="1"/>
  <c r="K573" i="4"/>
  <c r="L575" i="4"/>
  <c r="M575" i="4" s="1"/>
  <c r="K575" i="4"/>
  <c r="L577" i="4"/>
  <c r="M577" i="4" s="1"/>
  <c r="K577" i="4"/>
  <c r="L579" i="4"/>
  <c r="M579" i="4" s="1"/>
  <c r="K579" i="4"/>
  <c r="L581" i="4"/>
  <c r="M581" i="4" s="1"/>
  <c r="K581" i="4"/>
  <c r="L583" i="4"/>
  <c r="M583" i="4" s="1"/>
  <c r="K583" i="4"/>
  <c r="L585" i="4"/>
  <c r="M585" i="4" s="1"/>
  <c r="K585" i="4"/>
  <c r="L587" i="4"/>
  <c r="M587" i="4" s="1"/>
  <c r="K587" i="4"/>
  <c r="L589" i="4"/>
  <c r="M589" i="4" s="1"/>
  <c r="K589" i="4"/>
  <c r="L591" i="4"/>
  <c r="M591" i="4" s="1"/>
  <c r="K591" i="4"/>
  <c r="L593" i="4"/>
  <c r="M593" i="4" s="1"/>
  <c r="K593" i="4"/>
  <c r="L595" i="4"/>
  <c r="M595" i="4" s="1"/>
  <c r="K595" i="4"/>
  <c r="L597" i="4"/>
  <c r="M597" i="4" s="1"/>
  <c r="K597" i="4"/>
  <c r="L599" i="4"/>
  <c r="M599" i="4" s="1"/>
  <c r="K599" i="4"/>
  <c r="L601" i="4"/>
  <c r="M601" i="4" s="1"/>
  <c r="K601" i="4"/>
  <c r="L603" i="4"/>
  <c r="M603" i="4" s="1"/>
  <c r="K603" i="4"/>
  <c r="L605" i="4"/>
  <c r="M605" i="4" s="1"/>
  <c r="K605" i="4"/>
  <c r="L607" i="4"/>
  <c r="M607" i="4" s="1"/>
  <c r="K607" i="4"/>
  <c r="L609" i="4"/>
  <c r="M609" i="4" s="1"/>
  <c r="K609" i="4"/>
  <c r="L611" i="4"/>
  <c r="M611" i="4" s="1"/>
  <c r="K611" i="4"/>
  <c r="L613" i="4"/>
  <c r="M613" i="4" s="1"/>
  <c r="K613" i="4"/>
  <c r="L615" i="4"/>
  <c r="M615" i="4" s="1"/>
  <c r="K615" i="4"/>
  <c r="L617" i="4"/>
  <c r="M617" i="4" s="1"/>
  <c r="K617" i="4"/>
  <c r="L619" i="4"/>
  <c r="M619" i="4" s="1"/>
  <c r="K619" i="4"/>
  <c r="L621" i="4"/>
  <c r="M621" i="4" s="1"/>
  <c r="K621" i="4"/>
  <c r="L623" i="4"/>
  <c r="M623" i="4" s="1"/>
  <c r="K623" i="4"/>
  <c r="L625" i="4"/>
  <c r="M625" i="4" s="1"/>
  <c r="K625" i="4"/>
  <c r="L627" i="4"/>
  <c r="M627" i="4" s="1"/>
  <c r="K627" i="4"/>
  <c r="L629" i="4"/>
  <c r="M629" i="4" s="1"/>
  <c r="K629" i="4"/>
  <c r="L631" i="4"/>
  <c r="M631" i="4" s="1"/>
  <c r="K631" i="4"/>
  <c r="L633" i="4"/>
  <c r="M633" i="4" s="1"/>
  <c r="K633" i="4"/>
  <c r="L635" i="4"/>
  <c r="M635" i="4" s="1"/>
  <c r="K635" i="4"/>
  <c r="L637" i="4"/>
  <c r="M637" i="4" s="1"/>
  <c r="K637" i="4"/>
  <c r="L639" i="4"/>
  <c r="M639" i="4" s="1"/>
  <c r="K639" i="4"/>
  <c r="L641" i="4"/>
  <c r="M641" i="4" s="1"/>
  <c r="K641" i="4"/>
  <c r="L643" i="4"/>
  <c r="M643" i="4" s="1"/>
  <c r="K643" i="4"/>
  <c r="L645" i="4"/>
  <c r="M645" i="4" s="1"/>
  <c r="K645" i="4"/>
  <c r="L647" i="4"/>
  <c r="M647" i="4" s="1"/>
  <c r="K647" i="4"/>
  <c r="L649" i="4"/>
  <c r="M649" i="4" s="1"/>
  <c r="K649" i="4"/>
  <c r="L651" i="4"/>
  <c r="M651" i="4" s="1"/>
  <c r="K651" i="4"/>
  <c r="L653" i="4"/>
  <c r="M653" i="4" s="1"/>
  <c r="K653" i="4"/>
  <c r="L655" i="4"/>
  <c r="M655" i="4" s="1"/>
  <c r="K655" i="4"/>
  <c r="L657" i="4"/>
  <c r="M657" i="4" s="1"/>
  <c r="K657" i="4"/>
  <c r="L659" i="4"/>
  <c r="M659" i="4" s="1"/>
  <c r="K659" i="4"/>
  <c r="L661" i="4"/>
  <c r="M661" i="4" s="1"/>
  <c r="K661" i="4"/>
  <c r="L663" i="4"/>
  <c r="M663" i="4" s="1"/>
  <c r="K663" i="4"/>
  <c r="L665" i="4"/>
  <c r="M665" i="4" s="1"/>
  <c r="K665" i="4"/>
  <c r="L667" i="4"/>
  <c r="M667" i="4" s="1"/>
  <c r="K667" i="4"/>
  <c r="L669" i="4"/>
  <c r="M669" i="4" s="1"/>
  <c r="K669" i="4"/>
  <c r="L671" i="4"/>
  <c r="M671" i="4" s="1"/>
  <c r="K671" i="4"/>
  <c r="L673" i="4"/>
  <c r="M673" i="4" s="1"/>
  <c r="K673" i="4"/>
  <c r="L675" i="4"/>
  <c r="M675" i="4" s="1"/>
  <c r="K675" i="4"/>
  <c r="L677" i="4"/>
  <c r="M677" i="4" s="1"/>
  <c r="K677" i="4"/>
  <c r="L679" i="4"/>
  <c r="M679" i="4" s="1"/>
  <c r="K679" i="4"/>
  <c r="L681" i="4"/>
  <c r="M681" i="4" s="1"/>
  <c r="K681" i="4"/>
  <c r="L683" i="4"/>
  <c r="M683" i="4" s="1"/>
  <c r="K683" i="4"/>
  <c r="L685" i="4"/>
  <c r="M685" i="4" s="1"/>
  <c r="K685" i="4"/>
  <c r="L687" i="4"/>
  <c r="M687" i="4" s="1"/>
  <c r="K687" i="4"/>
  <c r="L689" i="4"/>
  <c r="M689" i="4" s="1"/>
  <c r="K689" i="4"/>
  <c r="L691" i="4"/>
  <c r="M691" i="4" s="1"/>
  <c r="K691" i="4"/>
  <c r="L693" i="4"/>
  <c r="M693" i="4" s="1"/>
  <c r="K693" i="4"/>
  <c r="L695" i="4"/>
  <c r="M695" i="4" s="1"/>
  <c r="K695" i="4"/>
  <c r="L697" i="4"/>
  <c r="M697" i="4" s="1"/>
  <c r="K697" i="4"/>
  <c r="L699" i="4"/>
  <c r="M699" i="4" s="1"/>
  <c r="K699" i="4"/>
  <c r="L701" i="4"/>
  <c r="M701" i="4" s="1"/>
  <c r="K701" i="4"/>
  <c r="L703" i="4"/>
  <c r="M703" i="4" s="1"/>
  <c r="K703" i="4"/>
  <c r="L705" i="4"/>
  <c r="M705" i="4" s="1"/>
  <c r="K705" i="4"/>
  <c r="L707" i="4"/>
  <c r="M707" i="4" s="1"/>
  <c r="K707" i="4"/>
  <c r="L709" i="4"/>
  <c r="M709" i="4" s="1"/>
  <c r="K709" i="4"/>
  <c r="L711" i="4"/>
  <c r="M711" i="4" s="1"/>
  <c r="K711" i="4"/>
  <c r="L713" i="4"/>
  <c r="M713" i="4" s="1"/>
  <c r="K713" i="4"/>
  <c r="L715" i="4"/>
  <c r="M715" i="4" s="1"/>
  <c r="K715" i="4"/>
  <c r="L717" i="4"/>
  <c r="M717" i="4" s="1"/>
  <c r="K717" i="4"/>
  <c r="L719" i="4"/>
  <c r="M719" i="4" s="1"/>
  <c r="K719" i="4"/>
  <c r="L721" i="4"/>
  <c r="M721" i="4" s="1"/>
  <c r="K721" i="4"/>
  <c r="L723" i="4"/>
  <c r="M723" i="4" s="1"/>
  <c r="K723" i="4"/>
  <c r="L725" i="4"/>
  <c r="M725" i="4" s="1"/>
  <c r="K725" i="4"/>
  <c r="L727" i="4"/>
  <c r="M727" i="4" s="1"/>
  <c r="K727" i="4"/>
  <c r="L729" i="4"/>
  <c r="M729" i="4" s="1"/>
  <c r="K729" i="4"/>
  <c r="L731" i="4"/>
  <c r="M731" i="4" s="1"/>
  <c r="K731" i="4"/>
  <c r="L733" i="4"/>
  <c r="M733" i="4" s="1"/>
  <c r="K733" i="4"/>
  <c r="L735" i="4"/>
  <c r="M735" i="4" s="1"/>
  <c r="K735" i="4"/>
  <c r="L737" i="4"/>
  <c r="M737" i="4" s="1"/>
  <c r="K737" i="4"/>
  <c r="L739" i="4"/>
  <c r="M739" i="4" s="1"/>
  <c r="K739" i="4"/>
  <c r="L741" i="4"/>
  <c r="M741" i="4" s="1"/>
  <c r="K741" i="4"/>
  <c r="L743" i="4"/>
  <c r="M743" i="4" s="1"/>
  <c r="K743" i="4"/>
  <c r="L745" i="4"/>
  <c r="M745" i="4" s="1"/>
  <c r="K745" i="4"/>
  <c r="L747" i="4"/>
  <c r="M747" i="4" s="1"/>
  <c r="K747" i="4"/>
  <c r="L749" i="4"/>
  <c r="M749" i="4" s="1"/>
  <c r="K749" i="4"/>
  <c r="L751" i="4"/>
  <c r="M751" i="4" s="1"/>
  <c r="K751" i="4"/>
  <c r="L753" i="4"/>
  <c r="M753" i="4" s="1"/>
  <c r="K753" i="4"/>
  <c r="L755" i="4"/>
  <c r="M755" i="4" s="1"/>
  <c r="K755" i="4"/>
  <c r="L757" i="4"/>
  <c r="M757" i="4" s="1"/>
  <c r="K757" i="4"/>
  <c r="L759" i="4"/>
  <c r="M759" i="4" s="1"/>
  <c r="K759" i="4"/>
  <c r="L761" i="4"/>
  <c r="M761" i="4" s="1"/>
  <c r="K761" i="4"/>
  <c r="K763" i="4"/>
  <c r="L763" i="4"/>
  <c r="M763" i="4" s="1"/>
  <c r="K765" i="4"/>
  <c r="L765" i="4"/>
  <c r="M765" i="4" s="1"/>
  <c r="K767" i="4"/>
  <c r="L767" i="4"/>
  <c r="M767" i="4" s="1"/>
  <c r="K769" i="4"/>
  <c r="L769" i="4"/>
  <c r="M769" i="4" s="1"/>
  <c r="K771" i="4"/>
  <c r="L771" i="4"/>
  <c r="M771" i="4" s="1"/>
  <c r="K1357" i="4"/>
  <c r="K1355" i="4"/>
  <c r="K1353" i="4"/>
  <c r="K1351" i="4"/>
  <c r="K1349" i="4"/>
  <c r="K1347" i="4"/>
  <c r="K1345" i="4"/>
  <c r="K1343" i="4"/>
  <c r="K1341" i="4"/>
  <c r="K1339" i="4"/>
  <c r="K1337" i="4"/>
  <c r="K1335" i="4"/>
  <c r="K1333" i="4"/>
  <c r="K1331" i="4"/>
  <c r="K1329" i="4"/>
  <c r="K1327" i="4"/>
  <c r="K1325" i="4"/>
  <c r="K1323" i="4"/>
  <c r="K1321" i="4"/>
  <c r="K1319" i="4"/>
  <c r="K1317" i="4"/>
  <c r="K1315" i="4"/>
  <c r="K1313" i="4"/>
  <c r="K1311" i="4"/>
  <c r="K1309" i="4"/>
  <c r="K1307" i="4"/>
  <c r="K1305" i="4"/>
  <c r="K1303" i="4"/>
  <c r="K1301" i="4"/>
  <c r="K1299" i="4"/>
  <c r="K1297" i="4"/>
  <c r="K1295" i="4"/>
  <c r="K1293" i="4"/>
  <c r="K1291" i="4"/>
  <c r="K1289" i="4"/>
  <c r="K1287" i="4"/>
  <c r="K1285" i="4"/>
  <c r="K1283" i="4"/>
  <c r="K1281" i="4"/>
  <c r="K1279" i="4"/>
  <c r="K1277" i="4"/>
  <c r="K1275" i="4"/>
  <c r="K1273" i="4"/>
  <c r="K1271" i="4"/>
  <c r="K1269" i="4"/>
  <c r="K1267" i="4"/>
  <c r="K1265" i="4"/>
  <c r="K1263" i="4"/>
  <c r="K1261" i="4"/>
  <c r="K1259" i="4"/>
  <c r="K1257" i="4"/>
  <c r="K1255" i="4"/>
  <c r="K1253" i="4"/>
  <c r="K1251" i="4"/>
  <c r="K1249" i="4"/>
  <c r="K1247" i="4"/>
  <c r="K1245" i="4"/>
  <c r="K1243" i="4"/>
  <c r="K1241" i="4"/>
  <c r="K1239" i="4"/>
  <c r="K1237" i="4"/>
  <c r="K1235" i="4"/>
  <c r="K1233" i="4"/>
  <c r="K1231" i="4"/>
  <c r="K1229" i="4"/>
  <c r="K1227" i="4"/>
  <c r="K1225" i="4"/>
  <c r="K1223" i="4"/>
  <c r="K1221" i="4"/>
  <c r="K1219" i="4"/>
  <c r="K1217" i="4"/>
  <c r="K1215" i="4"/>
  <c r="K1213" i="4"/>
  <c r="K1211" i="4"/>
  <c r="K1209" i="4"/>
  <c r="K1207" i="4"/>
  <c r="K1205" i="4"/>
  <c r="K1203" i="4"/>
  <c r="K1201" i="4"/>
  <c r="K1199" i="4"/>
  <c r="K1197" i="4"/>
  <c r="K1195" i="4"/>
  <c r="K1193" i="4"/>
  <c r="K1191" i="4"/>
  <c r="K1189" i="4"/>
  <c r="K1187" i="4"/>
  <c r="K1185" i="4"/>
  <c r="K1183" i="4"/>
  <c r="K1181" i="4"/>
  <c r="K1179" i="4"/>
  <c r="K1177" i="4"/>
  <c r="K1175" i="4"/>
  <c r="K1173" i="4"/>
  <c r="K1171" i="4"/>
  <c r="K1169" i="4"/>
  <c r="K1167" i="4"/>
  <c r="K1165" i="4"/>
  <c r="K1163" i="4"/>
  <c r="K1161" i="4"/>
  <c r="K1159" i="4"/>
  <c r="K1157" i="4"/>
  <c r="K1155" i="4"/>
  <c r="K1153" i="4"/>
  <c r="K1151" i="4"/>
  <c r="K1149" i="4"/>
  <c r="K1147" i="4"/>
  <c r="K1145" i="4"/>
  <c r="K1143" i="4"/>
  <c r="K1141" i="4"/>
  <c r="K1139" i="4"/>
  <c r="K1137" i="4"/>
  <c r="K1135" i="4"/>
  <c r="K1133" i="4"/>
  <c r="K1131" i="4"/>
  <c r="K1129" i="4"/>
  <c r="K1127" i="4"/>
  <c r="K1125" i="4"/>
  <c r="K1123" i="4"/>
  <c r="K1121" i="4"/>
  <c r="K1119" i="4"/>
  <c r="K1117" i="4"/>
  <c r="K1115" i="4"/>
  <c r="K1113" i="4"/>
  <c r="K1111" i="4"/>
  <c r="K1109" i="4"/>
  <c r="K1107" i="4"/>
  <c r="K1105" i="4"/>
  <c r="K1103" i="4"/>
  <c r="K1101" i="4"/>
  <c r="K1099" i="4"/>
  <c r="K1097" i="4"/>
  <c r="K1095" i="4"/>
  <c r="K1093" i="4"/>
  <c r="K1091" i="4"/>
  <c r="K1089" i="4"/>
  <c r="K1087" i="4"/>
  <c r="K1085" i="4"/>
  <c r="K1083" i="4"/>
  <c r="K1081" i="4"/>
  <c r="K1079" i="4"/>
  <c r="K1077" i="4"/>
  <c r="K1075" i="4"/>
  <c r="K1073" i="4"/>
  <c r="K1071" i="4"/>
  <c r="K1069" i="4"/>
  <c r="K1067" i="4"/>
  <c r="K1065" i="4"/>
  <c r="K1063" i="4"/>
  <c r="K1061" i="4"/>
  <c r="K1059" i="4"/>
  <c r="K1057" i="4"/>
  <c r="K1055" i="4"/>
  <c r="K1053" i="4"/>
  <c r="K1051" i="4"/>
  <c r="K1049" i="4"/>
  <c r="K1047" i="4"/>
  <c r="K1045" i="4"/>
  <c r="K1043" i="4"/>
  <c r="K1041" i="4"/>
  <c r="K1039" i="4"/>
  <c r="K1037" i="4"/>
  <c r="K1035" i="4"/>
  <c r="K1033" i="4"/>
  <c r="K1031" i="4"/>
  <c r="K1029" i="4"/>
  <c r="K1027" i="4"/>
  <c r="K1025" i="4"/>
  <c r="K1023" i="4"/>
  <c r="K1021" i="4"/>
  <c r="K1019" i="4"/>
  <c r="K1017" i="4"/>
  <c r="K1015" i="4"/>
  <c r="K1013" i="4"/>
  <c r="K1011" i="4"/>
  <c r="K1009" i="4"/>
  <c r="K1007" i="4"/>
  <c r="K1005" i="4"/>
  <c r="K1003" i="4"/>
  <c r="K1001" i="4"/>
  <c r="K999" i="4"/>
  <c r="K997" i="4"/>
  <c r="K995" i="4"/>
  <c r="K993" i="4"/>
  <c r="K991" i="4"/>
  <c r="K989" i="4"/>
  <c r="K987" i="4"/>
  <c r="K985" i="4"/>
  <c r="K983" i="4"/>
  <c r="K981" i="4"/>
  <c r="K979" i="4"/>
  <c r="K977" i="4"/>
  <c r="K975" i="4"/>
  <c r="K973" i="4"/>
  <c r="K971" i="4"/>
  <c r="K969" i="4"/>
  <c r="K967" i="4"/>
  <c r="K965" i="4"/>
  <c r="K963" i="4"/>
  <c r="K961" i="4"/>
  <c r="K959" i="4"/>
  <c r="K957" i="4"/>
  <c r="K955" i="4"/>
  <c r="K953" i="4"/>
  <c r="K951" i="4"/>
  <c r="K949" i="4"/>
  <c r="K947" i="4"/>
  <c r="K945" i="4"/>
  <c r="K943" i="4"/>
  <c r="K941" i="4"/>
  <c r="K939" i="4"/>
  <c r="K937" i="4"/>
  <c r="K935" i="4"/>
  <c r="K933" i="4"/>
  <c r="K931" i="4"/>
  <c r="K929" i="4"/>
  <c r="K927" i="4"/>
  <c r="K925" i="4"/>
  <c r="K923" i="4"/>
  <c r="K921" i="4"/>
  <c r="K919" i="4"/>
  <c r="K917" i="4"/>
  <c r="K915" i="4"/>
  <c r="K913" i="4"/>
  <c r="K911" i="4"/>
  <c r="K909" i="4"/>
  <c r="K907" i="4"/>
  <c r="K905" i="4"/>
  <c r="K903" i="4"/>
  <c r="K901" i="4"/>
  <c r="K899" i="4"/>
  <c r="K897" i="4"/>
  <c r="K895" i="4"/>
  <c r="K893" i="4"/>
  <c r="K891" i="4"/>
  <c r="K889" i="4"/>
  <c r="K887" i="4"/>
  <c r="K885" i="4"/>
  <c r="K883" i="4"/>
  <c r="K881" i="4"/>
  <c r="K879" i="4"/>
  <c r="K877" i="4"/>
  <c r="K875" i="4"/>
  <c r="K873" i="4"/>
  <c r="K871" i="4"/>
  <c r="K869" i="4"/>
  <c r="K867" i="4"/>
  <c r="K865" i="4"/>
  <c r="K863" i="4"/>
  <c r="K861" i="4"/>
  <c r="K859" i="4"/>
  <c r="K857" i="4"/>
  <c r="K855" i="4"/>
  <c r="K853" i="4"/>
  <c r="K851" i="4"/>
  <c r="K849" i="4"/>
  <c r="K847" i="4"/>
  <c r="K845" i="4"/>
  <c r="K843" i="4"/>
  <c r="K841" i="4"/>
  <c r="K839" i="4"/>
  <c r="K837" i="4"/>
  <c r="K835" i="4"/>
  <c r="K833" i="4"/>
  <c r="K831" i="4"/>
  <c r="K829" i="4"/>
  <c r="K827" i="4"/>
  <c r="K825" i="4"/>
  <c r="K823" i="4"/>
  <c r="K821" i="4"/>
  <c r="K819" i="4"/>
  <c r="K817" i="4"/>
  <c r="K815" i="4"/>
  <c r="K813" i="4"/>
  <c r="K811" i="4"/>
  <c r="K809" i="4"/>
  <c r="K807" i="4"/>
  <c r="K805" i="4"/>
  <c r="K803" i="4"/>
  <c r="K801" i="4"/>
  <c r="K799" i="4"/>
  <c r="K797" i="4"/>
  <c r="K795" i="4"/>
  <c r="K793" i="4"/>
  <c r="K791" i="4"/>
  <c r="K789" i="4"/>
  <c r="K787" i="4"/>
  <c r="K785" i="4"/>
  <c r="K783" i="4"/>
  <c r="K781" i="4"/>
  <c r="K779" i="4"/>
  <c r="K777" i="4"/>
  <c r="K775" i="4"/>
  <c r="K773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74" i="4"/>
  <c r="K570" i="4"/>
  <c r="K566" i="4"/>
  <c r="K562" i="4"/>
  <c r="K558" i="4"/>
  <c r="K554" i="4"/>
  <c r="K550" i="4"/>
  <c r="K546" i="4"/>
  <c r="K542" i="4"/>
  <c r="K538" i="4"/>
  <c r="K534" i="4"/>
  <c r="K530" i="4"/>
  <c r="K526" i="4"/>
  <c r="K522" i="4"/>
  <c r="K518" i="4"/>
  <c r="K514" i="4"/>
  <c r="K510" i="4"/>
  <c r="K506" i="4"/>
  <c r="K502" i="4"/>
  <c r="K498" i="4"/>
  <c r="K494" i="4"/>
  <c r="K490" i="4"/>
  <c r="K486" i="4"/>
  <c r="K482" i="4"/>
  <c r="K478" i="4"/>
  <c r="K474" i="4"/>
  <c r="K470" i="4"/>
  <c r="K466" i="4"/>
  <c r="K462" i="4"/>
  <c r="K458" i="4"/>
  <c r="K454" i="4"/>
  <c r="D3" i="3"/>
  <c r="E3" i="3" s="1"/>
  <c r="L5" i="4" s="1"/>
  <c r="M5" i="4" s="1"/>
  <c r="D135" i="3"/>
  <c r="E135" i="3" s="1"/>
  <c r="D124" i="3"/>
  <c r="E124" i="3" s="1"/>
  <c r="D120" i="3"/>
  <c r="E120" i="3" s="1"/>
  <c r="D116" i="3"/>
  <c r="E116" i="3" s="1"/>
  <c r="D106" i="3"/>
  <c r="E106" i="3" s="1"/>
  <c r="D91" i="3"/>
  <c r="E91" i="3" s="1"/>
  <c r="D79" i="3"/>
  <c r="E79" i="3" s="1"/>
  <c r="D60" i="3"/>
  <c r="E60" i="3" s="1"/>
  <c r="D48" i="3"/>
  <c r="E48" i="3" s="1"/>
  <c r="D32" i="3"/>
  <c r="E32" i="3" s="1"/>
  <c r="D17" i="3"/>
  <c r="E17" i="3" s="1"/>
  <c r="D5" i="3"/>
  <c r="E5" i="3" s="1"/>
  <c r="D2" i="3"/>
  <c r="D132" i="3"/>
  <c r="E132" i="3" s="1"/>
  <c r="D122" i="3"/>
  <c r="E122" i="3" s="1"/>
  <c r="D118" i="3"/>
  <c r="E118" i="3" s="1"/>
  <c r="D111" i="3"/>
  <c r="E111" i="3" s="1"/>
  <c r="D97" i="3"/>
  <c r="E97" i="3" s="1"/>
  <c r="D82" i="3"/>
  <c r="E82" i="3" s="1"/>
  <c r="D77" i="3"/>
  <c r="E77" i="3" s="1"/>
  <c r="D50" i="3"/>
  <c r="E50" i="3" s="1"/>
  <c r="D36" i="3"/>
  <c r="E36" i="3" s="1"/>
  <c r="D29" i="3"/>
  <c r="E29" i="3" s="1"/>
  <c r="D14" i="3"/>
  <c r="E14" i="3" s="1"/>
  <c r="D2" i="4"/>
  <c r="D4" i="3"/>
  <c r="E4" i="3" s="1"/>
  <c r="D6" i="3"/>
  <c r="E6" i="3" s="1"/>
  <c r="D8" i="3"/>
  <c r="E8" i="3" s="1"/>
  <c r="D10" i="3"/>
  <c r="E10" i="3" s="1"/>
  <c r="D12" i="3"/>
  <c r="E12" i="3" s="1"/>
  <c r="D16" i="3"/>
  <c r="E16" i="3" s="1"/>
  <c r="D18" i="3"/>
  <c r="E18" i="3" s="1"/>
  <c r="D20" i="3"/>
  <c r="E20" i="3" s="1"/>
  <c r="D22" i="3"/>
  <c r="E22" i="3" s="1"/>
  <c r="D24" i="3"/>
  <c r="E24" i="3" s="1"/>
  <c r="D26" i="3"/>
  <c r="E26" i="3" s="1"/>
  <c r="D28" i="3"/>
  <c r="E28" i="3" s="1"/>
  <c r="D30" i="3"/>
  <c r="E30" i="3" s="1"/>
  <c r="D34" i="3"/>
  <c r="E34" i="3" s="1"/>
  <c r="D38" i="3"/>
  <c r="E38" i="3" s="1"/>
  <c r="D40" i="3"/>
  <c r="E40" i="3" s="1"/>
  <c r="D42" i="3"/>
  <c r="E42" i="3" s="1"/>
  <c r="D44" i="3"/>
  <c r="E44" i="3" s="1"/>
  <c r="D46" i="3"/>
  <c r="E46" i="3" s="1"/>
  <c r="D52" i="3"/>
  <c r="E52" i="3" s="1"/>
  <c r="D54" i="3"/>
  <c r="E54" i="3" s="1"/>
  <c r="D56" i="3"/>
  <c r="E56" i="3" s="1"/>
  <c r="D58" i="3"/>
  <c r="E58" i="3" s="1"/>
  <c r="D62" i="3"/>
  <c r="E62" i="3" s="1"/>
  <c r="D64" i="3"/>
  <c r="E64" i="3" s="1"/>
  <c r="D66" i="3"/>
  <c r="E66" i="3" s="1"/>
  <c r="D68" i="3"/>
  <c r="E68" i="3" s="1"/>
  <c r="D70" i="3"/>
  <c r="E70" i="3" s="1"/>
  <c r="D72" i="3"/>
  <c r="E72" i="3" s="1"/>
  <c r="D74" i="3"/>
  <c r="E74" i="3" s="1"/>
  <c r="D76" i="3"/>
  <c r="E76" i="3" s="1"/>
  <c r="D78" i="3"/>
  <c r="E78" i="3" s="1"/>
  <c r="D80" i="3"/>
  <c r="E80" i="3" s="1"/>
  <c r="D84" i="3"/>
  <c r="E84" i="3" s="1"/>
  <c r="D86" i="3"/>
  <c r="E86" i="3" s="1"/>
  <c r="D88" i="3"/>
  <c r="E88" i="3" s="1"/>
  <c r="D90" i="3"/>
  <c r="E90" i="3" s="1"/>
  <c r="D92" i="3"/>
  <c r="E92" i="3" s="1"/>
  <c r="D94" i="3"/>
  <c r="E94" i="3" s="1"/>
  <c r="D96" i="3"/>
  <c r="E96" i="3" s="1"/>
  <c r="D98" i="3"/>
  <c r="E98" i="3" s="1"/>
  <c r="D100" i="3"/>
  <c r="E100" i="3" s="1"/>
  <c r="D102" i="3"/>
  <c r="E102" i="3" s="1"/>
  <c r="D104" i="3"/>
  <c r="E104" i="3" s="1"/>
  <c r="D108" i="3"/>
  <c r="E108" i="3" s="1"/>
  <c r="D110" i="3"/>
  <c r="E110" i="3" s="1"/>
  <c r="D112" i="3"/>
  <c r="E112" i="3" s="1"/>
  <c r="D114" i="3"/>
  <c r="E114" i="3" s="1"/>
  <c r="D126" i="3"/>
  <c r="E126" i="3" s="1"/>
  <c r="D128" i="3"/>
  <c r="E128" i="3" s="1"/>
  <c r="D130" i="3"/>
  <c r="E130" i="3" s="1"/>
  <c r="D134" i="3"/>
  <c r="E134" i="3" s="1"/>
  <c r="D136" i="3"/>
  <c r="E136" i="3" s="1"/>
  <c r="D138" i="3"/>
  <c r="E138" i="3" s="1"/>
  <c r="D140" i="3"/>
  <c r="E140" i="3" s="1"/>
  <c r="D142" i="3"/>
  <c r="E142" i="3" s="1"/>
  <c r="D144" i="3"/>
  <c r="E144" i="3" s="1"/>
  <c r="D146" i="3"/>
  <c r="E146" i="3" s="1"/>
  <c r="D148" i="3"/>
  <c r="E148" i="3" s="1"/>
  <c r="D150" i="3"/>
  <c r="D152" i="3"/>
  <c r="E152" i="3" s="1"/>
  <c r="D154" i="3"/>
  <c r="D156" i="3"/>
  <c r="D158" i="3"/>
  <c r="D160" i="3"/>
  <c r="D162" i="3"/>
  <c r="D164" i="3"/>
  <c r="D166" i="3"/>
  <c r="D168" i="3"/>
  <c r="D170" i="3"/>
  <c r="D172" i="3"/>
  <c r="D174" i="3"/>
  <c r="D176" i="3"/>
  <c r="D178" i="3"/>
  <c r="D7" i="3"/>
  <c r="E7" i="3" s="1"/>
  <c r="D9" i="3"/>
  <c r="E9" i="3" s="1"/>
  <c r="D11" i="3"/>
  <c r="E11" i="3" s="1"/>
  <c r="D13" i="3"/>
  <c r="E13" i="3" s="1"/>
  <c r="D15" i="3"/>
  <c r="E15" i="3" s="1"/>
  <c r="D19" i="3"/>
  <c r="E19" i="3" s="1"/>
  <c r="D21" i="3"/>
  <c r="E21" i="3" s="1"/>
  <c r="D23" i="3"/>
  <c r="E23" i="3" s="1"/>
  <c r="D25" i="3"/>
  <c r="E25" i="3" s="1"/>
  <c r="D27" i="3"/>
  <c r="E27" i="3" s="1"/>
  <c r="D31" i="3"/>
  <c r="E31" i="3" s="1"/>
  <c r="D33" i="3"/>
  <c r="E33" i="3" s="1"/>
  <c r="D35" i="3"/>
  <c r="E35" i="3" s="1"/>
  <c r="D37" i="3"/>
  <c r="E37" i="3" s="1"/>
  <c r="D39" i="3"/>
  <c r="E39" i="3" s="1"/>
  <c r="D41" i="3"/>
  <c r="E41" i="3" s="1"/>
  <c r="D43" i="3"/>
  <c r="E43" i="3" s="1"/>
  <c r="D45" i="3"/>
  <c r="E45" i="3" s="1"/>
  <c r="D47" i="3"/>
  <c r="E47" i="3" s="1"/>
  <c r="D49" i="3"/>
  <c r="E49" i="3" s="1"/>
  <c r="D51" i="3"/>
  <c r="E51" i="3" s="1"/>
  <c r="D53" i="3"/>
  <c r="E53" i="3" s="1"/>
  <c r="D55" i="3"/>
  <c r="E55" i="3" s="1"/>
  <c r="D57" i="3"/>
  <c r="E57" i="3" s="1"/>
  <c r="D59" i="3"/>
  <c r="E59" i="3" s="1"/>
  <c r="D61" i="3"/>
  <c r="E61" i="3" s="1"/>
  <c r="D63" i="3"/>
  <c r="E63" i="3" s="1"/>
  <c r="D65" i="3"/>
  <c r="E65" i="3" s="1"/>
  <c r="D67" i="3"/>
  <c r="E67" i="3" s="1"/>
  <c r="D69" i="3"/>
  <c r="E69" i="3" s="1"/>
  <c r="D71" i="3"/>
  <c r="E71" i="3" s="1"/>
  <c r="D73" i="3"/>
  <c r="E73" i="3" s="1"/>
  <c r="D75" i="3"/>
  <c r="E75" i="3" s="1"/>
  <c r="D81" i="3"/>
  <c r="E81" i="3" s="1"/>
  <c r="D83" i="3"/>
  <c r="E83" i="3" s="1"/>
  <c r="D85" i="3"/>
  <c r="E85" i="3" s="1"/>
  <c r="D87" i="3"/>
  <c r="E87" i="3" s="1"/>
  <c r="D89" i="3"/>
  <c r="E89" i="3" s="1"/>
  <c r="D93" i="3"/>
  <c r="E93" i="3" s="1"/>
  <c r="D95" i="3"/>
  <c r="E95" i="3" s="1"/>
  <c r="D99" i="3"/>
  <c r="E99" i="3" s="1"/>
  <c r="D101" i="3"/>
  <c r="E101" i="3" s="1"/>
  <c r="D103" i="3"/>
  <c r="E103" i="3" s="1"/>
  <c r="D105" i="3"/>
  <c r="E105" i="3" s="1"/>
  <c r="D107" i="3"/>
  <c r="E107" i="3" s="1"/>
  <c r="D109" i="3"/>
  <c r="E109" i="3" s="1"/>
  <c r="D113" i="3"/>
  <c r="E113" i="3" s="1"/>
  <c r="D115" i="3"/>
  <c r="E115" i="3" s="1"/>
  <c r="D117" i="3"/>
  <c r="E117" i="3" s="1"/>
  <c r="D119" i="3"/>
  <c r="E119" i="3" s="1"/>
  <c r="D121" i="3"/>
  <c r="E121" i="3" s="1"/>
  <c r="D123" i="3"/>
  <c r="E123" i="3" s="1"/>
  <c r="D125" i="3"/>
  <c r="E125" i="3" s="1"/>
  <c r="D127" i="3"/>
  <c r="E127" i="3" s="1"/>
  <c r="D129" i="3"/>
  <c r="E129" i="3" s="1"/>
  <c r="D131" i="3"/>
  <c r="E131" i="3" s="1"/>
  <c r="D133" i="3"/>
  <c r="E133" i="3" s="1"/>
  <c r="D137" i="3"/>
  <c r="E137" i="3" s="1"/>
  <c r="D139" i="3"/>
  <c r="E139" i="3" s="1"/>
  <c r="D141" i="3"/>
  <c r="E141" i="3" s="1"/>
  <c r="D143" i="3"/>
  <c r="D145" i="3"/>
  <c r="D147" i="3"/>
  <c r="E147" i="3" s="1"/>
  <c r="D149" i="3"/>
  <c r="E149" i="3" s="1"/>
  <c r="D151" i="3"/>
  <c r="E151" i="3" s="1"/>
  <c r="D153" i="3"/>
  <c r="D155" i="3"/>
  <c r="D157" i="3"/>
  <c r="D159" i="3"/>
  <c r="D161" i="3"/>
  <c r="D163" i="3"/>
  <c r="D165" i="3"/>
  <c r="D167" i="3"/>
  <c r="D169" i="3"/>
  <c r="D171" i="3"/>
  <c r="D173" i="3"/>
  <c r="D175" i="3"/>
  <c r="D177" i="3"/>
  <c r="D179" i="3"/>
  <c r="D181" i="3"/>
  <c r="D183" i="3"/>
  <c r="D185" i="3"/>
  <c r="D187" i="3"/>
  <c r="D189" i="3"/>
  <c r="D180" i="3"/>
  <c r="D184" i="3"/>
  <c r="D188" i="3"/>
  <c r="D191" i="3"/>
  <c r="D193" i="3"/>
  <c r="D195" i="3"/>
  <c r="D197" i="3"/>
  <c r="D199" i="3"/>
  <c r="D201" i="3"/>
  <c r="D203" i="3"/>
  <c r="D205" i="3"/>
  <c r="D207" i="3"/>
  <c r="D209" i="3"/>
  <c r="D211" i="3"/>
  <c r="D213" i="3"/>
  <c r="D215" i="3"/>
  <c r="D217" i="3"/>
  <c r="D219" i="3"/>
  <c r="D221" i="3"/>
  <c r="D223" i="3"/>
  <c r="D225" i="3"/>
  <c r="D227" i="3"/>
  <c r="D229" i="3"/>
  <c r="D231" i="3"/>
  <c r="D233" i="3"/>
  <c r="D235" i="3"/>
  <c r="D237" i="3"/>
  <c r="D239" i="3"/>
  <c r="D241" i="3"/>
  <c r="D243" i="3"/>
  <c r="D245" i="3"/>
  <c r="D247" i="3"/>
  <c r="D249" i="3"/>
  <c r="D251" i="3"/>
  <c r="D253" i="3"/>
  <c r="D255" i="3"/>
  <c r="D257" i="3"/>
  <c r="D259" i="3"/>
  <c r="D261" i="3"/>
  <c r="D263" i="3"/>
  <c r="D265" i="3"/>
  <c r="D267" i="3"/>
  <c r="D269" i="3"/>
  <c r="D271" i="3"/>
  <c r="D273" i="3"/>
  <c r="D275" i="3"/>
  <c r="D277" i="3"/>
  <c r="D279" i="3"/>
  <c r="D281" i="3"/>
  <c r="D283" i="3"/>
  <c r="D285" i="3"/>
  <c r="D287" i="3"/>
  <c r="D289" i="3"/>
  <c r="D291" i="3"/>
  <c r="D293" i="3"/>
  <c r="D295" i="3"/>
  <c r="D297" i="3"/>
  <c r="D299" i="3"/>
  <c r="D301" i="3"/>
  <c r="D303" i="3"/>
  <c r="D305" i="3"/>
  <c r="D307" i="3"/>
  <c r="D309" i="3"/>
  <c r="D311" i="3"/>
  <c r="D313" i="3"/>
  <c r="D315" i="3"/>
  <c r="D317" i="3"/>
  <c r="D319" i="3"/>
  <c r="D321" i="3"/>
  <c r="D323" i="3"/>
  <c r="D325" i="3"/>
  <c r="D327" i="3"/>
  <c r="D329" i="3"/>
  <c r="D331" i="3"/>
  <c r="D333" i="3"/>
  <c r="D335" i="3"/>
  <c r="D337" i="3"/>
  <c r="D339" i="3"/>
  <c r="D341" i="3"/>
  <c r="D343" i="3"/>
  <c r="D345" i="3"/>
  <c r="D347" i="3"/>
  <c r="D349" i="3"/>
  <c r="D351" i="3"/>
  <c r="D353" i="3"/>
  <c r="D182" i="3"/>
  <c r="D186" i="3"/>
  <c r="D190" i="3"/>
  <c r="D192" i="3"/>
  <c r="D194" i="3"/>
  <c r="D196" i="3"/>
  <c r="D198" i="3"/>
  <c r="D200" i="3"/>
  <c r="D202" i="3"/>
  <c r="D204" i="3"/>
  <c r="D206" i="3"/>
  <c r="D208" i="3"/>
  <c r="D210" i="3"/>
  <c r="D212" i="3"/>
  <c r="D214" i="3"/>
  <c r="D216" i="3"/>
  <c r="D218" i="3"/>
  <c r="D220" i="3"/>
  <c r="D222" i="3"/>
  <c r="D224" i="3"/>
  <c r="D226" i="3"/>
  <c r="D228" i="3"/>
  <c r="D230" i="3"/>
  <c r="D232" i="3"/>
  <c r="D234" i="3"/>
  <c r="D236" i="3"/>
  <c r="D238" i="3"/>
  <c r="D240" i="3"/>
  <c r="D242" i="3"/>
  <c r="D244" i="3"/>
  <c r="D246" i="3"/>
  <c r="D248" i="3"/>
  <c r="D250" i="3"/>
  <c r="D252" i="3"/>
  <c r="D254" i="3"/>
  <c r="D256" i="3"/>
  <c r="D258" i="3"/>
  <c r="D260" i="3"/>
  <c r="D262" i="3"/>
  <c r="D264" i="3"/>
  <c r="D266" i="3"/>
  <c r="D268" i="3"/>
  <c r="D270" i="3"/>
  <c r="D272" i="3"/>
  <c r="D274" i="3"/>
  <c r="D276" i="3"/>
  <c r="D278" i="3"/>
  <c r="D280" i="3"/>
  <c r="D282" i="3"/>
  <c r="D284" i="3"/>
  <c r="D286" i="3"/>
  <c r="D288" i="3"/>
  <c r="D290" i="3"/>
  <c r="D292" i="3"/>
  <c r="D294" i="3"/>
  <c r="D296" i="3"/>
  <c r="D298" i="3"/>
  <c r="D300" i="3"/>
  <c r="D302" i="3"/>
  <c r="D304" i="3"/>
  <c r="D306" i="3"/>
  <c r="D308" i="3"/>
  <c r="D310" i="3"/>
  <c r="D312" i="3"/>
  <c r="D314" i="3"/>
  <c r="D316" i="3"/>
  <c r="D318" i="3"/>
  <c r="D320" i="3"/>
  <c r="D322" i="3"/>
  <c r="D324" i="3"/>
  <c r="D326" i="3"/>
  <c r="D328" i="3"/>
  <c r="D330" i="3"/>
  <c r="D332" i="3"/>
  <c r="D334" i="3"/>
  <c r="D336" i="3"/>
  <c r="D338" i="3"/>
  <c r="D340" i="3"/>
  <c r="D342" i="3"/>
  <c r="D344" i="3"/>
  <c r="D348" i="3"/>
  <c r="D352" i="3"/>
  <c r="D355" i="3"/>
  <c r="D357" i="3"/>
  <c r="D359" i="3"/>
  <c r="D361" i="3"/>
  <c r="D363" i="3"/>
  <c r="D365" i="3"/>
  <c r="D367" i="3"/>
  <c r="D369" i="3"/>
  <c r="D371" i="3"/>
  <c r="D373" i="3"/>
  <c r="D375" i="3"/>
  <c r="D377" i="3"/>
  <c r="D379" i="3"/>
  <c r="D381" i="3"/>
  <c r="D383" i="3"/>
  <c r="D385" i="3"/>
  <c r="D387" i="3"/>
  <c r="D389" i="3"/>
  <c r="D391" i="3"/>
  <c r="D393" i="3"/>
  <c r="D395" i="3"/>
  <c r="D397" i="3"/>
  <c r="D399" i="3"/>
  <c r="D401" i="3"/>
  <c r="D403" i="3"/>
  <c r="D405" i="3"/>
  <c r="D407" i="3"/>
  <c r="D409" i="3"/>
  <c r="D411" i="3"/>
  <c r="D413" i="3"/>
  <c r="D415" i="3"/>
  <c r="D417" i="3"/>
  <c r="D419" i="3"/>
  <c r="D421" i="3"/>
  <c r="D423" i="3"/>
  <c r="D425" i="3"/>
  <c r="D427" i="3"/>
  <c r="D429" i="3"/>
  <c r="D431" i="3"/>
  <c r="D433" i="3"/>
  <c r="D435" i="3"/>
  <c r="D437" i="3"/>
  <c r="D439" i="3"/>
  <c r="D441" i="3"/>
  <c r="D443" i="3"/>
  <c r="D445" i="3"/>
  <c r="D447" i="3"/>
  <c r="D449" i="3"/>
  <c r="D451" i="3"/>
  <c r="D453" i="3"/>
  <c r="D455" i="3"/>
  <c r="D457" i="3"/>
  <c r="D459" i="3"/>
  <c r="D461" i="3"/>
  <c r="D463" i="3"/>
  <c r="D465" i="3"/>
  <c r="D467" i="3"/>
  <c r="D469" i="3"/>
  <c r="D471" i="3"/>
  <c r="D473" i="3"/>
  <c r="D475" i="3"/>
  <c r="D477" i="3"/>
  <c r="D479" i="3"/>
  <c r="D481" i="3"/>
  <c r="D483" i="3"/>
  <c r="D485" i="3"/>
  <c r="D487" i="3"/>
  <c r="D489" i="3"/>
  <c r="D491" i="3"/>
  <c r="D493" i="3"/>
  <c r="D495" i="3"/>
  <c r="D497" i="3"/>
  <c r="D499" i="3"/>
  <c r="D501" i="3"/>
  <c r="D503" i="3"/>
  <c r="D505" i="3"/>
  <c r="D507" i="3"/>
  <c r="D509" i="3"/>
  <c r="D511" i="3"/>
  <c r="D513" i="3"/>
  <c r="D515" i="3"/>
  <c r="D517" i="3"/>
  <c r="D519" i="3"/>
  <c r="D521" i="3"/>
  <c r="D523" i="3"/>
  <c r="D525" i="3"/>
  <c r="D527" i="3"/>
  <c r="D529" i="3"/>
  <c r="D531" i="3"/>
  <c r="D533" i="3"/>
  <c r="D535" i="3"/>
  <c r="D537" i="3"/>
  <c r="D539" i="3"/>
  <c r="D541" i="3"/>
  <c r="D543" i="3"/>
  <c r="D545" i="3"/>
  <c r="D547" i="3"/>
  <c r="D549" i="3"/>
  <c r="D551" i="3"/>
  <c r="D553" i="3"/>
  <c r="D555" i="3"/>
  <c r="D557" i="3"/>
  <c r="D559" i="3"/>
  <c r="D561" i="3"/>
  <c r="D563" i="3"/>
  <c r="D565" i="3"/>
  <c r="D567" i="3"/>
  <c r="D569" i="3"/>
  <c r="D571" i="3"/>
  <c r="D573" i="3"/>
  <c r="D575" i="3"/>
  <c r="D577" i="3"/>
  <c r="D579" i="3"/>
  <c r="D581" i="3"/>
  <c r="D583" i="3"/>
  <c r="D585" i="3"/>
  <c r="D587" i="3"/>
  <c r="D589" i="3"/>
  <c r="D591" i="3"/>
  <c r="D593" i="3"/>
  <c r="D595" i="3"/>
  <c r="D597" i="3"/>
  <c r="D599" i="3"/>
  <c r="D601" i="3"/>
  <c r="D603" i="3"/>
  <c r="D605" i="3"/>
  <c r="D607" i="3"/>
  <c r="D609" i="3"/>
  <c r="D611" i="3"/>
  <c r="D613" i="3"/>
  <c r="D615" i="3"/>
  <c r="D617" i="3"/>
  <c r="D619" i="3"/>
  <c r="D621" i="3"/>
  <c r="D623" i="3"/>
  <c r="D625" i="3"/>
  <c r="D627" i="3"/>
  <c r="D629" i="3"/>
  <c r="D631" i="3"/>
  <c r="D633" i="3"/>
  <c r="D635" i="3"/>
  <c r="D637" i="3"/>
  <c r="D639" i="3"/>
  <c r="D641" i="3"/>
  <c r="D643" i="3"/>
  <c r="D645" i="3"/>
  <c r="D647" i="3"/>
  <c r="D649" i="3"/>
  <c r="D651" i="3"/>
  <c r="D653" i="3"/>
  <c r="D655" i="3"/>
  <c r="D657" i="3"/>
  <c r="D659" i="3"/>
  <c r="D661" i="3"/>
  <c r="D663" i="3"/>
  <c r="D665" i="3"/>
  <c r="D667" i="3"/>
  <c r="D669" i="3"/>
  <c r="D671" i="3"/>
  <c r="D673" i="3"/>
  <c r="D675" i="3"/>
  <c r="D677" i="3"/>
  <c r="D679" i="3"/>
  <c r="D681" i="3"/>
  <c r="D683" i="3"/>
  <c r="D685" i="3"/>
  <c r="D687" i="3"/>
  <c r="D346" i="3"/>
  <c r="D350" i="3"/>
  <c r="D354" i="3"/>
  <c r="D356" i="3"/>
  <c r="D358" i="3"/>
  <c r="D360" i="3"/>
  <c r="D362" i="3"/>
  <c r="D364" i="3"/>
  <c r="D366" i="3"/>
  <c r="D368" i="3"/>
  <c r="D370" i="3"/>
  <c r="D372" i="3"/>
  <c r="D374" i="3"/>
  <c r="D376" i="3"/>
  <c r="D378" i="3"/>
  <c r="D380" i="3"/>
  <c r="D382" i="3"/>
  <c r="D384" i="3"/>
  <c r="D386" i="3"/>
  <c r="D388" i="3"/>
  <c r="D390" i="3"/>
  <c r="D392" i="3"/>
  <c r="D394" i="3"/>
  <c r="D396" i="3"/>
  <c r="D398" i="3"/>
  <c r="D400" i="3"/>
  <c r="D402" i="3"/>
  <c r="D404" i="3"/>
  <c r="D406" i="3"/>
  <c r="D408" i="3"/>
  <c r="D410" i="3"/>
  <c r="D412" i="3"/>
  <c r="D414" i="3"/>
  <c r="D416" i="3"/>
  <c r="D418" i="3"/>
  <c r="D420" i="3"/>
  <c r="D422" i="3"/>
  <c r="D424" i="3"/>
  <c r="D426" i="3"/>
  <c r="D428" i="3"/>
  <c r="D430" i="3"/>
  <c r="D432" i="3"/>
  <c r="D434" i="3"/>
  <c r="D436" i="3"/>
  <c r="D438" i="3"/>
  <c r="D440" i="3"/>
  <c r="D442" i="3"/>
  <c r="D444" i="3"/>
  <c r="D446" i="3"/>
  <c r="D448" i="3"/>
  <c r="D450" i="3"/>
  <c r="D452" i="3"/>
  <c r="D454" i="3"/>
  <c r="D456" i="3"/>
  <c r="D458" i="3"/>
  <c r="D460" i="3"/>
  <c r="D462" i="3"/>
  <c r="D464" i="3"/>
  <c r="D466" i="3"/>
  <c r="D468" i="3"/>
  <c r="D470" i="3"/>
  <c r="D472" i="3"/>
  <c r="D474" i="3"/>
  <c r="D476" i="3"/>
  <c r="D478" i="3"/>
  <c r="D480" i="3"/>
  <c r="D482" i="3"/>
  <c r="D484" i="3"/>
  <c r="D486" i="3"/>
  <c r="D488" i="3"/>
  <c r="D490" i="3"/>
  <c r="D492" i="3"/>
  <c r="D494" i="3"/>
  <c r="D496" i="3"/>
  <c r="D498" i="3"/>
  <c r="D500" i="3"/>
  <c r="D502" i="3"/>
  <c r="D504" i="3"/>
  <c r="D506" i="3"/>
  <c r="D508" i="3"/>
  <c r="D510" i="3"/>
  <c r="D512" i="3"/>
  <c r="D514" i="3"/>
  <c r="D516" i="3"/>
  <c r="D518" i="3"/>
  <c r="D520" i="3"/>
  <c r="D522" i="3"/>
  <c r="D524" i="3"/>
  <c r="D526" i="3"/>
  <c r="D528" i="3"/>
  <c r="D530" i="3"/>
  <c r="D532" i="3"/>
  <c r="D534" i="3"/>
  <c r="D536" i="3"/>
  <c r="D538" i="3"/>
  <c r="D540" i="3"/>
  <c r="D542" i="3"/>
  <c r="D544" i="3"/>
  <c r="D546" i="3"/>
  <c r="D548" i="3"/>
  <c r="D550" i="3"/>
  <c r="D552" i="3"/>
  <c r="D554" i="3"/>
  <c r="D556" i="3"/>
  <c r="D558" i="3"/>
  <c r="D560" i="3"/>
  <c r="D562" i="3"/>
  <c r="D564" i="3"/>
  <c r="D566" i="3"/>
  <c r="D568" i="3"/>
  <c r="D570" i="3"/>
  <c r="D572" i="3"/>
  <c r="D574" i="3"/>
  <c r="D576" i="3"/>
  <c r="D578" i="3"/>
  <c r="D580" i="3"/>
  <c r="D582" i="3"/>
  <c r="D584" i="3"/>
  <c r="D586" i="3"/>
  <c r="D588" i="3"/>
  <c r="D590" i="3"/>
  <c r="D592" i="3"/>
  <c r="D594" i="3"/>
  <c r="D596" i="3"/>
  <c r="D598" i="3"/>
  <c r="D600" i="3"/>
  <c r="D602" i="3"/>
  <c r="D604" i="3"/>
  <c r="D606" i="3"/>
  <c r="D608" i="3"/>
  <c r="D610" i="3"/>
  <c r="D612" i="3"/>
  <c r="D614" i="3"/>
  <c r="D616" i="3"/>
  <c r="D618" i="3"/>
  <c r="D620" i="3"/>
  <c r="D622" i="3"/>
  <c r="D624" i="3"/>
  <c r="D626" i="3"/>
  <c r="D628" i="3"/>
  <c r="D630" i="3"/>
  <c r="D632" i="3"/>
  <c r="D634" i="3"/>
  <c r="D636" i="3"/>
  <c r="D638" i="3"/>
  <c r="D640" i="3"/>
  <c r="D642" i="3"/>
  <c r="D644" i="3"/>
  <c r="D646" i="3"/>
  <c r="D648" i="3"/>
  <c r="D650" i="3"/>
  <c r="D652" i="3"/>
  <c r="D656" i="3"/>
  <c r="D660" i="3"/>
  <c r="D664" i="3"/>
  <c r="D668" i="3"/>
  <c r="D672" i="3"/>
  <c r="D676" i="3"/>
  <c r="D680" i="3"/>
  <c r="D684" i="3"/>
  <c r="D688" i="3"/>
  <c r="D690" i="3"/>
  <c r="D692" i="3"/>
  <c r="D694" i="3"/>
  <c r="D696" i="3"/>
  <c r="D698" i="3"/>
  <c r="D700" i="3"/>
  <c r="D702" i="3"/>
  <c r="D704" i="3"/>
  <c r="D706" i="3"/>
  <c r="D708" i="3"/>
  <c r="D710" i="3"/>
  <c r="D712" i="3"/>
  <c r="D714" i="3"/>
  <c r="D716" i="3"/>
  <c r="D718" i="3"/>
  <c r="D720" i="3"/>
  <c r="D722" i="3"/>
  <c r="D724" i="3"/>
  <c r="D726" i="3"/>
  <c r="D728" i="3"/>
  <c r="D730" i="3"/>
  <c r="D732" i="3"/>
  <c r="D734" i="3"/>
  <c r="D736" i="3"/>
  <c r="D738" i="3"/>
  <c r="D740" i="3"/>
  <c r="D742" i="3"/>
  <c r="D744" i="3"/>
  <c r="D746" i="3"/>
  <c r="D748" i="3"/>
  <c r="D750" i="3"/>
  <c r="D752" i="3"/>
  <c r="D754" i="3"/>
  <c r="D756" i="3"/>
  <c r="D758" i="3"/>
  <c r="D760" i="3"/>
  <c r="D762" i="3"/>
  <c r="D764" i="3"/>
  <c r="D766" i="3"/>
  <c r="D768" i="3"/>
  <c r="D770" i="3"/>
  <c r="D772" i="3"/>
  <c r="D774" i="3"/>
  <c r="D776" i="3"/>
  <c r="D778" i="3"/>
  <c r="D780" i="3"/>
  <c r="D782" i="3"/>
  <c r="D784" i="3"/>
  <c r="D786" i="3"/>
  <c r="D788" i="3"/>
  <c r="D790" i="3"/>
  <c r="D792" i="3"/>
  <c r="D794" i="3"/>
  <c r="D796" i="3"/>
  <c r="D798" i="3"/>
  <c r="D800" i="3"/>
  <c r="D802" i="3"/>
  <c r="D804" i="3"/>
  <c r="D806" i="3"/>
  <c r="D808" i="3"/>
  <c r="D810" i="3"/>
  <c r="D812" i="3"/>
  <c r="D814" i="3"/>
  <c r="D816" i="3"/>
  <c r="D818" i="3"/>
  <c r="D820" i="3"/>
  <c r="D822" i="3"/>
  <c r="D824" i="3"/>
  <c r="D826" i="3"/>
  <c r="D828" i="3"/>
  <c r="D830" i="3"/>
  <c r="D832" i="3"/>
  <c r="D834" i="3"/>
  <c r="D836" i="3"/>
  <c r="D838" i="3"/>
  <c r="D840" i="3"/>
  <c r="D842" i="3"/>
  <c r="D844" i="3"/>
  <c r="D846" i="3"/>
  <c r="D848" i="3"/>
  <c r="D850" i="3"/>
  <c r="D852" i="3"/>
  <c r="D854" i="3"/>
  <c r="D856" i="3"/>
  <c r="D858" i="3"/>
  <c r="D860" i="3"/>
  <c r="D862" i="3"/>
  <c r="D864" i="3"/>
  <c r="D866" i="3"/>
  <c r="D868" i="3"/>
  <c r="D870" i="3"/>
  <c r="D872" i="3"/>
  <c r="D874" i="3"/>
  <c r="D876" i="3"/>
  <c r="D878" i="3"/>
  <c r="D880" i="3"/>
  <c r="D882" i="3"/>
  <c r="D884" i="3"/>
  <c r="D886" i="3"/>
  <c r="D888" i="3"/>
  <c r="D890" i="3"/>
  <c r="D892" i="3"/>
  <c r="D894" i="3"/>
  <c r="D896" i="3"/>
  <c r="D898" i="3"/>
  <c r="D900" i="3"/>
  <c r="D902" i="3"/>
  <c r="D904" i="3"/>
  <c r="D906" i="3"/>
  <c r="D908" i="3"/>
  <c r="D910" i="3"/>
  <c r="D912" i="3"/>
  <c r="D914" i="3"/>
  <c r="D916" i="3"/>
  <c r="D918" i="3"/>
  <c r="D920" i="3"/>
  <c r="D922" i="3"/>
  <c r="D924" i="3"/>
  <c r="D926" i="3"/>
  <c r="D928" i="3"/>
  <c r="D930" i="3"/>
  <c r="D932" i="3"/>
  <c r="D934" i="3"/>
  <c r="D936" i="3"/>
  <c r="D938" i="3"/>
  <c r="D940" i="3"/>
  <c r="D942" i="3"/>
  <c r="D944" i="3"/>
  <c r="D946" i="3"/>
  <c r="D948" i="3"/>
  <c r="D950" i="3"/>
  <c r="D952" i="3"/>
  <c r="D954" i="3"/>
  <c r="D956" i="3"/>
  <c r="D958" i="3"/>
  <c r="D960" i="3"/>
  <c r="D962" i="3"/>
  <c r="D964" i="3"/>
  <c r="D966" i="3"/>
  <c r="D968" i="3"/>
  <c r="D970" i="3"/>
  <c r="D972" i="3"/>
  <c r="D974" i="3"/>
  <c r="D976" i="3"/>
  <c r="D978" i="3"/>
  <c r="D980" i="3"/>
  <c r="D982" i="3"/>
  <c r="D984" i="3"/>
  <c r="D986" i="3"/>
  <c r="D988" i="3"/>
  <c r="D990" i="3"/>
  <c r="D992" i="3"/>
  <c r="D994" i="3"/>
  <c r="D996" i="3"/>
  <c r="D998" i="3"/>
  <c r="D1000" i="3"/>
  <c r="D1002" i="3"/>
  <c r="D1004" i="3"/>
  <c r="D1006" i="3"/>
  <c r="D1008" i="3"/>
  <c r="D1010" i="3"/>
  <c r="D1012" i="3"/>
  <c r="D1014" i="3"/>
  <c r="D1016" i="3"/>
  <c r="D1018" i="3"/>
  <c r="D1020" i="3"/>
  <c r="D1022" i="3"/>
  <c r="D1024" i="3"/>
  <c r="D1026" i="3"/>
  <c r="D1028" i="3"/>
  <c r="D1030" i="3"/>
  <c r="D1032" i="3"/>
  <c r="D1034" i="3"/>
  <c r="D1036" i="3"/>
  <c r="D1038" i="3"/>
  <c r="D1040" i="3"/>
  <c r="D1042" i="3"/>
  <c r="D1044" i="3"/>
  <c r="D1046" i="3"/>
  <c r="D1048" i="3"/>
  <c r="D1050" i="3"/>
  <c r="D1052" i="3"/>
  <c r="D1054" i="3"/>
  <c r="D1056" i="3"/>
  <c r="D1058" i="3"/>
  <c r="D1060" i="3"/>
  <c r="D1062" i="3"/>
  <c r="D654" i="3"/>
  <c r="D658" i="3"/>
  <c r="D662" i="3"/>
  <c r="D666" i="3"/>
  <c r="D670" i="3"/>
  <c r="D674" i="3"/>
  <c r="D678" i="3"/>
  <c r="D682" i="3"/>
  <c r="D686" i="3"/>
  <c r="D689" i="3"/>
  <c r="D691" i="3"/>
  <c r="D693" i="3"/>
  <c r="D695" i="3"/>
  <c r="D697" i="3"/>
  <c r="D699" i="3"/>
  <c r="D701" i="3"/>
  <c r="D703" i="3"/>
  <c r="D705" i="3"/>
  <c r="D707" i="3"/>
  <c r="D709" i="3"/>
  <c r="D711" i="3"/>
  <c r="D713" i="3"/>
  <c r="D715" i="3"/>
  <c r="D717" i="3"/>
  <c r="D719" i="3"/>
  <c r="D721" i="3"/>
  <c r="D723" i="3"/>
  <c r="D725" i="3"/>
  <c r="D727" i="3"/>
  <c r="D729" i="3"/>
  <c r="D731" i="3"/>
  <c r="D733" i="3"/>
  <c r="D735" i="3"/>
  <c r="D737" i="3"/>
  <c r="D739" i="3"/>
  <c r="D741" i="3"/>
  <c r="D743" i="3"/>
  <c r="D745" i="3"/>
  <c r="D747" i="3"/>
  <c r="D749" i="3"/>
  <c r="D751" i="3"/>
  <c r="D753" i="3"/>
  <c r="D755" i="3"/>
  <c r="D757" i="3"/>
  <c r="D759" i="3"/>
  <c r="D761" i="3"/>
  <c r="D763" i="3"/>
  <c r="D765" i="3"/>
  <c r="D767" i="3"/>
  <c r="D769" i="3"/>
  <c r="D771" i="3"/>
  <c r="D773" i="3"/>
  <c r="D775" i="3"/>
  <c r="D777" i="3"/>
  <c r="D779" i="3"/>
  <c r="D781" i="3"/>
  <c r="D783" i="3"/>
  <c r="D785" i="3"/>
  <c r="D787" i="3"/>
  <c r="D789" i="3"/>
  <c r="D791" i="3"/>
  <c r="D793" i="3"/>
  <c r="D795" i="3"/>
  <c r="D797" i="3"/>
  <c r="D799" i="3"/>
  <c r="D801" i="3"/>
  <c r="D803" i="3"/>
  <c r="D805" i="3"/>
  <c r="D807" i="3"/>
  <c r="D809" i="3"/>
  <c r="D811" i="3"/>
  <c r="D813" i="3"/>
  <c r="D815" i="3"/>
  <c r="D817" i="3"/>
  <c r="D819" i="3"/>
  <c r="D821" i="3"/>
  <c r="D823" i="3"/>
  <c r="D825" i="3"/>
  <c r="D827" i="3"/>
  <c r="D829" i="3"/>
  <c r="D831" i="3"/>
  <c r="D833" i="3"/>
  <c r="D835" i="3"/>
  <c r="D837" i="3"/>
  <c r="D839" i="3"/>
  <c r="D841" i="3"/>
  <c r="D843" i="3"/>
  <c r="D845" i="3"/>
  <c r="D847" i="3"/>
  <c r="D849" i="3"/>
  <c r="D851" i="3"/>
  <c r="D853" i="3"/>
  <c r="D855" i="3"/>
  <c r="D857" i="3"/>
  <c r="D859" i="3"/>
  <c r="D861" i="3"/>
  <c r="D863" i="3"/>
  <c r="D865" i="3"/>
  <c r="D867" i="3"/>
  <c r="D869" i="3"/>
  <c r="D871" i="3"/>
  <c r="D873" i="3"/>
  <c r="D875" i="3"/>
  <c r="D877" i="3"/>
  <c r="D879" i="3"/>
  <c r="D881" i="3"/>
  <c r="D883" i="3"/>
  <c r="D885" i="3"/>
  <c r="D887" i="3"/>
  <c r="D889" i="3"/>
  <c r="D891" i="3"/>
  <c r="D893" i="3"/>
  <c r="D895" i="3"/>
  <c r="D897" i="3"/>
  <c r="D899" i="3"/>
  <c r="D901" i="3"/>
  <c r="D903" i="3"/>
  <c r="D905" i="3"/>
  <c r="D907" i="3"/>
  <c r="D909" i="3"/>
  <c r="D911" i="3"/>
  <c r="D913" i="3"/>
  <c r="D915" i="3"/>
  <c r="D917" i="3"/>
  <c r="D919" i="3"/>
  <c r="D921" i="3"/>
  <c r="D923" i="3"/>
  <c r="D925" i="3"/>
  <c r="D927" i="3"/>
  <c r="D929" i="3"/>
  <c r="D931" i="3"/>
  <c r="D933" i="3"/>
  <c r="D935" i="3"/>
  <c r="D937" i="3"/>
  <c r="D939" i="3"/>
  <c r="D941" i="3"/>
  <c r="D943" i="3"/>
  <c r="D945" i="3"/>
  <c r="D947" i="3"/>
  <c r="D949" i="3"/>
  <c r="D951" i="3"/>
  <c r="D953" i="3"/>
  <c r="D955" i="3"/>
  <c r="D957" i="3"/>
  <c r="D959" i="3"/>
  <c r="D961" i="3"/>
  <c r="D963" i="3"/>
  <c r="D965" i="3"/>
  <c r="D967" i="3"/>
  <c r="D969" i="3"/>
  <c r="D971" i="3"/>
  <c r="D973" i="3"/>
  <c r="D975" i="3"/>
  <c r="D977" i="3"/>
  <c r="D979" i="3"/>
  <c r="D981" i="3"/>
  <c r="D983" i="3"/>
  <c r="D985" i="3"/>
  <c r="D987" i="3"/>
  <c r="D989" i="3"/>
  <c r="D991" i="3"/>
  <c r="D993" i="3"/>
  <c r="D995" i="3"/>
  <c r="D997" i="3"/>
  <c r="D999" i="3"/>
  <c r="D1001" i="3"/>
  <c r="D1003" i="3"/>
  <c r="D1005" i="3"/>
  <c r="D1007" i="3"/>
  <c r="D1009" i="3"/>
  <c r="D1356" i="3"/>
  <c r="D1354" i="3"/>
  <c r="D1352" i="3"/>
  <c r="D1350" i="3"/>
  <c r="D1348" i="3"/>
  <c r="D1346" i="3"/>
  <c r="D1344" i="3"/>
  <c r="D1342" i="3"/>
  <c r="D1340" i="3"/>
  <c r="D1338" i="3"/>
  <c r="D1336" i="3"/>
  <c r="D1334" i="3"/>
  <c r="D1332" i="3"/>
  <c r="D1330" i="3"/>
  <c r="D1328" i="3"/>
  <c r="D1326" i="3"/>
  <c r="D1324" i="3"/>
  <c r="D1322" i="3"/>
  <c r="D1320" i="3"/>
  <c r="D1318" i="3"/>
  <c r="D1316" i="3"/>
  <c r="D1314" i="3"/>
  <c r="D1312" i="3"/>
  <c r="D1310" i="3"/>
  <c r="D1308" i="3"/>
  <c r="D1306" i="3"/>
  <c r="D1304" i="3"/>
  <c r="D1302" i="3"/>
  <c r="D1300" i="3"/>
  <c r="D1298" i="3"/>
  <c r="D1296" i="3"/>
  <c r="D1294" i="3"/>
  <c r="D1292" i="3"/>
  <c r="D1290" i="3"/>
  <c r="D1288" i="3"/>
  <c r="D1286" i="3"/>
  <c r="D1284" i="3"/>
  <c r="D1282" i="3"/>
  <c r="D1280" i="3"/>
  <c r="D1278" i="3"/>
  <c r="D1276" i="3"/>
  <c r="D1274" i="3"/>
  <c r="D1272" i="3"/>
  <c r="D1270" i="3"/>
  <c r="D1268" i="3"/>
  <c r="D1266" i="3"/>
  <c r="D1264" i="3"/>
  <c r="D1262" i="3"/>
  <c r="D1260" i="3"/>
  <c r="D1258" i="3"/>
  <c r="D1256" i="3"/>
  <c r="D1254" i="3"/>
  <c r="D1252" i="3"/>
  <c r="D1250" i="3"/>
  <c r="D1248" i="3"/>
  <c r="D1246" i="3"/>
  <c r="D1244" i="3"/>
  <c r="D1242" i="3"/>
  <c r="D1240" i="3"/>
  <c r="D1238" i="3"/>
  <c r="D1236" i="3"/>
  <c r="D1234" i="3"/>
  <c r="D1232" i="3"/>
  <c r="D1230" i="3"/>
  <c r="D1228" i="3"/>
  <c r="D1226" i="3"/>
  <c r="D1224" i="3"/>
  <c r="D1222" i="3"/>
  <c r="D1220" i="3"/>
  <c r="D1218" i="3"/>
  <c r="D1216" i="3"/>
  <c r="D1214" i="3"/>
  <c r="D1212" i="3"/>
  <c r="D1210" i="3"/>
  <c r="D1208" i="3"/>
  <c r="D1206" i="3"/>
  <c r="D1204" i="3"/>
  <c r="D1202" i="3"/>
  <c r="D1200" i="3"/>
  <c r="D1198" i="3"/>
  <c r="D1196" i="3"/>
  <c r="D1194" i="3"/>
  <c r="D1192" i="3"/>
  <c r="D1190" i="3"/>
  <c r="D1188" i="3"/>
  <c r="D1186" i="3"/>
  <c r="D1184" i="3"/>
  <c r="D1182" i="3"/>
  <c r="D1180" i="3"/>
  <c r="D1178" i="3"/>
  <c r="D1176" i="3"/>
  <c r="D1174" i="3"/>
  <c r="D1172" i="3"/>
  <c r="D1170" i="3"/>
  <c r="D1168" i="3"/>
  <c r="D1166" i="3"/>
  <c r="D1164" i="3"/>
  <c r="D1162" i="3"/>
  <c r="D1160" i="3"/>
  <c r="D1158" i="3"/>
  <c r="D1156" i="3"/>
  <c r="D1154" i="3"/>
  <c r="D1152" i="3"/>
  <c r="D1150" i="3"/>
  <c r="D1148" i="3"/>
  <c r="D1146" i="3"/>
  <c r="D1144" i="3"/>
  <c r="D1142" i="3"/>
  <c r="D1140" i="3"/>
  <c r="D1138" i="3"/>
  <c r="D1136" i="3"/>
  <c r="D1134" i="3"/>
  <c r="D1132" i="3"/>
  <c r="D1130" i="3"/>
  <c r="D1128" i="3"/>
  <c r="D1126" i="3"/>
  <c r="D1124" i="3"/>
  <c r="D1122" i="3"/>
  <c r="D1120" i="3"/>
  <c r="D1118" i="3"/>
  <c r="D1116" i="3"/>
  <c r="D1114" i="3"/>
  <c r="D1112" i="3"/>
  <c r="D1110" i="3"/>
  <c r="D1108" i="3"/>
  <c r="D1106" i="3"/>
  <c r="D1104" i="3"/>
  <c r="D1102" i="3"/>
  <c r="D1100" i="3"/>
  <c r="D1098" i="3"/>
  <c r="D1096" i="3"/>
  <c r="D1094" i="3"/>
  <c r="D1092" i="3"/>
  <c r="D1090" i="3"/>
  <c r="D1088" i="3"/>
  <c r="D1086" i="3"/>
  <c r="D1084" i="3"/>
  <c r="D1082" i="3"/>
  <c r="D1080" i="3"/>
  <c r="D1078" i="3"/>
  <c r="D1076" i="3"/>
  <c r="D1074" i="3"/>
  <c r="D1072" i="3"/>
  <c r="D1070" i="3"/>
  <c r="D1068" i="3"/>
  <c r="D1066" i="3"/>
  <c r="D1064" i="3"/>
  <c r="D1061" i="3"/>
  <c r="D1057" i="3"/>
  <c r="D1053" i="3"/>
  <c r="D1049" i="3"/>
  <c r="D1045" i="3"/>
  <c r="D1041" i="3"/>
  <c r="D1037" i="3"/>
  <c r="D1033" i="3"/>
  <c r="D1029" i="3"/>
  <c r="D1025" i="3"/>
  <c r="D1021" i="3"/>
  <c r="D1017" i="3"/>
  <c r="D1013" i="3"/>
  <c r="D1357" i="3"/>
  <c r="D1355" i="3"/>
  <c r="D1353" i="3"/>
  <c r="D1351" i="3"/>
  <c r="D1349" i="3"/>
  <c r="D1347" i="3"/>
  <c r="D1345" i="3"/>
  <c r="D1343" i="3"/>
  <c r="D1341" i="3"/>
  <c r="D1339" i="3"/>
  <c r="D1337" i="3"/>
  <c r="D1335" i="3"/>
  <c r="D1333" i="3"/>
  <c r="D1331" i="3"/>
  <c r="D1329" i="3"/>
  <c r="D1327" i="3"/>
  <c r="D1325" i="3"/>
  <c r="D1323" i="3"/>
  <c r="D1321" i="3"/>
  <c r="D1319" i="3"/>
  <c r="D1317" i="3"/>
  <c r="D1315" i="3"/>
  <c r="D1313" i="3"/>
  <c r="D1311" i="3"/>
  <c r="D1309" i="3"/>
  <c r="D1307" i="3"/>
  <c r="D1305" i="3"/>
  <c r="D1303" i="3"/>
  <c r="D1301" i="3"/>
  <c r="D1299" i="3"/>
  <c r="D1297" i="3"/>
  <c r="D1295" i="3"/>
  <c r="D1293" i="3"/>
  <c r="D1291" i="3"/>
  <c r="D1289" i="3"/>
  <c r="D1287" i="3"/>
  <c r="D1285" i="3"/>
  <c r="D1283" i="3"/>
  <c r="D1281" i="3"/>
  <c r="D1279" i="3"/>
  <c r="D1277" i="3"/>
  <c r="D1275" i="3"/>
  <c r="D1273" i="3"/>
  <c r="D1271" i="3"/>
  <c r="D1269" i="3"/>
  <c r="D1267" i="3"/>
  <c r="D1265" i="3"/>
  <c r="D1263" i="3"/>
  <c r="D1261" i="3"/>
  <c r="D1259" i="3"/>
  <c r="D1257" i="3"/>
  <c r="D1255" i="3"/>
  <c r="D1253" i="3"/>
  <c r="D1251" i="3"/>
  <c r="D1249" i="3"/>
  <c r="D1247" i="3"/>
  <c r="D1245" i="3"/>
  <c r="D1243" i="3"/>
  <c r="D1241" i="3"/>
  <c r="D1239" i="3"/>
  <c r="D1237" i="3"/>
  <c r="D1235" i="3"/>
  <c r="D1233" i="3"/>
  <c r="D1231" i="3"/>
  <c r="D1229" i="3"/>
  <c r="D1227" i="3"/>
  <c r="D1225" i="3"/>
  <c r="D1223" i="3"/>
  <c r="D1221" i="3"/>
  <c r="D1219" i="3"/>
  <c r="D1217" i="3"/>
  <c r="D1215" i="3"/>
  <c r="D1213" i="3"/>
  <c r="D1211" i="3"/>
  <c r="D1209" i="3"/>
  <c r="D1207" i="3"/>
  <c r="D1205" i="3"/>
  <c r="D1203" i="3"/>
  <c r="D1201" i="3"/>
  <c r="D1199" i="3"/>
  <c r="D1197" i="3"/>
  <c r="D1195" i="3"/>
  <c r="D1193" i="3"/>
  <c r="D1191" i="3"/>
  <c r="D1189" i="3"/>
  <c r="D1187" i="3"/>
  <c r="D1185" i="3"/>
  <c r="D1183" i="3"/>
  <c r="D1181" i="3"/>
  <c r="D1179" i="3"/>
  <c r="D1177" i="3"/>
  <c r="D1175" i="3"/>
  <c r="D1173" i="3"/>
  <c r="D1171" i="3"/>
  <c r="D1169" i="3"/>
  <c r="D1167" i="3"/>
  <c r="D1165" i="3"/>
  <c r="D1163" i="3"/>
  <c r="D1161" i="3"/>
  <c r="D1159" i="3"/>
  <c r="D1157" i="3"/>
  <c r="D1155" i="3"/>
  <c r="D1153" i="3"/>
  <c r="D1151" i="3"/>
  <c r="D1149" i="3"/>
  <c r="D1147" i="3"/>
  <c r="D1145" i="3"/>
  <c r="D1143" i="3"/>
  <c r="D1141" i="3"/>
  <c r="D1139" i="3"/>
  <c r="D1137" i="3"/>
  <c r="D1135" i="3"/>
  <c r="D1133" i="3"/>
  <c r="D1131" i="3"/>
  <c r="D1129" i="3"/>
  <c r="D1127" i="3"/>
  <c r="D1125" i="3"/>
  <c r="D1123" i="3"/>
  <c r="D1121" i="3"/>
  <c r="D1119" i="3"/>
  <c r="D1117" i="3"/>
  <c r="D1115" i="3"/>
  <c r="D1113" i="3"/>
  <c r="D1111" i="3"/>
  <c r="D1109" i="3"/>
  <c r="D1107" i="3"/>
  <c r="D1105" i="3"/>
  <c r="D1103" i="3"/>
  <c r="D1101" i="3"/>
  <c r="D1099" i="3"/>
  <c r="D1097" i="3"/>
  <c r="D1095" i="3"/>
  <c r="D1093" i="3"/>
  <c r="D1091" i="3"/>
  <c r="D1089" i="3"/>
  <c r="D1087" i="3"/>
  <c r="D1085" i="3"/>
  <c r="D1083" i="3"/>
  <c r="D1081" i="3"/>
  <c r="D1079" i="3"/>
  <c r="D1077" i="3"/>
  <c r="D1075" i="3"/>
  <c r="D1073" i="3"/>
  <c r="D1071" i="3"/>
  <c r="D1069" i="3"/>
  <c r="D1067" i="3"/>
  <c r="D1065" i="3"/>
  <c r="D1063" i="3"/>
  <c r="D1059" i="3"/>
  <c r="D1055" i="3"/>
  <c r="D1051" i="3"/>
  <c r="D1047" i="3"/>
  <c r="D1043" i="3"/>
  <c r="D1039" i="3"/>
  <c r="D1035" i="3"/>
  <c r="D1031" i="3"/>
  <c r="D1027" i="3"/>
  <c r="D1023" i="3"/>
  <c r="D1019" i="3"/>
  <c r="D1015" i="3"/>
  <c r="D1011" i="3"/>
  <c r="K137" i="4" l="1"/>
  <c r="N137" i="4" s="1"/>
  <c r="K138" i="4"/>
  <c r="N138" i="4" s="1"/>
  <c r="K5" i="4"/>
  <c r="N5" i="4" s="1"/>
  <c r="L137" i="4"/>
  <c r="M137" i="4" s="1"/>
  <c r="L138" i="4"/>
  <c r="M138" i="4" s="1"/>
  <c r="L1501" i="4"/>
  <c r="L3" i="4"/>
  <c r="M3" i="4" s="1"/>
  <c r="K3" i="4"/>
  <c r="N3" i="4" s="1"/>
  <c r="L105" i="4"/>
  <c r="M105" i="4" s="1"/>
  <c r="K105" i="4"/>
  <c r="N105" i="4" s="1"/>
  <c r="L76" i="4"/>
  <c r="M76" i="4" s="1"/>
  <c r="K76" i="4"/>
  <c r="N76" i="4" s="1"/>
  <c r="L13" i="4"/>
  <c r="M13" i="4" s="1"/>
  <c r="K13" i="4"/>
  <c r="N13" i="4" s="1"/>
  <c r="L28" i="4"/>
  <c r="M28" i="4" s="1"/>
  <c r="K28" i="4"/>
  <c r="N28" i="4" s="1"/>
  <c r="L78" i="4"/>
  <c r="M78" i="4" s="1"/>
  <c r="K78" i="4"/>
  <c r="N78" i="4" s="1"/>
  <c r="L90" i="4"/>
  <c r="M90" i="4" s="1"/>
  <c r="K90" i="4"/>
  <c r="N90" i="4" s="1"/>
  <c r="L121" i="4"/>
  <c r="M121" i="4" s="1"/>
  <c r="K121" i="4"/>
  <c r="N121" i="4" s="1"/>
  <c r="L110" i="4"/>
  <c r="M110" i="4" s="1"/>
  <c r="K110" i="4"/>
  <c r="N110" i="4" s="1"/>
  <c r="L96" i="4"/>
  <c r="M96" i="4" s="1"/>
  <c r="K96" i="4"/>
  <c r="N96" i="4" s="1"/>
  <c r="L59" i="4"/>
  <c r="M59" i="4" s="1"/>
  <c r="K59" i="4"/>
  <c r="N59" i="4" s="1"/>
  <c r="L119" i="4"/>
  <c r="M119" i="4" s="1"/>
  <c r="K119" i="4"/>
  <c r="N119" i="4" s="1"/>
  <c r="L4" i="4"/>
  <c r="M4" i="4" s="1"/>
  <c r="K4" i="4"/>
  <c r="N4" i="4" s="1"/>
  <c r="L16" i="4"/>
  <c r="M16" i="4" s="1"/>
  <c r="K16" i="4"/>
  <c r="N16" i="4" s="1"/>
  <c r="L31" i="4"/>
  <c r="M31" i="4" s="1"/>
  <c r="K31" i="4"/>
  <c r="N31" i="4" s="1"/>
  <c r="L49" i="4"/>
  <c r="M49" i="4" s="1"/>
  <c r="K49" i="4"/>
  <c r="N49" i="4" s="1"/>
  <c r="L81" i="4"/>
  <c r="M81" i="4" s="1"/>
  <c r="K81" i="4"/>
  <c r="N81" i="4" s="1"/>
  <c r="L117" i="4"/>
  <c r="M117" i="4" s="1"/>
  <c r="K117" i="4"/>
  <c r="N117" i="4" s="1"/>
  <c r="L131" i="4"/>
  <c r="M131" i="4" s="1"/>
  <c r="K131" i="4"/>
  <c r="N131" i="4" s="1"/>
  <c r="L128" i="4"/>
  <c r="M128" i="4" s="1"/>
  <c r="K128" i="4"/>
  <c r="N128" i="4" s="1"/>
  <c r="L123" i="4"/>
  <c r="M123" i="4" s="1"/>
  <c r="K123" i="4"/>
  <c r="N123" i="4" s="1"/>
  <c r="L109" i="4"/>
  <c r="M109" i="4" s="1"/>
  <c r="K109" i="4"/>
  <c r="N109" i="4" s="1"/>
  <c r="L97" i="4"/>
  <c r="M97" i="4" s="1"/>
  <c r="K97" i="4"/>
  <c r="L91" i="4"/>
  <c r="M91" i="4" s="1"/>
  <c r="K91" i="4"/>
  <c r="L85" i="4"/>
  <c r="M85" i="4" s="1"/>
  <c r="K85" i="4"/>
  <c r="N85" i="4" s="1"/>
  <c r="L69" i="4"/>
  <c r="M69" i="4" s="1"/>
  <c r="K69" i="4"/>
  <c r="N69" i="4" s="1"/>
  <c r="L61" i="4"/>
  <c r="M61" i="4" s="1"/>
  <c r="K61" i="4"/>
  <c r="N61" i="4" s="1"/>
  <c r="L53" i="4"/>
  <c r="M53" i="4" s="1"/>
  <c r="K53" i="4"/>
  <c r="N53" i="4" s="1"/>
  <c r="L41" i="4"/>
  <c r="M41" i="4" s="1"/>
  <c r="K41" i="4"/>
  <c r="N41" i="4" s="1"/>
  <c r="L33" i="4"/>
  <c r="M33" i="4" s="1"/>
  <c r="K33" i="4"/>
  <c r="N33" i="4" s="1"/>
  <c r="L27" i="4"/>
  <c r="M27" i="4" s="1"/>
  <c r="K27" i="4"/>
  <c r="N27" i="4" s="1"/>
  <c r="L25" i="4"/>
  <c r="M25" i="4" s="1"/>
  <c r="K25" i="4"/>
  <c r="N25" i="4" s="1"/>
  <c r="L23" i="4"/>
  <c r="M23" i="4" s="1"/>
  <c r="K23" i="4"/>
  <c r="N23" i="4" s="1"/>
  <c r="L21" i="4"/>
  <c r="M21" i="4" s="1"/>
  <c r="K21" i="4"/>
  <c r="N21" i="4" s="1"/>
  <c r="L19" i="4"/>
  <c r="M19" i="4" s="1"/>
  <c r="K19" i="4"/>
  <c r="N19" i="4" s="1"/>
  <c r="L17" i="4"/>
  <c r="M17" i="4" s="1"/>
  <c r="K17" i="4"/>
  <c r="L11" i="4"/>
  <c r="M11" i="4" s="1"/>
  <c r="K11" i="4"/>
  <c r="N11" i="4" s="1"/>
  <c r="L9" i="4"/>
  <c r="M9" i="4" s="1"/>
  <c r="K9" i="4"/>
  <c r="N9" i="4" s="1"/>
  <c r="L7" i="4"/>
  <c r="M7" i="4" s="1"/>
  <c r="K7" i="4"/>
  <c r="N7" i="4" s="1"/>
  <c r="L15" i="4"/>
  <c r="M15" i="4" s="1"/>
  <c r="K15" i="4"/>
  <c r="N15" i="4" s="1"/>
  <c r="L30" i="4"/>
  <c r="M30" i="4" s="1"/>
  <c r="K30" i="4"/>
  <c r="N30" i="4" s="1"/>
  <c r="L36" i="4"/>
  <c r="M36" i="4" s="1"/>
  <c r="K36" i="4"/>
  <c r="N36" i="4" s="1"/>
  <c r="L40" i="4"/>
  <c r="M40" i="4" s="1"/>
  <c r="K40" i="4"/>
  <c r="N40" i="4" s="1"/>
  <c r="L44" i="4"/>
  <c r="M44" i="4" s="1"/>
  <c r="K44" i="4"/>
  <c r="N44" i="4" s="1"/>
  <c r="L48" i="4"/>
  <c r="M48" i="4" s="1"/>
  <c r="K48" i="4"/>
  <c r="N48" i="4" s="1"/>
  <c r="L52" i="4"/>
  <c r="M52" i="4" s="1"/>
  <c r="K52" i="4"/>
  <c r="N52" i="4" s="1"/>
  <c r="L56" i="4"/>
  <c r="M56" i="4" s="1"/>
  <c r="K56" i="4"/>
  <c r="N56" i="4" s="1"/>
  <c r="L60" i="4"/>
  <c r="M60" i="4" s="1"/>
  <c r="K60" i="4"/>
  <c r="N60" i="4" s="1"/>
  <c r="L64" i="4"/>
  <c r="M64" i="4" s="1"/>
  <c r="K64" i="4"/>
  <c r="N64" i="4" s="1"/>
  <c r="L68" i="4"/>
  <c r="M68" i="4" s="1"/>
  <c r="K68" i="4"/>
  <c r="N68" i="4" s="1"/>
  <c r="L72" i="4"/>
  <c r="M72" i="4" s="1"/>
  <c r="K72" i="4"/>
  <c r="N72" i="4" s="1"/>
  <c r="L80" i="4"/>
  <c r="M80" i="4" s="1"/>
  <c r="K80" i="4"/>
  <c r="N80" i="4" s="1"/>
  <c r="L84" i="4"/>
  <c r="M84" i="4" s="1"/>
  <c r="K84" i="4"/>
  <c r="N84" i="4" s="1"/>
  <c r="L88" i="4"/>
  <c r="M88" i="4" s="1"/>
  <c r="K88" i="4"/>
  <c r="N88" i="4" s="1"/>
  <c r="L94" i="4"/>
  <c r="M94" i="4" s="1"/>
  <c r="K94" i="4"/>
  <c r="N94" i="4" s="1"/>
  <c r="L100" i="4"/>
  <c r="M100" i="4" s="1"/>
  <c r="K100" i="4"/>
  <c r="N100" i="4" s="1"/>
  <c r="L104" i="4"/>
  <c r="M104" i="4" s="1"/>
  <c r="K104" i="4"/>
  <c r="N104" i="4" s="1"/>
  <c r="L108" i="4"/>
  <c r="M108" i="4" s="1"/>
  <c r="K108" i="4"/>
  <c r="N108" i="4" s="1"/>
  <c r="L114" i="4"/>
  <c r="M114" i="4" s="1"/>
  <c r="K114" i="4"/>
  <c r="N114" i="4" s="1"/>
  <c r="L118" i="4"/>
  <c r="M118" i="4" s="1"/>
  <c r="K118" i="4"/>
  <c r="L122" i="4"/>
  <c r="M122" i="4" s="1"/>
  <c r="K122" i="4"/>
  <c r="L127" i="4"/>
  <c r="M127" i="4" s="1"/>
  <c r="K127" i="4"/>
  <c r="N127" i="4" s="1"/>
  <c r="L133" i="4"/>
  <c r="M133" i="4" s="1"/>
  <c r="K133" i="4"/>
  <c r="N133" i="4" s="1"/>
  <c r="L132" i="4"/>
  <c r="M132" i="4" s="1"/>
  <c r="K132" i="4"/>
  <c r="N132" i="4" s="1"/>
  <c r="L93" i="4"/>
  <c r="M93" i="4" s="1"/>
  <c r="K93" i="4"/>
  <c r="N93" i="4" s="1"/>
  <c r="L55" i="4"/>
  <c r="M55" i="4" s="1"/>
  <c r="K55" i="4"/>
  <c r="N55" i="4" s="1"/>
  <c r="L113" i="4"/>
  <c r="M113" i="4" s="1"/>
  <c r="K113" i="4"/>
  <c r="N113" i="4" s="1"/>
  <c r="L103" i="4"/>
  <c r="M103" i="4" s="1"/>
  <c r="K103" i="4"/>
  <c r="N103" i="4" s="1"/>
  <c r="L79" i="4"/>
  <c r="M79" i="4" s="1"/>
  <c r="K79" i="4"/>
  <c r="N79" i="4" s="1"/>
  <c r="L75" i="4"/>
  <c r="M75" i="4" s="1"/>
  <c r="K75" i="4"/>
  <c r="N75" i="4" s="1"/>
  <c r="L51" i="4"/>
  <c r="M51" i="4" s="1"/>
  <c r="K51" i="4"/>
  <c r="N51" i="4" s="1"/>
  <c r="L130" i="4"/>
  <c r="M130" i="4" s="1"/>
  <c r="K130" i="4"/>
  <c r="N130" i="4" s="1"/>
  <c r="L71" i="4"/>
  <c r="M71" i="4" s="1"/>
  <c r="K71" i="4"/>
  <c r="N71" i="4" s="1"/>
  <c r="L115" i="4"/>
  <c r="M115" i="4" s="1"/>
  <c r="K115" i="4"/>
  <c r="N115" i="4" s="1"/>
  <c r="L47" i="4"/>
  <c r="M47" i="4" s="1"/>
  <c r="K47" i="4"/>
  <c r="N47" i="4" s="1"/>
  <c r="L35" i="4"/>
  <c r="M35" i="4" s="1"/>
  <c r="K35" i="4"/>
  <c r="N35" i="4" s="1"/>
  <c r="L134" i="4"/>
  <c r="M134" i="4" s="1"/>
  <c r="K134" i="4"/>
  <c r="N134" i="4" s="1"/>
  <c r="L124" i="4"/>
  <c r="M124" i="4" s="1"/>
  <c r="K124" i="4"/>
  <c r="N124" i="4" s="1"/>
  <c r="L111" i="4"/>
  <c r="M111" i="4" s="1"/>
  <c r="K111" i="4"/>
  <c r="L101" i="4"/>
  <c r="M101" i="4" s="1"/>
  <c r="K101" i="4"/>
  <c r="N101" i="4" s="1"/>
  <c r="L95" i="4"/>
  <c r="M95" i="4" s="1"/>
  <c r="K95" i="4"/>
  <c r="N95" i="4" s="1"/>
  <c r="L89" i="4"/>
  <c r="M89" i="4" s="1"/>
  <c r="K89" i="4"/>
  <c r="N89" i="4" s="1"/>
  <c r="L73" i="4"/>
  <c r="M73" i="4" s="1"/>
  <c r="K73" i="4"/>
  <c r="N73" i="4" s="1"/>
  <c r="L65" i="4"/>
  <c r="M65" i="4" s="1"/>
  <c r="K65" i="4"/>
  <c r="N65" i="4" s="1"/>
  <c r="L57" i="4"/>
  <c r="M57" i="4" s="1"/>
  <c r="K57" i="4"/>
  <c r="N57" i="4" s="1"/>
  <c r="L45" i="4"/>
  <c r="M45" i="4" s="1"/>
  <c r="K45" i="4"/>
  <c r="N45" i="4" s="1"/>
  <c r="L37" i="4"/>
  <c r="M37" i="4" s="1"/>
  <c r="K37" i="4"/>
  <c r="N37" i="4" s="1"/>
  <c r="L32" i="4"/>
  <c r="M32" i="4" s="1"/>
  <c r="K32" i="4"/>
  <c r="L26" i="4"/>
  <c r="M26" i="4" s="1"/>
  <c r="K26" i="4"/>
  <c r="N26" i="4" s="1"/>
  <c r="L24" i="4"/>
  <c r="M24" i="4" s="1"/>
  <c r="K24" i="4"/>
  <c r="N24" i="4" s="1"/>
  <c r="L22" i="4"/>
  <c r="M22" i="4" s="1"/>
  <c r="K22" i="4"/>
  <c r="N22" i="4" s="1"/>
  <c r="L20" i="4"/>
  <c r="M20" i="4" s="1"/>
  <c r="K20" i="4"/>
  <c r="N20" i="4" s="1"/>
  <c r="L18" i="4"/>
  <c r="M18" i="4" s="1"/>
  <c r="K18" i="4"/>
  <c r="N18" i="4" s="1"/>
  <c r="L12" i="4"/>
  <c r="M12" i="4" s="1"/>
  <c r="K12" i="4"/>
  <c r="N12" i="4" s="1"/>
  <c r="L10" i="4"/>
  <c r="M10" i="4" s="1"/>
  <c r="K10" i="4"/>
  <c r="N10" i="4" s="1"/>
  <c r="L8" i="4"/>
  <c r="M8" i="4" s="1"/>
  <c r="K8" i="4"/>
  <c r="N8" i="4" s="1"/>
  <c r="L6" i="4"/>
  <c r="M6" i="4" s="1"/>
  <c r="K6" i="4"/>
  <c r="N6" i="4" s="1"/>
  <c r="L14" i="4"/>
  <c r="M14" i="4" s="1"/>
  <c r="K14" i="4"/>
  <c r="N14" i="4" s="1"/>
  <c r="L29" i="4"/>
  <c r="M29" i="4" s="1"/>
  <c r="K29" i="4"/>
  <c r="N29" i="4" s="1"/>
  <c r="L34" i="4"/>
  <c r="M34" i="4" s="1"/>
  <c r="K34" i="4"/>
  <c r="N34" i="4" s="1"/>
  <c r="L38" i="4"/>
  <c r="M38" i="4" s="1"/>
  <c r="K38" i="4"/>
  <c r="N38" i="4" s="1"/>
  <c r="L42" i="4"/>
  <c r="M42" i="4" s="1"/>
  <c r="K42" i="4"/>
  <c r="N42" i="4" s="1"/>
  <c r="L46" i="4"/>
  <c r="M46" i="4" s="1"/>
  <c r="K46" i="4"/>
  <c r="N46" i="4" s="1"/>
  <c r="L50" i="4"/>
  <c r="M50" i="4" s="1"/>
  <c r="K50" i="4"/>
  <c r="N50" i="4" s="1"/>
  <c r="L54" i="4"/>
  <c r="M54" i="4" s="1"/>
  <c r="K54" i="4"/>
  <c r="N54" i="4" s="1"/>
  <c r="L58" i="4"/>
  <c r="M58" i="4" s="1"/>
  <c r="K58" i="4"/>
  <c r="N58" i="4" s="1"/>
  <c r="L62" i="4"/>
  <c r="M62" i="4" s="1"/>
  <c r="K62" i="4"/>
  <c r="N62" i="4" s="1"/>
  <c r="L66" i="4"/>
  <c r="M66" i="4" s="1"/>
  <c r="K66" i="4"/>
  <c r="N66" i="4" s="1"/>
  <c r="L70" i="4"/>
  <c r="M70" i="4" s="1"/>
  <c r="K70" i="4"/>
  <c r="N70" i="4" s="1"/>
  <c r="L74" i="4"/>
  <c r="M74" i="4" s="1"/>
  <c r="K74" i="4"/>
  <c r="N74" i="4" s="1"/>
  <c r="L82" i="4"/>
  <c r="M82" i="4" s="1"/>
  <c r="K82" i="4"/>
  <c r="N82" i="4" s="1"/>
  <c r="L86" i="4"/>
  <c r="M86" i="4" s="1"/>
  <c r="K86" i="4"/>
  <c r="N86" i="4" s="1"/>
  <c r="L92" i="4"/>
  <c r="M92" i="4" s="1"/>
  <c r="K92" i="4"/>
  <c r="N92" i="4" s="1"/>
  <c r="L98" i="4"/>
  <c r="M98" i="4" s="1"/>
  <c r="K98" i="4"/>
  <c r="N98" i="4" s="1"/>
  <c r="L102" i="4"/>
  <c r="M102" i="4" s="1"/>
  <c r="K102" i="4"/>
  <c r="N102" i="4" s="1"/>
  <c r="L106" i="4"/>
  <c r="M106" i="4" s="1"/>
  <c r="K106" i="4"/>
  <c r="N106" i="4" s="1"/>
  <c r="L112" i="4"/>
  <c r="M112" i="4" s="1"/>
  <c r="K112" i="4"/>
  <c r="N112" i="4" s="1"/>
  <c r="L116" i="4"/>
  <c r="M116" i="4" s="1"/>
  <c r="K116" i="4"/>
  <c r="L120" i="4"/>
  <c r="M120" i="4" s="1"/>
  <c r="K120" i="4"/>
  <c r="L125" i="4"/>
  <c r="M125" i="4" s="1"/>
  <c r="K125" i="4"/>
  <c r="N125" i="4" s="1"/>
  <c r="L129" i="4"/>
  <c r="M129" i="4" s="1"/>
  <c r="K129" i="4"/>
  <c r="N129" i="4" s="1"/>
  <c r="L135" i="4"/>
  <c r="M135" i="4" s="1"/>
  <c r="K135" i="4"/>
  <c r="N135" i="4" s="1"/>
  <c r="L99" i="4"/>
  <c r="M99" i="4" s="1"/>
  <c r="K99" i="4"/>
  <c r="N99" i="4" s="1"/>
  <c r="L63" i="4"/>
  <c r="M63" i="4" s="1"/>
  <c r="K63" i="4"/>
  <c r="N63" i="4" s="1"/>
  <c r="L126" i="4"/>
  <c r="M126" i="4" s="1"/>
  <c r="K126" i="4"/>
  <c r="N126" i="4" s="1"/>
  <c r="L107" i="4"/>
  <c r="M107" i="4" s="1"/>
  <c r="K107" i="4"/>
  <c r="N107" i="4" s="1"/>
  <c r="L83" i="4"/>
  <c r="M83" i="4" s="1"/>
  <c r="K83" i="4"/>
  <c r="N83" i="4" s="1"/>
  <c r="L77" i="4"/>
  <c r="M77" i="4" s="1"/>
  <c r="K77" i="4"/>
  <c r="N77" i="4" s="1"/>
  <c r="L67" i="4"/>
  <c r="M67" i="4" s="1"/>
  <c r="K67" i="4"/>
  <c r="N67" i="4" s="1"/>
  <c r="L39" i="4"/>
  <c r="M39" i="4" s="1"/>
  <c r="K39" i="4"/>
  <c r="N39" i="4" s="1"/>
  <c r="L136" i="4"/>
  <c r="M136" i="4" s="1"/>
  <c r="K136" i="4"/>
  <c r="N136" i="4" s="1"/>
  <c r="L87" i="4"/>
  <c r="M87" i="4" s="1"/>
  <c r="K87" i="4"/>
  <c r="N87" i="4" s="1"/>
  <c r="L43" i="4"/>
  <c r="M43" i="4" s="1"/>
  <c r="K43" i="4"/>
  <c r="N43" i="4" s="1"/>
</calcChain>
</file>

<file path=xl/sharedStrings.xml><?xml version="1.0" encoding="utf-8"?>
<sst xmlns="http://schemas.openxmlformats.org/spreadsheetml/2006/main" count="483" uniqueCount="197">
  <si>
    <t>Source</t>
  </si>
  <si>
    <t>Pinnacle 21 ID</t>
  </si>
  <si>
    <t>Message</t>
  </si>
  <si>
    <t>Severity</t>
  </si>
  <si>
    <t>Found</t>
  </si>
  <si>
    <t>Comments</t>
  </si>
  <si>
    <t>S.No</t>
  </si>
  <si>
    <t>Dataset</t>
  </si>
  <si>
    <t>Conc Message</t>
  </si>
  <si>
    <t>LOCF 2</t>
  </si>
  <si>
    <t>LOCF 1</t>
  </si>
  <si>
    <t>Old Count</t>
  </si>
  <si>
    <t>Old Comments</t>
  </si>
  <si>
    <t>Comparison</t>
  </si>
  <si>
    <t xml:space="preserve">Copied Comments and saved as </t>
  </si>
  <si>
    <t>This tool is used for Comparing two pinnacle reports and copying comments from Old One to new one if available</t>
  </si>
  <si>
    <t xml:space="preserve">Checks made: </t>
  </si>
  <si>
    <t>Usage Instructions:</t>
  </si>
  <si>
    <t xml:space="preserve">                       1) Issues which are present in Both - with same number</t>
  </si>
  <si>
    <t xml:space="preserve">                       2) Issues which are present in Both - with different number</t>
  </si>
  <si>
    <t xml:space="preserve">                       3) Issues which are present in New report alone</t>
  </si>
  <si>
    <t xml:space="preserve">                                1) Clear the old data available in sheets sheet1, Old Report and New Report - by clicking Clear the data </t>
  </si>
  <si>
    <t xml:space="preserve">                                2) Fetch Old   Pinnacle report data - by clicking Choose Old    P21 report - the filename with whole path is shown in cell G7</t>
  </si>
  <si>
    <t xml:space="preserve">                                3) Fetch New Pinnacle report data - by clicking Choose New P21 report  - the filename with whole path is shown in cell G11</t>
  </si>
  <si>
    <t xml:space="preserve">                                4) Comparison is done automatically once data from both reports are fetched</t>
  </si>
  <si>
    <t xml:space="preserve">                                5) copy the comments and comparison details - by clicking Copy comments to  - the filename with whole path is shown in cell G19</t>
  </si>
  <si>
    <t>GLOBAL</t>
  </si>
  <si>
    <t>DD0101</t>
  </si>
  <si>
    <t>Missing define.xml file</t>
  </si>
  <si>
    <t>Reject</t>
  </si>
  <si>
    <t>Not an issue</t>
  </si>
  <si>
    <t>SD1107</t>
  </si>
  <si>
    <t>Missing LB dataset</t>
  </si>
  <si>
    <t/>
  </si>
  <si>
    <t>Not an issue - No LB data</t>
  </si>
  <si>
    <t>AE</t>
  </si>
  <si>
    <t>CT2001</t>
  </si>
  <si>
    <t>AEACN value not found in 'Action Taken with Study Treatment' non-extensible codelist</t>
  </si>
  <si>
    <t>Not an issue - Codelist is Extensible</t>
  </si>
  <si>
    <t>CT2002</t>
  </si>
  <si>
    <t>EPOCH value not found in 'Epoch' extensible codelist</t>
  </si>
  <si>
    <t>SD0002</t>
  </si>
  <si>
    <t>NULL value in AEDECOD variable marked as Required</t>
  </si>
  <si>
    <t>Coding Issue - Added to Issue Tracker</t>
  </si>
  <si>
    <t>SD0022</t>
  </si>
  <si>
    <t>Missing Start Time-Point value</t>
  </si>
  <si>
    <t>Not an issue - as per current data</t>
  </si>
  <si>
    <t>SD0031</t>
  </si>
  <si>
    <t>Missing values for AESTDTC, AESTRF and AESTRTPT, when AEENDTC, AEENRF or AEENRTPT is provided</t>
  </si>
  <si>
    <t>SD0080</t>
  </si>
  <si>
    <t>AE start date is after the latest Disposition date</t>
  </si>
  <si>
    <t>Not an issue - Subject didn't discontinued</t>
  </si>
  <si>
    <t>SD1031</t>
  </si>
  <si>
    <t>Value for AEENRF is populated, when RFENDTC is NULL</t>
  </si>
  <si>
    <t>SD1078</t>
  </si>
  <si>
    <t>Permissible variable with missing value for all records</t>
  </si>
  <si>
    <t>Not an issue -  added as per need, will be removed later if no data till DBLOCK</t>
  </si>
  <si>
    <t>SD1097</t>
  </si>
  <si>
    <t>No Treatment Emergent info for Adverse Event</t>
  </si>
  <si>
    <t>Not an issue - will be added in ADAE</t>
  </si>
  <si>
    <t>SD1143</t>
  </si>
  <si>
    <t>No Details info for AESMIE Adverse Event in SUPPAE domain</t>
  </si>
  <si>
    <t>SD1204</t>
  </si>
  <si>
    <t>AEENDTC date is after RFPENDTC</t>
  </si>
  <si>
    <t>Not an issue - AE dates are not considered for RFENDTC/RFPENDTC</t>
  </si>
  <si>
    <t>SD1339</t>
  </si>
  <si>
    <t>Missing EPOCH value, when a start or observation date is provided</t>
  </si>
  <si>
    <t>Not an issue - Doesn’t fall under SE dates</t>
  </si>
  <si>
    <t>SD1449</t>
  </si>
  <si>
    <t>Missing values for one or more variables subject to MedDRA: AELLT, AELLTCD, AEDECOD, AEPTCD, AEHLT, AEHLTCD, AEHLGT, AEHLGTCD, AEBODSYS, AEBDSYCD, AESOC, AESOCCD</t>
  </si>
  <si>
    <t>CM</t>
  </si>
  <si>
    <t>CMDOSFRQ value not found in 'Frequency' extensible codelist</t>
  </si>
  <si>
    <t>CMDOSU value not found in 'Unit' extensible codelist</t>
  </si>
  <si>
    <t>CMROUTE value not found in 'Route of Administration Response' extensible codelist</t>
  </si>
  <si>
    <t>SD0021</t>
  </si>
  <si>
    <t>Missing End Time-Point value</t>
  </si>
  <si>
    <t>SD0035</t>
  </si>
  <si>
    <t>Missing value for CMDOSU, when CMDOSE, CMDOSTXT or CMDOSTOT is provided</t>
  </si>
  <si>
    <t>Value for CMENRF is populated, when RFENDTC is NULL</t>
  </si>
  <si>
    <t>SD1202</t>
  </si>
  <si>
    <t>CMSTDTC date is after RFPENDTC</t>
  </si>
  <si>
    <t>Not an issue - CM dates are not considered for RFENDTC/RFPENDTC</t>
  </si>
  <si>
    <t>CMENDTC date is after RFPENDTC</t>
  </si>
  <si>
    <t>CO</t>
  </si>
  <si>
    <t>SD0058</t>
  </si>
  <si>
    <t>Variable appears in dataset, but is not in SDTM model</t>
  </si>
  <si>
    <t>Variables COVAL11-COVAL17 added as per need</t>
  </si>
  <si>
    <t>SD1076</t>
  </si>
  <si>
    <t>Model permissible variable added into standard domain</t>
  </si>
  <si>
    <t>Variables COVAL1-COVAL10 added as per need</t>
  </si>
  <si>
    <t>DA</t>
  </si>
  <si>
    <t>DATEST value not found in 'Drug Accountability Test Name' extensible codelist</t>
  </si>
  <si>
    <t>DATESTCD value not found in 'Drug Accountability Test Code' extensible codelist</t>
  </si>
  <si>
    <t>DM</t>
  </si>
  <si>
    <t>RACE value not found in 'Race' extensible codelist</t>
  </si>
  <si>
    <t>NULL value in SEX variable marked as Required</t>
  </si>
  <si>
    <t>Data issue - Added to Issue tracker</t>
  </si>
  <si>
    <t>SD0084</t>
  </si>
  <si>
    <t>Negative or zero value for AGE</t>
  </si>
  <si>
    <t>SD0087</t>
  </si>
  <si>
    <t>RFSTDTC is not provided for a randomized subject</t>
  </si>
  <si>
    <t>Not an issue - Not treated Subjects</t>
  </si>
  <si>
    <t>SD0088</t>
  </si>
  <si>
    <t>RFENDTC is not provided for a randomized subject</t>
  </si>
  <si>
    <t>SD1121</t>
  </si>
  <si>
    <t>Neither AGE nor AGETXT values are populated</t>
  </si>
  <si>
    <t>SD1149</t>
  </si>
  <si>
    <t>Expected variable with missing value for all records</t>
  </si>
  <si>
    <t>Not an issue - No data for those variables as per current data</t>
  </si>
  <si>
    <t>SD1334</t>
  </si>
  <si>
    <t>RFICDTC is after RFSTDTC</t>
  </si>
  <si>
    <t>SD1335</t>
  </si>
  <si>
    <t>RFICDTC is after RFXSTDTC</t>
  </si>
  <si>
    <t>SD1366</t>
  </si>
  <si>
    <t>RFENDTC is populated when ARMNRS is not null</t>
  </si>
  <si>
    <t>SD1373</t>
  </si>
  <si>
    <t>RFSTDTC is populated for subject who did not receive treatment</t>
  </si>
  <si>
    <t>SD1377</t>
  </si>
  <si>
    <t>No records for SCREEN FAILURE subject are found in IE domain</t>
  </si>
  <si>
    <t>SD2023</t>
  </si>
  <si>
    <t>AGE is not provided</t>
  </si>
  <si>
    <t>SD2237</t>
  </si>
  <si>
    <t>ACTARM does not equal ARM</t>
  </si>
  <si>
    <t>DS</t>
  </si>
  <si>
    <t>EX</t>
  </si>
  <si>
    <t>NULL value in EXTRT variable marked as Required</t>
  </si>
  <si>
    <t>SD0013</t>
  </si>
  <si>
    <t>EXSTDTC is after EXENDTC</t>
  </si>
  <si>
    <t>SD0079</t>
  </si>
  <si>
    <t>EX record is present, when subject is not assigned to an arm</t>
  </si>
  <si>
    <t>SD0082</t>
  </si>
  <si>
    <t>Exposure end date is after the latest Disposition date</t>
  </si>
  <si>
    <t>Not an issue - Added as per need</t>
  </si>
  <si>
    <t>SD1205</t>
  </si>
  <si>
    <t>EXSTDTC date is before RFXSTDTC</t>
  </si>
  <si>
    <t>RFICDTC is very late than RFSTDTC and hence raised it as Data issue</t>
  </si>
  <si>
    <t>SD1340</t>
  </si>
  <si>
    <t>EX record is present, when subject is not treated</t>
  </si>
  <si>
    <t>SD1352</t>
  </si>
  <si>
    <t>Duplicate records in EX domain</t>
  </si>
  <si>
    <t xml:space="preserve">Not a Duplicate - as per EXSPID </t>
  </si>
  <si>
    <t>SD1446</t>
  </si>
  <si>
    <t>Exposure start date is after the latest Disposition date</t>
  </si>
  <si>
    <t>FA</t>
  </si>
  <si>
    <t>IE</t>
  </si>
  <si>
    <t>SD0065</t>
  </si>
  <si>
    <t>USUBJID/VISIT/VISITNUM values do not match SV domain data</t>
  </si>
  <si>
    <t>SD1077</t>
  </si>
  <si>
    <t>Regulatory Expected variable EPOCH not found</t>
  </si>
  <si>
    <t>Not an issue - no dates are collected</t>
  </si>
  <si>
    <t>MH</t>
  </si>
  <si>
    <t>Value for MHENRF is populated, when RFENDTC is NULL</t>
  </si>
  <si>
    <t>SD1144</t>
  </si>
  <si>
    <t>MHSTDTC date is after RFSTDTC</t>
  </si>
  <si>
    <t>Not an issue - MH dates are not considered for RFENDTC/RFPENDTC</t>
  </si>
  <si>
    <t>MHSTDTC date is after RFPENDTC</t>
  </si>
  <si>
    <t>MHENDTC date is after RFPENDTC</t>
  </si>
  <si>
    <t>ML</t>
  </si>
  <si>
    <t>SD1039</t>
  </si>
  <si>
    <t>MLCAT value is redundant with other variable values</t>
  </si>
  <si>
    <t>SD1331</t>
  </si>
  <si>
    <t>MLSTDTC is after MLDTC</t>
  </si>
  <si>
    <t>Not an issue - Started date can be after Visit date</t>
  </si>
  <si>
    <t>PR</t>
  </si>
  <si>
    <t>PRSTDTC date is after RFPENDTC</t>
  </si>
  <si>
    <t>Not an issue - PR dates are not considered for RFENDTC/RFPENDTC</t>
  </si>
  <si>
    <t>PRENDTC date is after RFPENDTC</t>
  </si>
  <si>
    <t>QS</t>
  </si>
  <si>
    <t>QSCAT value not found in 'Category of Questionnaire' extensible codelist</t>
  </si>
  <si>
    <t>SC</t>
  </si>
  <si>
    <t>SCTEST value not found in 'Subject Characteristic Test Name' extensible codelist</t>
  </si>
  <si>
    <t>SCTESTCD value not found in 'Subject Characteristic Test Code' extensible codelist</t>
  </si>
  <si>
    <t>SE</t>
  </si>
  <si>
    <t>SUPPCM</t>
  </si>
  <si>
    <t>SD1265</t>
  </si>
  <si>
    <t>QEVAL is null when QORIG equals 'ASSIGNED'</t>
  </si>
  <si>
    <t>Not an issue - they are for coded variables</t>
  </si>
  <si>
    <t>TA</t>
  </si>
  <si>
    <t>TS</t>
  </si>
  <si>
    <t>SD1260</t>
  </si>
  <si>
    <t>TSVCDVER is null when Reference Terminology is versioned</t>
  </si>
  <si>
    <t>Needs to be updated at later point</t>
  </si>
  <si>
    <t>SD1312</t>
  </si>
  <si>
    <t>TSVAL is missing for the PCLAS Trial Summary Parameter, when STYPE parameter equals 'INTERVENTIONAL'</t>
  </si>
  <si>
    <t>SD2017</t>
  </si>
  <si>
    <t>Missing values for both TSVAL and TSVALNF</t>
  </si>
  <si>
    <t>SD2242</t>
  </si>
  <si>
    <t>Invalid TSVCDREF value for TRT</t>
  </si>
  <si>
    <t>SD2260</t>
  </si>
  <si>
    <t>Invalid TSVAL value for TRT</t>
  </si>
  <si>
    <t>SD2261</t>
  </si>
  <si>
    <t>Invalid TSVALCD value for TRT</t>
  </si>
  <si>
    <t>VS</t>
  </si>
  <si>
    <t>SD1445</t>
  </si>
  <si>
    <t>Multiple VSLOBXFL records for the same test</t>
  </si>
  <si>
    <t>XF</t>
  </si>
  <si>
    <t>Y:\mmathialagan\My SAS Files\VBA Macros\p21 report old.xlsx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</si>
</sst>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11"/>
      <color rgb="FF4F6228"/>
      <name val="Arial"/>
      <family val="2"/>
    </font>
    <font>
      <sz val="11"/>
      <color theme="1"/>
      <name val="Times New Roman"/>
      <family val="1"/>
    </font>
    <font>
      <sz val="16"/>
      <color theme="1"/>
      <name val="Times New Roman"/>
      <family val="1"/>
    </font>
    <font>
      <b/>
      <u/>
      <sz val="16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applyFont="1" applyFill="1" applyAlignment="1">
      <alignment horizontal="right"/>
    </xf>
    <xf numFmtId="0" fontId="0" fillId="3" borderId="0" xfId="0" applyFill="1"/>
    <xf numFmtId="0" fontId="0" fillId="4" borderId="1" xfId="0" applyFill="1" applyBorder="1"/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9525</xdr:rowOff>
        </xdr:from>
        <xdr:to>
          <xdr:col>4</xdr:col>
          <xdr:colOff>590550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Choose Old P21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9</xdr:row>
          <xdr:rowOff>28575</xdr:rowOff>
        </xdr:from>
        <xdr:to>
          <xdr:col>4</xdr:col>
          <xdr:colOff>561975</xdr:colOff>
          <xdr:row>11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Choose New P21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19050</xdr:rowOff>
        </xdr:from>
        <xdr:to>
          <xdr:col>4</xdr:col>
          <xdr:colOff>590550</xdr:colOff>
          <xdr:row>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the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13</xdr:row>
          <xdr:rowOff>19050</xdr:rowOff>
        </xdr:from>
        <xdr:to>
          <xdr:col>4</xdr:col>
          <xdr:colOff>590550</xdr:colOff>
          <xdr:row>15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Copy comments 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6C8A1-302F-4B18-A175-27373F3726BE}">
  <sheetPr codeName="Sheet2"/>
  <dimension ref="B1:B13"/>
  <sheetViews>
    <sheetView workbookViewId="0">
      <selection activeCell="B23" sqref="B23"/>
    </sheetView>
  </sheetViews>
  <sheetFormatPr defaultRowHeight="20.25" x14ac:dyDescent="0.3"/>
  <cols>
    <col min="2" max="2" width="184.85546875" style="8" bestFit="1" customWidth="1"/>
  </cols>
  <sheetData>
    <row r="1" spans="2:2" x14ac:dyDescent="0.25">
      <c r="B1" s="9" t="s">
        <v>15</v>
      </c>
    </row>
    <row r="3" spans="2:2" x14ac:dyDescent="0.3">
      <c r="B3" s="8" t="s">
        <v>16</v>
      </c>
    </row>
    <row r="4" spans="2:2" x14ac:dyDescent="0.3">
      <c r="B4" s="8" t="s">
        <v>18</v>
      </c>
    </row>
    <row r="5" spans="2:2" x14ac:dyDescent="0.3">
      <c r="B5" s="8" t="s">
        <v>19</v>
      </c>
    </row>
    <row r="6" spans="2:2" x14ac:dyDescent="0.3">
      <c r="B6" s="8" t="s">
        <v>20</v>
      </c>
    </row>
    <row r="8" spans="2:2" x14ac:dyDescent="0.3">
      <c r="B8" s="8" t="s">
        <v>17</v>
      </c>
    </row>
    <row r="9" spans="2:2" x14ac:dyDescent="0.3">
      <c r="B9" s="8" t="s">
        <v>21</v>
      </c>
    </row>
    <row r="10" spans="2:2" x14ac:dyDescent="0.3">
      <c r="B10" s="8" t="s">
        <v>22</v>
      </c>
    </row>
    <row r="11" spans="2:2" x14ac:dyDescent="0.3">
      <c r="B11" s="8" t="s">
        <v>23</v>
      </c>
    </row>
    <row r="12" spans="2:2" x14ac:dyDescent="0.3">
      <c r="B12" s="8" t="s">
        <v>24</v>
      </c>
    </row>
    <row r="13" spans="2:2" x14ac:dyDescent="0.3">
      <c r="B13" s="8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D0CF3-6958-4018-924F-72F78932D7F0}">
  <sheetPr codeName="Sheet1"/>
  <dimension ref="B7:I20"/>
  <sheetViews>
    <sheetView tabSelected="1" workbookViewId="0">
      <selection activeCell="G7" sqref="G7"/>
    </sheetView>
  </sheetViews>
  <sheetFormatPr defaultRowHeight="15" x14ac:dyDescent="0.25"/>
  <cols>
    <col min="1" max="6" width="9.140625" style="6"/>
    <col min="7" max="7" width="87.140625" style="6" bestFit="1" customWidth="1"/>
    <col min="8" max="16384" width="9.140625" style="6"/>
  </cols>
  <sheetData>
    <row r="7" spans="7:9" x14ac:dyDescent="0.25">
      <c r="G7" s="6" t="s">
        <v>196</v>
      </c>
    </row>
    <row r="11" spans="7:9" x14ac:dyDescent="0.25">
      <c r="I11" s="6" t="str">
        <f>SUBSTITUTE(G11,".xlsx","_comp.xlsx")</f>
        <v/>
      </c>
    </row>
    <row r="18" spans="2:6" x14ac:dyDescent="0.25">
      <c r="B18" s="10" t="s">
        <v>14</v>
      </c>
      <c r="C18" s="10"/>
      <c r="D18" s="10"/>
      <c r="E18" s="10"/>
      <c r="F18" s="7"/>
    </row>
    <row r="19" spans="2:6" x14ac:dyDescent="0.25">
      <c r="B19" s="10"/>
      <c r="C19" s="10"/>
      <c r="D19" s="10"/>
      <c r="E19" s="10"/>
      <c r="F19" s="7"/>
    </row>
    <row r="20" spans="2:6" x14ac:dyDescent="0.25">
      <c r="B20" s="10"/>
      <c r="C20" s="10"/>
      <c r="D20" s="10"/>
      <c r="E20" s="10"/>
      <c r="F20" s="7"/>
    </row>
  </sheetData>
  <mergeCells count="1">
    <mergeCell ref="B18:E20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Get_Old_report">
                <anchor moveWithCells="1" sizeWithCells="1">
                  <from>
                    <xdr:col>1</xdr:col>
                    <xdr:colOff>19050</xdr:colOff>
                    <xdr:row>5</xdr:row>
                    <xdr:rowOff>9525</xdr:rowOff>
                  </from>
                  <to>
                    <xdr:col>4</xdr:col>
                    <xdr:colOff>590550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Get_new_report">
                <anchor moveWithCells="1" sizeWithCells="1">
                  <from>
                    <xdr:col>1</xdr:col>
                    <xdr:colOff>28575</xdr:colOff>
                    <xdr:row>9</xdr:row>
                    <xdr:rowOff>28575</xdr:rowOff>
                  </from>
                  <to>
                    <xdr:col>4</xdr:col>
                    <xdr:colOff>561975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Refresh_sheets">
                <anchor moveWithCells="1" sizeWithCells="1">
                  <from>
                    <xdr:col>1</xdr:col>
                    <xdr:colOff>38100</xdr:colOff>
                    <xdr:row>1</xdr:row>
                    <xdr:rowOff>19050</xdr:rowOff>
                  </from>
                  <to>
                    <xdr:col>4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eet1.copy_comments">
                <anchor moveWithCells="1" sizeWithCells="1">
                  <from>
                    <xdr:col>1</xdr:col>
                    <xdr:colOff>57150</xdr:colOff>
                    <xdr:row>13</xdr:row>
                    <xdr:rowOff>19050</xdr:rowOff>
                  </from>
                  <to>
                    <xdr:col>4</xdr:col>
                    <xdr:colOff>590550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4723E-6AFD-4896-BE2B-BEEBC0F3DB54}">
  <sheetPr codeName="Sheet3"/>
  <dimension ref="A1:L1357"/>
  <sheetViews>
    <sheetView workbookViewId="0">
      <selection activeCell="F2" sqref="F2:M9997"/>
    </sheetView>
  </sheetViews>
  <sheetFormatPr defaultRowHeight="15" x14ac:dyDescent="0.25"/>
  <cols>
    <col min="1" max="3" width="9.140625" style="1"/>
    <col min="4" max="4" width="13.5703125" style="1" bestFit="1" customWidth="1"/>
    <col min="5" max="5" width="100.42578125" style="1" bestFit="1" customWidth="1"/>
    <col min="10" max="10" width="10.42578125" bestFit="1" customWidth="1"/>
    <col min="12" max="12" width="11.42578125" bestFit="1" customWidth="1"/>
  </cols>
  <sheetData>
    <row r="1" spans="1:12" x14ac:dyDescent="0.25">
      <c r="A1" s="1" t="s">
        <v>6</v>
      </c>
      <c r="B1" s="1" t="s">
        <v>7</v>
      </c>
      <c r="C1" s="1" t="s">
        <v>10</v>
      </c>
      <c r="D1" s="1" t="s">
        <v>9</v>
      </c>
      <c r="E1" s="1" t="s">
        <v>8</v>
      </c>
      <c r="F1" s="2" t="s">
        <v>0</v>
      </c>
      <c r="G1" s="2" t="s">
        <v>1</v>
      </c>
      <c r="H1" s="2" t="s">
        <v>2</v>
      </c>
      <c r="I1" s="2" t="s">
        <v>3</v>
      </c>
      <c r="J1" s="3" t="s">
        <v>11</v>
      </c>
      <c r="L1" s="2" t="s">
        <v>5</v>
      </c>
    </row>
    <row r="2" spans="1:12" x14ac:dyDescent="0.25">
      <c r="A2" s="1">
        <v>1</v>
      </c>
      <c r="B2" s="1" t="str">
        <f>IF(F3&lt;&gt;"",F3,F2)</f>
        <v>GLOBAL</v>
      </c>
      <c r="C2" s="1">
        <f t="shared" ref="C2:C65" si="0">IF(F2&lt;&gt;"",A2,"")</f>
        <v>1</v>
      </c>
      <c r="D2" s="1" t="str">
        <f>IFERROR(IF(F2&lt;&gt;"",F2,VLOOKUP(MAX(C$2:C2),A$2:F2,2,FALSE)),"")</f>
        <v>GLOBAL</v>
      </c>
      <c r="E2" s="1" t="str">
        <f>IF(H2&lt;&gt;"",CONCATENATE(D2,".",H2),"")</f>
        <v/>
      </c>
      <c r="F2" t="s">
        <v>26</v>
      </c>
    </row>
    <row r="3" spans="1:12" x14ac:dyDescent="0.25">
      <c r="A3" s="1">
        <v>2</v>
      </c>
      <c r="B3" s="1" t="str">
        <f>IFERROR(IF(F3&lt;&gt;"",F3,VLOOKUP(MAX(F$2:F3),A$1:B2,2,FALSE)),"")</f>
        <v/>
      </c>
      <c r="C3" s="1" t="str">
        <f t="shared" si="0"/>
        <v/>
      </c>
      <c r="D3" s="1" t="str">
        <f>IFERROR(IF(F3&lt;&gt;"",F3,VLOOKUP(MAX(C$2:C3),A$2:F3,2,FALSE)),"")</f>
        <v>GLOBAL</v>
      </c>
      <c r="E3" s="1" t="str">
        <f>IF(H3&lt;&gt;"",CONCATENATE(D3,".",H3),"")</f>
        <v>GLOBAL.Missing define.xml file</v>
      </c>
      <c r="G3" t="s">
        <v>27</v>
      </c>
      <c r="H3" t="s">
        <v>28</v>
      </c>
      <c r="I3" t="s">
        <v>29</v>
      </c>
      <c r="J3">
        <v>1</v>
      </c>
      <c r="L3" t="s">
        <v>30</v>
      </c>
    </row>
    <row r="4" spans="1:12" x14ac:dyDescent="0.25">
      <c r="A4" s="1">
        <v>3</v>
      </c>
      <c r="B4" s="1" t="str">
        <f>IFERROR(IF(F4&lt;&gt;"",F4,VLOOKUP(MAX(F$2:F4),A$1:B3,2,FALSE)),"")</f>
        <v/>
      </c>
      <c r="C4" s="1" t="str">
        <f t="shared" si="0"/>
        <v/>
      </c>
      <c r="D4" s="1" t="str">
        <f>IFERROR(IF(F4&lt;&gt;"",F4,VLOOKUP(MAX(C$2:C4),A$2:F4,2,FALSE)),"")</f>
        <v>GLOBAL</v>
      </c>
      <c r="E4" s="1" t="str">
        <f t="shared" ref="E4:E67" si="1">IF(H4&lt;&gt;"",CONCATENATE(D4,".",H4),"")</f>
        <v>GLOBAL.Missing LB dataset</v>
      </c>
      <c r="G4" t="s">
        <v>31</v>
      </c>
      <c r="H4" t="s">
        <v>32</v>
      </c>
      <c r="I4" t="s">
        <v>33</v>
      </c>
      <c r="J4">
        <v>1</v>
      </c>
      <c r="L4" t="s">
        <v>34</v>
      </c>
    </row>
    <row r="5" spans="1:12" x14ac:dyDescent="0.25">
      <c r="A5" s="1">
        <v>4</v>
      </c>
      <c r="B5" s="1" t="str">
        <f>IFERROR(IF(F5&lt;&gt;"",F5,VLOOKUP(MAX(F$2:F5),A$1:B4,2,FALSE)),"")</f>
        <v>AE</v>
      </c>
      <c r="C5" s="1">
        <f t="shared" si="0"/>
        <v>4</v>
      </c>
      <c r="D5" s="1" t="str">
        <f>IFERROR(IF(F5&lt;&gt;"",F5,VLOOKUP(MAX(C$2:C5),A$2:F5,2,FALSE)),"")</f>
        <v>AE</v>
      </c>
      <c r="E5" s="1" t="str">
        <f t="shared" si="1"/>
        <v/>
      </c>
      <c r="F5" t="s">
        <v>35</v>
      </c>
    </row>
    <row r="6" spans="1:12" x14ac:dyDescent="0.25">
      <c r="A6" s="1">
        <v>5</v>
      </c>
      <c r="B6" s="1" t="str">
        <f>IFERROR(IF(F6&lt;&gt;"",F6,VLOOKUP(MAX(F$2:F6),A$1:B5,2,FALSE)),"")</f>
        <v/>
      </c>
      <c r="C6" s="1" t="str">
        <f t="shared" si="0"/>
        <v/>
      </c>
      <c r="D6" s="1" t="str">
        <f>IFERROR(IF(F6&lt;&gt;"",F6,VLOOKUP(MAX(C$2:C6),A$2:F6,2,FALSE)),"")</f>
        <v>AE</v>
      </c>
      <c r="E6" s="1" t="str">
        <f t="shared" si="1"/>
        <v>AE.AEACN value not found in 'Action Taken with Study Treatment' non-extensible codelist</v>
      </c>
      <c r="G6" t="s">
        <v>36</v>
      </c>
      <c r="H6" t="s">
        <v>37</v>
      </c>
      <c r="I6" t="s">
        <v>33</v>
      </c>
      <c r="J6">
        <v>344</v>
      </c>
      <c r="L6" t="s">
        <v>38</v>
      </c>
    </row>
    <row r="7" spans="1:12" x14ac:dyDescent="0.25">
      <c r="A7" s="1">
        <v>6</v>
      </c>
      <c r="B7" s="1" t="str">
        <f>IFERROR(IF(F7&lt;&gt;"",F7,VLOOKUP(MAX(F$2:F7),A$1:B6,2,FALSE)),"")</f>
        <v/>
      </c>
      <c r="C7" s="1" t="str">
        <f t="shared" si="0"/>
        <v/>
      </c>
      <c r="D7" s="1" t="str">
        <f>IFERROR(IF(F7&lt;&gt;"",F7,VLOOKUP(MAX(C$2:C7),A$2:F7,2,FALSE)),"")</f>
        <v>AE</v>
      </c>
      <c r="E7" s="1" t="str">
        <f t="shared" si="1"/>
        <v>AE.EPOCH value not found in 'Epoch' extensible codelist</v>
      </c>
      <c r="G7" t="s">
        <v>39</v>
      </c>
      <c r="H7" t="s">
        <v>40</v>
      </c>
      <c r="I7" t="s">
        <v>33</v>
      </c>
      <c r="J7">
        <v>446</v>
      </c>
      <c r="L7" t="s">
        <v>38</v>
      </c>
    </row>
    <row r="8" spans="1:12" x14ac:dyDescent="0.25">
      <c r="A8" s="1">
        <v>7</v>
      </c>
      <c r="B8" s="1" t="str">
        <f>IFERROR(IF(F8&lt;&gt;"",F8,VLOOKUP(MAX(F$2:F8),A$1:B7,2,FALSE)),"")</f>
        <v/>
      </c>
      <c r="C8" s="1" t="str">
        <f t="shared" si="0"/>
        <v/>
      </c>
      <c r="D8" s="1" t="str">
        <f>IFERROR(IF(F8&lt;&gt;"",F8,VLOOKUP(MAX(C$2:C8),A$2:F8,2,FALSE)),"")</f>
        <v>AE</v>
      </c>
      <c r="E8" s="1" t="str">
        <f t="shared" si="1"/>
        <v>AE.NULL value in AEDECOD variable marked as Required</v>
      </c>
      <c r="G8" t="s">
        <v>41</v>
      </c>
      <c r="H8" t="s">
        <v>42</v>
      </c>
      <c r="I8" t="s">
        <v>33</v>
      </c>
      <c r="J8">
        <v>9</v>
      </c>
      <c r="L8" t="s">
        <v>43</v>
      </c>
    </row>
    <row r="9" spans="1:12" x14ac:dyDescent="0.25">
      <c r="A9" s="1">
        <v>8</v>
      </c>
      <c r="B9" s="1" t="str">
        <f>IFERROR(IF(F9&lt;&gt;"",F9,VLOOKUP(MAX(F$2:F9),A$1:B8,2,FALSE)),"")</f>
        <v/>
      </c>
      <c r="C9" s="1" t="str">
        <f t="shared" si="0"/>
        <v/>
      </c>
      <c r="D9" s="1" t="str">
        <f>IFERROR(IF(F9&lt;&gt;"",F9,VLOOKUP(MAX(C$2:C9),A$2:F9,2,FALSE)),"")</f>
        <v>AE</v>
      </c>
      <c r="E9" s="1" t="str">
        <f t="shared" si="1"/>
        <v>AE.Missing Start Time-Point value</v>
      </c>
      <c r="G9" t="s">
        <v>44</v>
      </c>
      <c r="H9" t="s">
        <v>45</v>
      </c>
      <c r="I9" t="s">
        <v>33</v>
      </c>
      <c r="J9">
        <v>1</v>
      </c>
      <c r="L9" t="s">
        <v>46</v>
      </c>
    </row>
    <row r="10" spans="1:12" x14ac:dyDescent="0.25">
      <c r="A10" s="1">
        <v>9</v>
      </c>
      <c r="B10" s="1" t="str">
        <f>IFERROR(IF(F10&lt;&gt;"",F10,VLOOKUP(MAX(F$2:F10),A$1:B9,2,FALSE)),"")</f>
        <v/>
      </c>
      <c r="C10" s="1" t="str">
        <f t="shared" si="0"/>
        <v/>
      </c>
      <c r="D10" s="1" t="str">
        <f>IFERROR(IF(F10&lt;&gt;"",F10,VLOOKUP(MAX(C$2:C10),A$2:F10,2,FALSE)),"")</f>
        <v>AE</v>
      </c>
      <c r="E10" s="1" t="str">
        <f t="shared" si="1"/>
        <v>AE.Missing values for AESTDTC, AESTRF and AESTRTPT, when AEENDTC, AEENRF or AEENRTPT is provided</v>
      </c>
      <c r="G10" t="s">
        <v>47</v>
      </c>
      <c r="H10" t="s">
        <v>48</v>
      </c>
      <c r="I10" t="s">
        <v>33</v>
      </c>
      <c r="J10">
        <v>1</v>
      </c>
      <c r="L10" t="s">
        <v>46</v>
      </c>
    </row>
    <row r="11" spans="1:12" x14ac:dyDescent="0.25">
      <c r="A11" s="1">
        <v>10</v>
      </c>
      <c r="B11" s="1" t="str">
        <f>IFERROR(IF(F11&lt;&gt;"",F11,VLOOKUP(MAX(F$2:F11),A$1:B10,2,FALSE)),"")</f>
        <v/>
      </c>
      <c r="C11" s="1" t="str">
        <f t="shared" si="0"/>
        <v/>
      </c>
      <c r="D11" s="1" t="str">
        <f>IFERROR(IF(F11&lt;&gt;"",F11,VLOOKUP(MAX(C$2:C11),A$2:F11,2,FALSE)),"")</f>
        <v>AE</v>
      </c>
      <c r="E11" s="1" t="str">
        <f t="shared" si="1"/>
        <v>AE.AE start date is after the latest Disposition date</v>
      </c>
      <c r="G11" t="s">
        <v>49</v>
      </c>
      <c r="H11" t="s">
        <v>50</v>
      </c>
      <c r="I11" t="s">
        <v>33</v>
      </c>
      <c r="J11">
        <v>3</v>
      </c>
      <c r="L11" t="s">
        <v>51</v>
      </c>
    </row>
    <row r="12" spans="1:12" x14ac:dyDescent="0.25">
      <c r="A12" s="1">
        <v>11</v>
      </c>
      <c r="B12" s="1" t="str">
        <f>IFERROR(IF(F12&lt;&gt;"",F12,VLOOKUP(MAX(F$2:F12),A$1:B11,2,FALSE)),"")</f>
        <v/>
      </c>
      <c r="C12" s="1" t="str">
        <f t="shared" si="0"/>
        <v/>
      </c>
      <c r="D12" s="1" t="str">
        <f>IFERROR(IF(F12&lt;&gt;"",F12,VLOOKUP(MAX(C$2:C12),A$2:F12,2,FALSE)),"")</f>
        <v>AE</v>
      </c>
      <c r="E12" s="1" t="str">
        <f t="shared" si="1"/>
        <v>AE.Value for AEENRF is populated, when RFENDTC is NULL</v>
      </c>
      <c r="G12" t="s">
        <v>52</v>
      </c>
      <c r="H12" t="s">
        <v>53</v>
      </c>
      <c r="I12" t="s">
        <v>33</v>
      </c>
      <c r="J12">
        <v>7</v>
      </c>
      <c r="L12" t="s">
        <v>46</v>
      </c>
    </row>
    <row r="13" spans="1:12" x14ac:dyDescent="0.25">
      <c r="A13" s="1">
        <v>12</v>
      </c>
      <c r="B13" s="1" t="str">
        <f>IFERROR(IF(F13&lt;&gt;"",F13,VLOOKUP(MAX(F$2:F13),A$1:B12,2,FALSE)),"")</f>
        <v/>
      </c>
      <c r="C13" s="1" t="str">
        <f t="shared" si="0"/>
        <v/>
      </c>
      <c r="D13" s="1" t="str">
        <f>IFERROR(IF(F13&lt;&gt;"",F13,VLOOKUP(MAX(C$2:C13),A$2:F13,2,FALSE)),"")</f>
        <v>AE</v>
      </c>
      <c r="E13" s="1" t="str">
        <f t="shared" si="1"/>
        <v>AE.Permissible variable with missing value for all records</v>
      </c>
      <c r="G13" t="s">
        <v>54</v>
      </c>
      <c r="H13" t="s">
        <v>55</v>
      </c>
      <c r="I13" t="s">
        <v>33</v>
      </c>
      <c r="J13">
        <v>1</v>
      </c>
      <c r="L13" t="s">
        <v>56</v>
      </c>
    </row>
    <row r="14" spans="1:12" x14ac:dyDescent="0.25">
      <c r="A14" s="1">
        <v>13</v>
      </c>
      <c r="B14" s="1" t="str">
        <f>IFERROR(IF(F14&lt;&gt;"",F14,VLOOKUP(MAX(F$2:F14),A$1:B13,2,FALSE)),"")</f>
        <v/>
      </c>
      <c r="C14" s="1" t="str">
        <f t="shared" si="0"/>
        <v/>
      </c>
      <c r="D14" s="1" t="str">
        <f>IFERROR(IF(F14&lt;&gt;"",F14,VLOOKUP(MAX(C$2:C14),A$2:F14,2,FALSE)),"")</f>
        <v>AE</v>
      </c>
      <c r="E14" s="1" t="str">
        <f t="shared" si="1"/>
        <v>AE.No Treatment Emergent info for Adverse Event</v>
      </c>
      <c r="G14" t="s">
        <v>57</v>
      </c>
      <c r="H14" t="s">
        <v>58</v>
      </c>
      <c r="I14" t="s">
        <v>33</v>
      </c>
      <c r="J14">
        <v>448</v>
      </c>
      <c r="L14" t="s">
        <v>59</v>
      </c>
    </row>
    <row r="15" spans="1:12" x14ac:dyDescent="0.25">
      <c r="A15" s="1">
        <v>14</v>
      </c>
      <c r="B15" s="1" t="str">
        <f>IFERROR(IF(F15&lt;&gt;"",F15,VLOOKUP(MAX(F$2:F15),A$1:B14,2,FALSE)),"")</f>
        <v/>
      </c>
      <c r="C15" s="1" t="str">
        <f t="shared" si="0"/>
        <v/>
      </c>
      <c r="D15" s="1" t="str">
        <f>IFERROR(IF(F15&lt;&gt;"",F15,VLOOKUP(MAX(C$2:C15),A$2:F15,2,FALSE)),"")</f>
        <v>AE</v>
      </c>
      <c r="E15" s="1" t="str">
        <f t="shared" si="1"/>
        <v>AE.No Details info for AESMIE Adverse Event in SUPPAE domain</v>
      </c>
      <c r="G15" t="s">
        <v>60</v>
      </c>
      <c r="H15" t="s">
        <v>61</v>
      </c>
      <c r="I15" t="s">
        <v>33</v>
      </c>
      <c r="J15">
        <v>3</v>
      </c>
      <c r="L15" t="s">
        <v>46</v>
      </c>
    </row>
    <row r="16" spans="1:12" x14ac:dyDescent="0.25">
      <c r="A16" s="1">
        <v>15</v>
      </c>
      <c r="B16" s="1" t="str">
        <f>IFERROR(IF(F16&lt;&gt;"",F16,VLOOKUP(MAX(F$2:F16),A$1:B15,2,FALSE)),"")</f>
        <v/>
      </c>
      <c r="C16" s="1" t="str">
        <f t="shared" si="0"/>
        <v/>
      </c>
      <c r="D16" s="1" t="str">
        <f>IFERROR(IF(F16&lt;&gt;"",F16,VLOOKUP(MAX(C$2:C16),A$2:F16,2,FALSE)),"")</f>
        <v>AE</v>
      </c>
      <c r="E16" s="1" t="str">
        <f t="shared" si="1"/>
        <v>AE.AEENDTC date is after RFPENDTC</v>
      </c>
      <c r="G16" t="s">
        <v>62</v>
      </c>
      <c r="H16" t="s">
        <v>63</v>
      </c>
      <c r="I16" t="s">
        <v>33</v>
      </c>
      <c r="J16">
        <v>56</v>
      </c>
      <c r="L16" t="s">
        <v>64</v>
      </c>
    </row>
    <row r="17" spans="1:12" x14ac:dyDescent="0.25">
      <c r="A17" s="1">
        <v>16</v>
      </c>
      <c r="B17" s="1" t="str">
        <f>IFERROR(IF(F17&lt;&gt;"",F17,VLOOKUP(MAX(F$2:F17),A$1:B16,2,FALSE)),"")</f>
        <v/>
      </c>
      <c r="C17" s="1" t="str">
        <f t="shared" si="0"/>
        <v/>
      </c>
      <c r="D17" s="1" t="str">
        <f>IFERROR(IF(F17&lt;&gt;"",F17,VLOOKUP(MAX(C$2:C17),A$2:F17,2,FALSE)),"")</f>
        <v>AE</v>
      </c>
      <c r="E17" s="1" t="str">
        <f t="shared" si="1"/>
        <v>AE.Missing EPOCH value, when a start or observation date is provided</v>
      </c>
      <c r="G17" t="s">
        <v>65</v>
      </c>
      <c r="H17" t="s">
        <v>66</v>
      </c>
      <c r="I17" t="s">
        <v>33</v>
      </c>
      <c r="J17">
        <v>1</v>
      </c>
      <c r="L17" t="s">
        <v>67</v>
      </c>
    </row>
    <row r="18" spans="1:12" x14ac:dyDescent="0.25">
      <c r="A18" s="1">
        <v>17</v>
      </c>
      <c r="B18" s="1" t="str">
        <f>IFERROR(IF(F18&lt;&gt;"",F18,VLOOKUP(MAX(F$2:F18),A$1:B17,2,FALSE)),"")</f>
        <v/>
      </c>
      <c r="C18" s="1" t="str">
        <f t="shared" si="0"/>
        <v/>
      </c>
      <c r="D18" s="1" t="str">
        <f>IFERROR(IF(F18&lt;&gt;"",F18,VLOOKUP(MAX(C$2:C18),A$2:F18,2,FALSE)),"")</f>
        <v>AE</v>
      </c>
      <c r="E18" s="1" t="str">
        <f t="shared" si="1"/>
        <v>AE.Missing values for one or more variables subject to MedDRA: AELLT, AELLTCD, AEDECOD, AEPTCD, AEHLT, AEHLTCD, AEHLGT, AEHLGTCD, AEBODSYS, AEBDSYCD, AESOC, AESOCCD</v>
      </c>
      <c r="G18" t="s">
        <v>68</v>
      </c>
      <c r="H18" t="s">
        <v>69</v>
      </c>
      <c r="I18" t="s">
        <v>33</v>
      </c>
      <c r="J18">
        <v>9</v>
      </c>
      <c r="L18" t="s">
        <v>43</v>
      </c>
    </row>
    <row r="19" spans="1:12" x14ac:dyDescent="0.25">
      <c r="A19" s="1">
        <v>18</v>
      </c>
      <c r="B19" s="1" t="str">
        <f>IFERROR(IF(F19&lt;&gt;"",F19,VLOOKUP(MAX(F$2:F19),A$1:B18,2,FALSE)),"")</f>
        <v>CM</v>
      </c>
      <c r="C19" s="1">
        <f t="shared" si="0"/>
        <v>18</v>
      </c>
      <c r="D19" s="1" t="str">
        <f>IFERROR(IF(F19&lt;&gt;"",F19,VLOOKUP(MAX(C$2:C19),A$2:F19,2,FALSE)),"")</f>
        <v>CM</v>
      </c>
      <c r="E19" s="1" t="str">
        <f t="shared" si="1"/>
        <v/>
      </c>
      <c r="F19" t="s">
        <v>70</v>
      </c>
    </row>
    <row r="20" spans="1:12" x14ac:dyDescent="0.25">
      <c r="A20" s="1">
        <v>19</v>
      </c>
      <c r="B20" s="1" t="str">
        <f>IFERROR(IF(F20&lt;&gt;"",F20,VLOOKUP(MAX(F$2:F20),A$1:B19,2,FALSE)),"")</f>
        <v/>
      </c>
      <c r="C20" s="1" t="str">
        <f t="shared" si="0"/>
        <v/>
      </c>
      <c r="D20" s="1" t="str">
        <f>IFERROR(IF(F20&lt;&gt;"",F20,VLOOKUP(MAX(C$2:C20),A$2:F20,2,FALSE)),"")</f>
        <v>CM</v>
      </c>
      <c r="E20" s="1" t="str">
        <f t="shared" si="1"/>
        <v>CM.CMDOSFRQ value not found in 'Frequency' extensible codelist</v>
      </c>
      <c r="G20" t="s">
        <v>39</v>
      </c>
      <c r="H20" t="s">
        <v>71</v>
      </c>
      <c r="I20" t="s">
        <v>33</v>
      </c>
      <c r="J20">
        <v>39</v>
      </c>
      <c r="L20" t="s">
        <v>38</v>
      </c>
    </row>
    <row r="21" spans="1:12" x14ac:dyDescent="0.25">
      <c r="A21" s="1">
        <v>20</v>
      </c>
      <c r="B21" s="1" t="str">
        <f>IFERROR(IF(F21&lt;&gt;"",F21,VLOOKUP(MAX(F$2:F21),A$1:B20,2,FALSE)),"")</f>
        <v/>
      </c>
      <c r="C21" s="1" t="str">
        <f t="shared" si="0"/>
        <v/>
      </c>
      <c r="D21" s="1" t="str">
        <f>IFERROR(IF(F21&lt;&gt;"",F21,VLOOKUP(MAX(C$2:C21),A$2:F21,2,FALSE)),"")</f>
        <v>CM</v>
      </c>
      <c r="E21" s="1" t="str">
        <f t="shared" si="1"/>
        <v>CM.CMDOSU value not found in 'Unit' extensible codelist</v>
      </c>
      <c r="G21" t="s">
        <v>39</v>
      </c>
      <c r="H21" t="s">
        <v>72</v>
      </c>
      <c r="I21" t="s">
        <v>33</v>
      </c>
      <c r="J21">
        <v>45</v>
      </c>
      <c r="L21" t="s">
        <v>38</v>
      </c>
    </row>
    <row r="22" spans="1:12" x14ac:dyDescent="0.25">
      <c r="A22" s="1">
        <v>21</v>
      </c>
      <c r="B22" s="1" t="str">
        <f>IFERROR(IF(F22&lt;&gt;"",F22,VLOOKUP(MAX(F$2:F22),A$1:B21,2,FALSE)),"")</f>
        <v/>
      </c>
      <c r="C22" s="1" t="str">
        <f t="shared" si="0"/>
        <v/>
      </c>
      <c r="D22" s="1" t="str">
        <f>IFERROR(IF(F22&lt;&gt;"",F22,VLOOKUP(MAX(C$2:C22),A$2:F22,2,FALSE)),"")</f>
        <v>CM</v>
      </c>
      <c r="E22" s="1" t="str">
        <f t="shared" si="1"/>
        <v>CM.CMROUTE value not found in 'Route of Administration Response' extensible codelist</v>
      </c>
      <c r="G22" t="s">
        <v>39</v>
      </c>
      <c r="H22" t="s">
        <v>73</v>
      </c>
      <c r="I22" t="s">
        <v>33</v>
      </c>
      <c r="J22">
        <v>8</v>
      </c>
      <c r="L22" t="s">
        <v>38</v>
      </c>
    </row>
    <row r="23" spans="1:12" x14ac:dyDescent="0.25">
      <c r="A23" s="1">
        <v>22</v>
      </c>
      <c r="B23" s="1" t="str">
        <f>IFERROR(IF(F23&lt;&gt;"",F23,VLOOKUP(MAX(F$2:F23),A$1:B22,2,FALSE)),"")</f>
        <v/>
      </c>
      <c r="C23" s="1" t="str">
        <f t="shared" si="0"/>
        <v/>
      </c>
      <c r="D23" s="1" t="str">
        <f>IFERROR(IF(F23&lt;&gt;"",F23,VLOOKUP(MAX(C$2:C23),A$2:F23,2,FALSE)),"")</f>
        <v>CM</v>
      </c>
      <c r="E23" s="1" t="str">
        <f t="shared" si="1"/>
        <v>CM.EPOCH value not found in 'Epoch' extensible codelist</v>
      </c>
      <c r="G23" t="s">
        <v>39</v>
      </c>
      <c r="H23" t="s">
        <v>40</v>
      </c>
      <c r="I23" t="s">
        <v>33</v>
      </c>
      <c r="J23">
        <v>734</v>
      </c>
      <c r="L23" t="s">
        <v>38</v>
      </c>
    </row>
    <row r="24" spans="1:12" x14ac:dyDescent="0.25">
      <c r="A24" s="1">
        <v>23</v>
      </c>
      <c r="B24" s="1" t="str">
        <f>IFERROR(IF(F24&lt;&gt;"",F24,VLOOKUP(MAX(F$2:F24),A$1:B23,2,FALSE)),"")</f>
        <v/>
      </c>
      <c r="C24" s="1" t="str">
        <f t="shared" si="0"/>
        <v/>
      </c>
      <c r="D24" s="1" t="str">
        <f>IFERROR(IF(F24&lt;&gt;"",F24,VLOOKUP(MAX(C$2:C24),A$2:F24,2,FALSE)),"")</f>
        <v>CM</v>
      </c>
      <c r="E24" s="1" t="str">
        <f t="shared" si="1"/>
        <v>CM.Missing End Time-Point value</v>
      </c>
      <c r="G24" t="s">
        <v>74</v>
      </c>
      <c r="H24" t="s">
        <v>75</v>
      </c>
      <c r="I24" t="s">
        <v>33</v>
      </c>
      <c r="J24">
        <v>8</v>
      </c>
      <c r="L24" t="s">
        <v>46</v>
      </c>
    </row>
    <row r="25" spans="1:12" x14ac:dyDescent="0.25">
      <c r="A25" s="1">
        <v>24</v>
      </c>
      <c r="B25" s="1" t="str">
        <f>IFERROR(IF(F25&lt;&gt;"",F25,VLOOKUP(MAX(F$2:F25),A$1:B24,2,FALSE)),"")</f>
        <v/>
      </c>
      <c r="C25" s="1" t="str">
        <f t="shared" si="0"/>
        <v/>
      </c>
      <c r="D25" s="1" t="str">
        <f>IFERROR(IF(F25&lt;&gt;"",F25,VLOOKUP(MAX(C$2:C25),A$2:F25,2,FALSE)),"")</f>
        <v>CM</v>
      </c>
      <c r="E25" s="1" t="str">
        <f t="shared" si="1"/>
        <v>CM.Missing Start Time-Point value</v>
      </c>
      <c r="G25" t="s">
        <v>44</v>
      </c>
      <c r="H25" t="s">
        <v>45</v>
      </c>
      <c r="I25" t="s">
        <v>33</v>
      </c>
      <c r="J25">
        <v>7</v>
      </c>
      <c r="L25" t="s">
        <v>46</v>
      </c>
    </row>
    <row r="26" spans="1:12" x14ac:dyDescent="0.25">
      <c r="A26" s="1">
        <v>25</v>
      </c>
      <c r="B26" s="1" t="str">
        <f>IFERROR(IF(F26&lt;&gt;"",F26,VLOOKUP(MAX(F$2:F26),A$1:B25,2,FALSE)),"")</f>
        <v/>
      </c>
      <c r="C26" s="1" t="str">
        <f t="shared" si="0"/>
        <v/>
      </c>
      <c r="D26" s="1" t="str">
        <f>IFERROR(IF(F26&lt;&gt;"",F26,VLOOKUP(MAX(C$2:C26),A$2:F26,2,FALSE)),"")</f>
        <v>CM</v>
      </c>
      <c r="E26" s="1" t="str">
        <f t="shared" si="1"/>
        <v>CM.Missing value for CMDOSU, when CMDOSE, CMDOSTXT or CMDOSTOT is provided</v>
      </c>
      <c r="G26" t="s">
        <v>76</v>
      </c>
      <c r="H26" t="s">
        <v>77</v>
      </c>
      <c r="I26" t="s">
        <v>33</v>
      </c>
      <c r="J26">
        <v>1</v>
      </c>
      <c r="L26" t="s">
        <v>46</v>
      </c>
    </row>
    <row r="27" spans="1:12" x14ac:dyDescent="0.25">
      <c r="A27" s="1">
        <v>26</v>
      </c>
      <c r="B27" s="1" t="str">
        <f>IFERROR(IF(F27&lt;&gt;"",F27,VLOOKUP(MAX(F$2:F27),A$1:B26,2,FALSE)),"")</f>
        <v/>
      </c>
      <c r="C27" s="1" t="str">
        <f t="shared" si="0"/>
        <v/>
      </c>
      <c r="D27" s="1" t="str">
        <f>IFERROR(IF(F27&lt;&gt;"",F27,VLOOKUP(MAX(C$2:C27),A$2:F27,2,FALSE)),"")</f>
        <v>CM</v>
      </c>
      <c r="E27" s="1" t="str">
        <f t="shared" si="1"/>
        <v>CM.Value for CMENRF is populated, when RFENDTC is NULL</v>
      </c>
      <c r="G27" t="s">
        <v>52</v>
      </c>
      <c r="H27" t="s">
        <v>78</v>
      </c>
      <c r="I27" t="s">
        <v>33</v>
      </c>
      <c r="J27">
        <v>3</v>
      </c>
      <c r="L27" t="s">
        <v>46</v>
      </c>
    </row>
    <row r="28" spans="1:12" x14ac:dyDescent="0.25">
      <c r="A28" s="1">
        <v>27</v>
      </c>
      <c r="B28" s="1" t="str">
        <f>IFERROR(IF(F28&lt;&gt;"",F28,VLOOKUP(MAX(F$2:F28),A$1:B27,2,FALSE)),"")</f>
        <v/>
      </c>
      <c r="C28" s="1" t="str">
        <f t="shared" si="0"/>
        <v/>
      </c>
      <c r="D28" s="1" t="str">
        <f>IFERROR(IF(F28&lt;&gt;"",F28,VLOOKUP(MAX(C$2:C28),A$2:F28,2,FALSE)),"")</f>
        <v>CM</v>
      </c>
      <c r="E28" s="1" t="str">
        <f t="shared" si="1"/>
        <v>CM.CMSTDTC date is after RFPENDTC</v>
      </c>
      <c r="G28" t="s">
        <v>79</v>
      </c>
      <c r="H28" t="s">
        <v>80</v>
      </c>
      <c r="I28" t="s">
        <v>33</v>
      </c>
      <c r="J28">
        <v>43</v>
      </c>
      <c r="L28" t="s">
        <v>81</v>
      </c>
    </row>
    <row r="29" spans="1:12" x14ac:dyDescent="0.25">
      <c r="A29" s="1">
        <v>28</v>
      </c>
      <c r="B29" s="1" t="str">
        <f>IFERROR(IF(F29&lt;&gt;"",F29,VLOOKUP(MAX(F$2:F29),A$1:B28,2,FALSE)),"")</f>
        <v/>
      </c>
      <c r="C29" s="1" t="str">
        <f t="shared" si="0"/>
        <v/>
      </c>
      <c r="D29" s="1" t="str">
        <f>IFERROR(IF(F29&lt;&gt;"",F29,VLOOKUP(MAX(C$2:C29),A$2:F29,2,FALSE)),"")</f>
        <v>CM</v>
      </c>
      <c r="E29" s="1" t="str">
        <f t="shared" si="1"/>
        <v>CM.CMENDTC date is after RFPENDTC</v>
      </c>
      <c r="G29" t="s">
        <v>62</v>
      </c>
      <c r="H29" t="s">
        <v>82</v>
      </c>
      <c r="I29" t="s">
        <v>33</v>
      </c>
      <c r="J29">
        <v>52</v>
      </c>
      <c r="L29" t="s">
        <v>81</v>
      </c>
    </row>
    <row r="30" spans="1:12" x14ac:dyDescent="0.25">
      <c r="A30" s="1">
        <v>29</v>
      </c>
      <c r="B30" s="1" t="str">
        <f>IFERROR(IF(F30&lt;&gt;"",F30,VLOOKUP(MAX(F$2:F30),A$1:B29,2,FALSE)),"")</f>
        <v/>
      </c>
      <c r="C30" s="1" t="str">
        <f t="shared" si="0"/>
        <v/>
      </c>
      <c r="D30" s="1" t="str">
        <f>IFERROR(IF(F30&lt;&gt;"",F30,VLOOKUP(MAX(C$2:C30),A$2:F30,2,FALSE)),"")</f>
        <v>CM</v>
      </c>
      <c r="E30" s="1" t="str">
        <f t="shared" si="1"/>
        <v>CM.Missing EPOCH value, when a start or observation date is provided</v>
      </c>
      <c r="G30" t="s">
        <v>65</v>
      </c>
      <c r="H30" t="s">
        <v>66</v>
      </c>
      <c r="I30" t="s">
        <v>33</v>
      </c>
      <c r="J30">
        <v>114</v>
      </c>
      <c r="L30" t="s">
        <v>67</v>
      </c>
    </row>
    <row r="31" spans="1:12" x14ac:dyDescent="0.25">
      <c r="A31" s="1">
        <v>30</v>
      </c>
      <c r="B31" s="1" t="str">
        <f>IFERROR(IF(F31&lt;&gt;"",F31,VLOOKUP(MAX(F$2:F31),A$1:B30,2,FALSE)),"")</f>
        <v>CO</v>
      </c>
      <c r="C31" s="1">
        <f t="shared" si="0"/>
        <v>30</v>
      </c>
      <c r="D31" s="1" t="str">
        <f>IFERROR(IF(F31&lt;&gt;"",F31,VLOOKUP(MAX(C$2:C31),A$2:F31,2,FALSE)),"")</f>
        <v>CO</v>
      </c>
      <c r="E31" s="1" t="str">
        <f t="shared" si="1"/>
        <v/>
      </c>
      <c r="F31" t="s">
        <v>83</v>
      </c>
    </row>
    <row r="32" spans="1:12" x14ac:dyDescent="0.25">
      <c r="A32" s="1">
        <v>31</v>
      </c>
      <c r="B32" s="1" t="str">
        <f>IFERROR(IF(F32&lt;&gt;"",F32,VLOOKUP(MAX(F$2:F32),A$1:B31,2,FALSE)),"")</f>
        <v/>
      </c>
      <c r="C32" s="1" t="str">
        <f t="shared" si="0"/>
        <v/>
      </c>
      <c r="D32" s="1" t="str">
        <f>IFERROR(IF(F32&lt;&gt;"",F32,VLOOKUP(MAX(C$2:C32),A$2:F32,2,FALSE)),"")</f>
        <v>CO</v>
      </c>
      <c r="E32" s="1" t="str">
        <f t="shared" si="1"/>
        <v>CO.Variable appears in dataset, but is not in SDTM model</v>
      </c>
      <c r="G32" t="s">
        <v>84</v>
      </c>
      <c r="H32" t="s">
        <v>85</v>
      </c>
      <c r="I32" t="s">
        <v>33</v>
      </c>
      <c r="J32">
        <v>7</v>
      </c>
      <c r="L32" t="s">
        <v>86</v>
      </c>
    </row>
    <row r="33" spans="1:12" x14ac:dyDescent="0.25">
      <c r="A33" s="1">
        <v>32</v>
      </c>
      <c r="B33" s="1" t="str">
        <f>IFERROR(IF(F33&lt;&gt;"",F33,VLOOKUP(MAX(F$2:F33),A$1:B32,2,FALSE)),"")</f>
        <v/>
      </c>
      <c r="C33" s="1" t="str">
        <f t="shared" si="0"/>
        <v/>
      </c>
      <c r="D33" s="1" t="str">
        <f>IFERROR(IF(F33&lt;&gt;"",F33,VLOOKUP(MAX(C$2:C33),A$2:F33,2,FALSE)),"")</f>
        <v>CO</v>
      </c>
      <c r="E33" s="1" t="str">
        <f t="shared" si="1"/>
        <v>CO.Model permissible variable added into standard domain</v>
      </c>
      <c r="G33" t="s">
        <v>87</v>
      </c>
      <c r="H33" t="s">
        <v>88</v>
      </c>
      <c r="I33" t="s">
        <v>33</v>
      </c>
      <c r="J33">
        <v>10</v>
      </c>
      <c r="L33" t="s">
        <v>89</v>
      </c>
    </row>
    <row r="34" spans="1:12" x14ac:dyDescent="0.25">
      <c r="A34" s="1">
        <v>33</v>
      </c>
      <c r="B34" s="1" t="str">
        <f>IFERROR(IF(F34&lt;&gt;"",F34,VLOOKUP(MAX(F$2:F34),A$1:B33,2,FALSE)),"")</f>
        <v>DA</v>
      </c>
      <c r="C34" s="1">
        <f t="shared" si="0"/>
        <v>33</v>
      </c>
      <c r="D34" s="1" t="str">
        <f>IFERROR(IF(F34&lt;&gt;"",F34,VLOOKUP(MAX(C$2:C34),A$2:F34,2,FALSE)),"")</f>
        <v>DA</v>
      </c>
      <c r="E34" s="1" t="str">
        <f t="shared" si="1"/>
        <v/>
      </c>
      <c r="F34" t="s">
        <v>90</v>
      </c>
    </row>
    <row r="35" spans="1:12" x14ac:dyDescent="0.25">
      <c r="A35" s="1">
        <v>34</v>
      </c>
      <c r="B35" s="1" t="str">
        <f>IFERROR(IF(F35&lt;&gt;"",F35,VLOOKUP(MAX(F$2:F35),A$1:B34,2,FALSE)),"")</f>
        <v/>
      </c>
      <c r="C35" s="1" t="str">
        <f t="shared" si="0"/>
        <v/>
      </c>
      <c r="D35" s="1" t="str">
        <f>IFERROR(IF(F35&lt;&gt;"",F35,VLOOKUP(MAX(C$2:C35),A$2:F35,2,FALSE)),"")</f>
        <v>DA</v>
      </c>
      <c r="E35" s="1" t="str">
        <f t="shared" si="1"/>
        <v>DA.DATEST value not found in 'Drug Accountability Test Name' extensible codelist</v>
      </c>
      <c r="G35" t="s">
        <v>39</v>
      </c>
      <c r="H35" t="s">
        <v>91</v>
      </c>
      <c r="I35" t="s">
        <v>33</v>
      </c>
      <c r="J35">
        <v>1330</v>
      </c>
      <c r="L35" t="s">
        <v>38</v>
      </c>
    </row>
    <row r="36" spans="1:12" x14ac:dyDescent="0.25">
      <c r="A36" s="1">
        <v>35</v>
      </c>
      <c r="B36" s="1" t="str">
        <f>IFERROR(IF(F36&lt;&gt;"",F36,VLOOKUP(MAX(F$2:F36),A$1:B35,2,FALSE)),"")</f>
        <v/>
      </c>
      <c r="C36" s="1" t="str">
        <f t="shared" si="0"/>
        <v/>
      </c>
      <c r="D36" s="1" t="str">
        <f>IFERROR(IF(F36&lt;&gt;"",F36,VLOOKUP(MAX(C$2:C36),A$2:F36,2,FALSE)),"")</f>
        <v>DA</v>
      </c>
      <c r="E36" s="1" t="str">
        <f t="shared" si="1"/>
        <v>DA.DATESTCD value not found in 'Drug Accountability Test Code' extensible codelist</v>
      </c>
      <c r="G36" t="s">
        <v>39</v>
      </c>
      <c r="H36" t="s">
        <v>92</v>
      </c>
      <c r="I36" t="s">
        <v>33</v>
      </c>
      <c r="J36">
        <v>1330</v>
      </c>
      <c r="L36" t="s">
        <v>38</v>
      </c>
    </row>
    <row r="37" spans="1:12" x14ac:dyDescent="0.25">
      <c r="A37" s="1">
        <v>36</v>
      </c>
      <c r="B37" s="1" t="str">
        <f>IFERROR(IF(F37&lt;&gt;"",F37,VLOOKUP(MAX(F$2:F37),A$1:B36,2,FALSE)),"")</f>
        <v/>
      </c>
      <c r="C37" s="1" t="str">
        <f t="shared" si="0"/>
        <v/>
      </c>
      <c r="D37" s="1" t="str">
        <f>IFERROR(IF(F37&lt;&gt;"",F37,VLOOKUP(MAX(C$2:C37),A$2:F37,2,FALSE)),"")</f>
        <v>DA</v>
      </c>
      <c r="E37" s="1" t="str">
        <f t="shared" si="1"/>
        <v>DA.EPOCH value not found in 'Epoch' extensible codelist</v>
      </c>
      <c r="G37" t="s">
        <v>39</v>
      </c>
      <c r="H37" t="s">
        <v>40</v>
      </c>
      <c r="I37" t="s">
        <v>33</v>
      </c>
      <c r="J37">
        <v>1330</v>
      </c>
      <c r="L37" t="s">
        <v>38</v>
      </c>
    </row>
    <row r="38" spans="1:12" x14ac:dyDescent="0.25">
      <c r="A38" s="1">
        <v>37</v>
      </c>
      <c r="B38" s="1" t="str">
        <f>IFERROR(IF(F38&lt;&gt;"",F38,VLOOKUP(MAX(F$2:F38),A$1:B37,2,FALSE)),"")</f>
        <v>DM</v>
      </c>
      <c r="C38" s="1">
        <f t="shared" si="0"/>
        <v>37</v>
      </c>
      <c r="D38" s="1" t="str">
        <f>IFERROR(IF(F38&lt;&gt;"",F38,VLOOKUP(MAX(C$2:C38),A$2:F38,2,FALSE)),"")</f>
        <v>DM</v>
      </c>
      <c r="E38" s="1" t="str">
        <f t="shared" si="1"/>
        <v/>
      </c>
      <c r="F38" t="s">
        <v>93</v>
      </c>
    </row>
    <row r="39" spans="1:12" x14ac:dyDescent="0.25">
      <c r="A39" s="1">
        <v>38</v>
      </c>
      <c r="B39" s="1" t="str">
        <f>IFERROR(IF(F39&lt;&gt;"",F39,VLOOKUP(MAX(F$2:F39),A$1:B38,2,FALSE)),"")</f>
        <v/>
      </c>
      <c r="C39" s="1" t="str">
        <f t="shared" si="0"/>
        <v/>
      </c>
      <c r="D39" s="1" t="str">
        <f>IFERROR(IF(F39&lt;&gt;"",F39,VLOOKUP(MAX(C$2:C39),A$2:F39,2,FALSE)),"")</f>
        <v>DM</v>
      </c>
      <c r="E39" s="1" t="str">
        <f t="shared" si="1"/>
        <v>DM.RACE value not found in 'Race' extensible codelist</v>
      </c>
      <c r="G39" t="s">
        <v>39</v>
      </c>
      <c r="H39" t="s">
        <v>94</v>
      </c>
      <c r="I39" t="s">
        <v>33</v>
      </c>
      <c r="J39">
        <v>24</v>
      </c>
      <c r="L39" t="s">
        <v>38</v>
      </c>
    </row>
    <row r="40" spans="1:12" x14ac:dyDescent="0.25">
      <c r="A40" s="1">
        <v>39</v>
      </c>
      <c r="B40" s="1" t="str">
        <f>IFERROR(IF(F40&lt;&gt;"",F40,VLOOKUP(MAX(F$2:F40),A$1:B39,2,FALSE)),"")</f>
        <v/>
      </c>
      <c r="C40" s="1" t="str">
        <f t="shared" si="0"/>
        <v/>
      </c>
      <c r="D40" s="1" t="str">
        <f>IFERROR(IF(F40&lt;&gt;"",F40,VLOOKUP(MAX(C$2:C40),A$2:F40,2,FALSE)),"")</f>
        <v>DM</v>
      </c>
      <c r="E40" s="1" t="str">
        <f t="shared" si="1"/>
        <v>DM.NULL value in SEX variable marked as Required</v>
      </c>
      <c r="G40" t="s">
        <v>41</v>
      </c>
      <c r="H40" t="s">
        <v>95</v>
      </c>
      <c r="I40" t="s">
        <v>33</v>
      </c>
      <c r="J40">
        <v>1</v>
      </c>
      <c r="L40" t="s">
        <v>96</v>
      </c>
    </row>
    <row r="41" spans="1:12" x14ac:dyDescent="0.25">
      <c r="A41" s="1">
        <v>40</v>
      </c>
      <c r="B41" s="1" t="str">
        <f>IFERROR(IF(F41&lt;&gt;"",F41,VLOOKUP(MAX(F$2:F41),A$1:B40,2,FALSE)),"")</f>
        <v/>
      </c>
      <c r="C41" s="1" t="str">
        <f t="shared" si="0"/>
        <v/>
      </c>
      <c r="D41" s="1" t="str">
        <f>IFERROR(IF(F41&lt;&gt;"",F41,VLOOKUP(MAX(C$2:C41),A$2:F41,2,FALSE)),"")</f>
        <v>DM</v>
      </c>
      <c r="E41" s="1" t="str">
        <f t="shared" si="1"/>
        <v>DM.Negative or zero value for AGE</v>
      </c>
      <c r="G41" t="s">
        <v>97</v>
      </c>
      <c r="H41" t="s">
        <v>98</v>
      </c>
      <c r="I41" t="s">
        <v>33</v>
      </c>
      <c r="J41">
        <v>1</v>
      </c>
      <c r="L41" t="s">
        <v>46</v>
      </c>
    </row>
    <row r="42" spans="1:12" x14ac:dyDescent="0.25">
      <c r="A42" s="1">
        <v>41</v>
      </c>
      <c r="B42" s="1" t="str">
        <f>IFERROR(IF(F42&lt;&gt;"",F42,VLOOKUP(MAX(F$2:F42),A$1:B41,2,FALSE)),"")</f>
        <v/>
      </c>
      <c r="C42" s="1" t="str">
        <f t="shared" si="0"/>
        <v/>
      </c>
      <c r="D42" s="1" t="str">
        <f>IFERROR(IF(F42&lt;&gt;"",F42,VLOOKUP(MAX(C$2:C42),A$2:F42,2,FALSE)),"")</f>
        <v>DM</v>
      </c>
      <c r="E42" s="1" t="str">
        <f t="shared" si="1"/>
        <v>DM.RFSTDTC is not provided for a randomized subject</v>
      </c>
      <c r="G42" t="s">
        <v>99</v>
      </c>
      <c r="H42" t="s">
        <v>100</v>
      </c>
      <c r="I42" t="s">
        <v>33</v>
      </c>
      <c r="J42">
        <v>18</v>
      </c>
      <c r="L42" t="s">
        <v>101</v>
      </c>
    </row>
    <row r="43" spans="1:12" x14ac:dyDescent="0.25">
      <c r="A43" s="1">
        <v>42</v>
      </c>
      <c r="B43" s="1" t="str">
        <f>IFERROR(IF(F43&lt;&gt;"",F43,VLOOKUP(MAX(F$2:F43),A$1:B42,2,FALSE)),"")</f>
        <v/>
      </c>
      <c r="C43" s="1" t="str">
        <f t="shared" si="0"/>
        <v/>
      </c>
      <c r="D43" s="1" t="str">
        <f>IFERROR(IF(F43&lt;&gt;"",F43,VLOOKUP(MAX(C$2:C43),A$2:F43,2,FALSE)),"")</f>
        <v>DM</v>
      </c>
      <c r="E43" s="1" t="str">
        <f t="shared" si="1"/>
        <v>DM.RFENDTC is not provided for a randomized subject</v>
      </c>
      <c r="G43" t="s">
        <v>102</v>
      </c>
      <c r="H43" t="s">
        <v>103</v>
      </c>
      <c r="I43" t="s">
        <v>33</v>
      </c>
      <c r="J43">
        <v>18</v>
      </c>
      <c r="L43" t="s">
        <v>101</v>
      </c>
    </row>
    <row r="44" spans="1:12" x14ac:dyDescent="0.25">
      <c r="A44" s="1">
        <v>43</v>
      </c>
      <c r="B44" s="1" t="str">
        <f>IFERROR(IF(F44&lt;&gt;"",F44,VLOOKUP(MAX(F$2:F44),A$1:B43,2,FALSE)),"")</f>
        <v/>
      </c>
      <c r="C44" s="1" t="str">
        <f t="shared" si="0"/>
        <v/>
      </c>
      <c r="D44" s="1" t="str">
        <f>IFERROR(IF(F44&lt;&gt;"",F44,VLOOKUP(MAX(C$2:C44),A$2:F44,2,FALSE)),"")</f>
        <v>DM</v>
      </c>
      <c r="E44" s="1" t="str">
        <f t="shared" si="1"/>
        <v>DM.Neither AGE nor AGETXT values are populated</v>
      </c>
      <c r="G44" t="s">
        <v>104</v>
      </c>
      <c r="H44" t="s">
        <v>105</v>
      </c>
      <c r="I44" t="s">
        <v>33</v>
      </c>
      <c r="J44">
        <v>21</v>
      </c>
      <c r="L44" t="s">
        <v>96</v>
      </c>
    </row>
    <row r="45" spans="1:12" x14ac:dyDescent="0.25">
      <c r="A45" s="1">
        <v>44</v>
      </c>
      <c r="B45" s="1" t="str">
        <f>IFERROR(IF(F45&lt;&gt;"",F45,VLOOKUP(MAX(F$2:F45),A$1:B44,2,FALSE)),"")</f>
        <v/>
      </c>
      <c r="C45" s="1" t="str">
        <f t="shared" si="0"/>
        <v/>
      </c>
      <c r="D45" s="1" t="str">
        <f>IFERROR(IF(F45&lt;&gt;"",F45,VLOOKUP(MAX(C$2:C45),A$2:F45,2,FALSE)),"")</f>
        <v>DM</v>
      </c>
      <c r="E45" s="1" t="str">
        <f t="shared" si="1"/>
        <v>DM.Expected variable with missing value for all records</v>
      </c>
      <c r="G45" t="s">
        <v>106</v>
      </c>
      <c r="H45" t="s">
        <v>107</v>
      </c>
      <c r="I45" t="s">
        <v>33</v>
      </c>
      <c r="J45">
        <v>3</v>
      </c>
      <c r="L45" t="s">
        <v>108</v>
      </c>
    </row>
    <row r="46" spans="1:12" x14ac:dyDescent="0.25">
      <c r="A46" s="1">
        <v>45</v>
      </c>
      <c r="B46" s="1" t="str">
        <f>IFERROR(IF(F46&lt;&gt;"",F46,VLOOKUP(MAX(F$2:F46),A$1:B45,2,FALSE)),"")</f>
        <v/>
      </c>
      <c r="C46" s="1" t="str">
        <f t="shared" si="0"/>
        <v/>
      </c>
      <c r="D46" s="1" t="str">
        <f>IFERROR(IF(F46&lt;&gt;"",F46,VLOOKUP(MAX(C$2:C46),A$2:F46,2,FALSE)),"")</f>
        <v>DM</v>
      </c>
      <c r="E46" s="1" t="str">
        <f t="shared" si="1"/>
        <v>DM.RFICDTC is after RFSTDTC</v>
      </c>
      <c r="G46" t="s">
        <v>109</v>
      </c>
      <c r="H46" t="s">
        <v>110</v>
      </c>
      <c r="I46" t="s">
        <v>33</v>
      </c>
      <c r="J46">
        <v>4</v>
      </c>
      <c r="L46" t="s">
        <v>96</v>
      </c>
    </row>
    <row r="47" spans="1:12" x14ac:dyDescent="0.25">
      <c r="A47" s="1">
        <v>46</v>
      </c>
      <c r="B47" s="1" t="str">
        <f>IFERROR(IF(F47&lt;&gt;"",F47,VLOOKUP(MAX(F$2:F47),A$1:B46,2,FALSE)),"")</f>
        <v/>
      </c>
      <c r="C47" s="1" t="str">
        <f t="shared" si="0"/>
        <v/>
      </c>
      <c r="D47" s="1" t="str">
        <f>IFERROR(IF(F47&lt;&gt;"",F47,VLOOKUP(MAX(C$2:C47),A$2:F47,2,FALSE)),"")</f>
        <v>DM</v>
      </c>
      <c r="E47" s="1" t="str">
        <f t="shared" si="1"/>
        <v>DM.RFICDTC is after RFXSTDTC</v>
      </c>
      <c r="G47" t="s">
        <v>111</v>
      </c>
      <c r="H47" t="s">
        <v>112</v>
      </c>
      <c r="I47" t="s">
        <v>33</v>
      </c>
      <c r="J47">
        <v>4</v>
      </c>
      <c r="L47" t="s">
        <v>96</v>
      </c>
    </row>
    <row r="48" spans="1:12" x14ac:dyDescent="0.25">
      <c r="A48" s="1">
        <v>47</v>
      </c>
      <c r="B48" s="1" t="str">
        <f>IFERROR(IF(F48&lt;&gt;"",F48,VLOOKUP(MAX(F$2:F48),A$1:B47,2,FALSE)),"")</f>
        <v/>
      </c>
      <c r="C48" s="1" t="str">
        <f t="shared" si="0"/>
        <v/>
      </c>
      <c r="D48" s="1" t="str">
        <f>IFERROR(IF(F48&lt;&gt;"",F48,VLOOKUP(MAX(C$2:C48),A$2:F48,2,FALSE)),"")</f>
        <v>DM</v>
      </c>
      <c r="E48" s="1" t="str">
        <f t="shared" si="1"/>
        <v>DM.RFENDTC is populated when ARMNRS is not null</v>
      </c>
      <c r="G48" t="s">
        <v>113</v>
      </c>
      <c r="H48" t="s">
        <v>114</v>
      </c>
      <c r="I48" t="s">
        <v>33</v>
      </c>
      <c r="J48">
        <v>1</v>
      </c>
      <c r="L48" t="s">
        <v>96</v>
      </c>
    </row>
    <row r="49" spans="1:12" x14ac:dyDescent="0.25">
      <c r="A49" s="1">
        <v>48</v>
      </c>
      <c r="B49" s="1" t="str">
        <f>IFERROR(IF(F49&lt;&gt;"",F49,VLOOKUP(MAX(F$2:F49),A$1:B48,2,FALSE)),"")</f>
        <v/>
      </c>
      <c r="C49" s="1" t="str">
        <f t="shared" si="0"/>
        <v/>
      </c>
      <c r="D49" s="1" t="str">
        <f>IFERROR(IF(F49&lt;&gt;"",F49,VLOOKUP(MAX(C$2:C49),A$2:F49,2,FALSE)),"")</f>
        <v>DM</v>
      </c>
      <c r="E49" s="1" t="str">
        <f t="shared" si="1"/>
        <v>DM.RFSTDTC is populated for subject who did not receive treatment</v>
      </c>
      <c r="G49" t="s">
        <v>115</v>
      </c>
      <c r="H49" t="s">
        <v>116</v>
      </c>
      <c r="I49" t="s">
        <v>33</v>
      </c>
      <c r="J49">
        <v>1</v>
      </c>
      <c r="L49" t="s">
        <v>96</v>
      </c>
    </row>
    <row r="50" spans="1:12" x14ac:dyDescent="0.25">
      <c r="A50" s="1">
        <v>49</v>
      </c>
      <c r="B50" s="1" t="str">
        <f>IFERROR(IF(F50&lt;&gt;"",F50,VLOOKUP(MAX(F$2:F50),A$1:B49,2,FALSE)),"")</f>
        <v/>
      </c>
      <c r="C50" s="1" t="str">
        <f t="shared" si="0"/>
        <v/>
      </c>
      <c r="D50" s="1" t="str">
        <f>IFERROR(IF(F50&lt;&gt;"",F50,VLOOKUP(MAX(C$2:C50),A$2:F50,2,FALSE)),"")</f>
        <v>DM</v>
      </c>
      <c r="E50" s="1" t="str">
        <f t="shared" si="1"/>
        <v>DM.No records for SCREEN FAILURE subject are found in IE domain</v>
      </c>
      <c r="G50" t="s">
        <v>117</v>
      </c>
      <c r="H50" t="s">
        <v>118</v>
      </c>
      <c r="I50" t="s">
        <v>33</v>
      </c>
      <c r="J50">
        <v>1</v>
      </c>
      <c r="L50" t="s">
        <v>96</v>
      </c>
    </row>
    <row r="51" spans="1:12" x14ac:dyDescent="0.25">
      <c r="A51" s="1">
        <v>50</v>
      </c>
      <c r="B51" s="1" t="str">
        <f>IFERROR(IF(F51&lt;&gt;"",F51,VLOOKUP(MAX(F$2:F51),A$1:B50,2,FALSE)),"")</f>
        <v/>
      </c>
      <c r="C51" s="1" t="str">
        <f t="shared" si="0"/>
        <v/>
      </c>
      <c r="D51" s="1" t="str">
        <f>IFERROR(IF(F51&lt;&gt;"",F51,VLOOKUP(MAX(C$2:C51),A$2:F51,2,FALSE)),"")</f>
        <v>DM</v>
      </c>
      <c r="E51" s="1" t="str">
        <f t="shared" si="1"/>
        <v>DM.AGE is not provided</v>
      </c>
      <c r="G51" t="s">
        <v>119</v>
      </c>
      <c r="H51" t="s">
        <v>120</v>
      </c>
      <c r="I51" t="s">
        <v>33</v>
      </c>
      <c r="J51">
        <v>97</v>
      </c>
      <c r="L51" t="s">
        <v>46</v>
      </c>
    </row>
    <row r="52" spans="1:12" x14ac:dyDescent="0.25">
      <c r="A52" s="1">
        <v>51</v>
      </c>
      <c r="B52" s="1" t="str">
        <f>IFERROR(IF(F52&lt;&gt;"",F52,VLOOKUP(MAX(F$2:F52),A$1:B51,2,FALSE)),"")</f>
        <v/>
      </c>
      <c r="C52" s="1" t="str">
        <f t="shared" si="0"/>
        <v/>
      </c>
      <c r="D52" s="1" t="str">
        <f>IFERROR(IF(F52&lt;&gt;"",F52,VLOOKUP(MAX(C$2:C52),A$2:F52,2,FALSE)),"")</f>
        <v>DM</v>
      </c>
      <c r="E52" s="1" t="str">
        <f t="shared" si="1"/>
        <v>DM.ACTARM does not equal ARM</v>
      </c>
      <c r="G52" t="s">
        <v>121</v>
      </c>
      <c r="H52" t="s">
        <v>122</v>
      </c>
      <c r="I52" t="s">
        <v>33</v>
      </c>
      <c r="J52">
        <v>18</v>
      </c>
      <c r="L52" t="s">
        <v>46</v>
      </c>
    </row>
    <row r="53" spans="1:12" x14ac:dyDescent="0.25">
      <c r="A53" s="1">
        <v>52</v>
      </c>
      <c r="B53" s="1" t="str">
        <f>IFERROR(IF(F53&lt;&gt;"",F53,VLOOKUP(MAX(F$2:F53),A$1:B52,2,FALSE)),"")</f>
        <v>DS</v>
      </c>
      <c r="C53" s="1">
        <f t="shared" si="0"/>
        <v>52</v>
      </c>
      <c r="D53" s="1" t="str">
        <f>IFERROR(IF(F53&lt;&gt;"",F53,VLOOKUP(MAX(C$2:C53),A$2:F53,2,FALSE)),"")</f>
        <v>DS</v>
      </c>
      <c r="E53" s="1" t="str">
        <f t="shared" si="1"/>
        <v/>
      </c>
      <c r="F53" t="s">
        <v>123</v>
      </c>
    </row>
    <row r="54" spans="1:12" x14ac:dyDescent="0.25">
      <c r="A54" s="1">
        <v>53</v>
      </c>
      <c r="B54" s="1" t="str">
        <f>IFERROR(IF(F54&lt;&gt;"",F54,VLOOKUP(MAX(F$2:F54),A$1:B53,2,FALSE)),"")</f>
        <v/>
      </c>
      <c r="C54" s="1" t="str">
        <f t="shared" si="0"/>
        <v/>
      </c>
      <c r="D54" s="1" t="str">
        <f>IFERROR(IF(F54&lt;&gt;"",F54,VLOOKUP(MAX(C$2:C54),A$2:F54,2,FALSE)),"")</f>
        <v>DS</v>
      </c>
      <c r="E54" s="1" t="str">
        <f t="shared" si="1"/>
        <v>DS.EPOCH value not found in 'Epoch' extensible codelist</v>
      </c>
      <c r="G54" t="s">
        <v>39</v>
      </c>
      <c r="H54" t="s">
        <v>40</v>
      </c>
      <c r="I54" t="s">
        <v>33</v>
      </c>
      <c r="J54">
        <v>176</v>
      </c>
      <c r="L54" t="s">
        <v>38</v>
      </c>
    </row>
    <row r="55" spans="1:12" x14ac:dyDescent="0.25">
      <c r="A55" s="1">
        <v>54</v>
      </c>
      <c r="B55" s="1" t="str">
        <f>IFERROR(IF(F55&lt;&gt;"",F55,VLOOKUP(MAX(F$2:F55),A$1:B54,2,FALSE)),"")</f>
        <v>EX</v>
      </c>
      <c r="C55" s="1">
        <f t="shared" si="0"/>
        <v>54</v>
      </c>
      <c r="D55" s="1" t="str">
        <f>IFERROR(IF(F55&lt;&gt;"",F55,VLOOKUP(MAX(C$2:C55),A$2:F55,2,FALSE)),"")</f>
        <v>EX</v>
      </c>
      <c r="E55" s="1" t="str">
        <f t="shared" si="1"/>
        <v/>
      </c>
      <c r="F55" t="s">
        <v>124</v>
      </c>
    </row>
    <row r="56" spans="1:12" x14ac:dyDescent="0.25">
      <c r="A56" s="1">
        <v>55</v>
      </c>
      <c r="B56" s="1" t="str">
        <f>IFERROR(IF(F56&lt;&gt;"",F56,VLOOKUP(MAX(F$2:F56),A$1:B55,2,FALSE)),"")</f>
        <v/>
      </c>
      <c r="C56" s="1" t="str">
        <f t="shared" si="0"/>
        <v/>
      </c>
      <c r="D56" s="1" t="str">
        <f>IFERROR(IF(F56&lt;&gt;"",F56,VLOOKUP(MAX(C$2:C56),A$2:F56,2,FALSE)),"")</f>
        <v>EX</v>
      </c>
      <c r="E56" s="1" t="str">
        <f t="shared" si="1"/>
        <v>EX.EPOCH value not found in 'Epoch' extensible codelist</v>
      </c>
      <c r="G56" t="s">
        <v>39</v>
      </c>
      <c r="H56" t="s">
        <v>40</v>
      </c>
      <c r="I56" t="s">
        <v>33</v>
      </c>
      <c r="J56">
        <v>15579</v>
      </c>
      <c r="L56" t="s">
        <v>38</v>
      </c>
    </row>
    <row r="57" spans="1:12" x14ac:dyDescent="0.25">
      <c r="A57" s="1">
        <v>56</v>
      </c>
      <c r="B57" s="1" t="str">
        <f>IFERROR(IF(F57&lt;&gt;"",F57,VLOOKUP(MAX(F$2:F57),A$1:B56,2,FALSE)),"")</f>
        <v/>
      </c>
      <c r="C57" s="1" t="str">
        <f t="shared" si="0"/>
        <v/>
      </c>
      <c r="D57" s="1" t="str">
        <f>IFERROR(IF(F57&lt;&gt;"",F57,VLOOKUP(MAX(C$2:C57),A$2:F57,2,FALSE)),"")</f>
        <v>EX</v>
      </c>
      <c r="E57" s="1" t="str">
        <f t="shared" si="1"/>
        <v>EX.NULL value in EXTRT variable marked as Required</v>
      </c>
      <c r="G57" t="s">
        <v>41</v>
      </c>
      <c r="H57" t="s">
        <v>125</v>
      </c>
      <c r="I57" t="s">
        <v>33</v>
      </c>
      <c r="J57">
        <v>37</v>
      </c>
      <c r="L57" t="s">
        <v>96</v>
      </c>
    </row>
    <row r="58" spans="1:12" x14ac:dyDescent="0.25">
      <c r="A58" s="1">
        <v>57</v>
      </c>
      <c r="B58" s="1" t="str">
        <f>IFERROR(IF(F58&lt;&gt;"",F58,VLOOKUP(MAX(F$2:F58),A$1:B57,2,FALSE)),"")</f>
        <v/>
      </c>
      <c r="C58" s="1" t="str">
        <f t="shared" si="0"/>
        <v/>
      </c>
      <c r="D58" s="1" t="str">
        <f>IFERROR(IF(F58&lt;&gt;"",F58,VLOOKUP(MAX(C$2:C58),A$2:F58,2,FALSE)),"")</f>
        <v>EX</v>
      </c>
      <c r="E58" s="1" t="str">
        <f t="shared" si="1"/>
        <v>EX.EXSTDTC is after EXENDTC</v>
      </c>
      <c r="G58" t="s">
        <v>126</v>
      </c>
      <c r="H58" t="s">
        <v>127</v>
      </c>
      <c r="I58" t="s">
        <v>33</v>
      </c>
      <c r="J58">
        <v>172</v>
      </c>
      <c r="L58" t="s">
        <v>96</v>
      </c>
    </row>
    <row r="59" spans="1:12" x14ac:dyDescent="0.25">
      <c r="A59" s="1">
        <v>58</v>
      </c>
      <c r="B59" s="1" t="str">
        <f>IFERROR(IF(F59&lt;&gt;"",F59,VLOOKUP(MAX(F$2:F59),A$1:B58,2,FALSE)),"")</f>
        <v/>
      </c>
      <c r="C59" s="1" t="str">
        <f t="shared" si="0"/>
        <v/>
      </c>
      <c r="D59" s="1" t="str">
        <f>IFERROR(IF(F59&lt;&gt;"",F59,VLOOKUP(MAX(C$2:C59),A$2:F59,2,FALSE)),"")</f>
        <v>EX</v>
      </c>
      <c r="E59" s="1" t="str">
        <f t="shared" si="1"/>
        <v>EX.EX record is present, when subject is not assigned to an arm</v>
      </c>
      <c r="G59" t="s">
        <v>128</v>
      </c>
      <c r="H59" t="s">
        <v>129</v>
      </c>
      <c r="I59" t="s">
        <v>33</v>
      </c>
      <c r="J59">
        <v>37</v>
      </c>
      <c r="L59" t="s">
        <v>96</v>
      </c>
    </row>
    <row r="60" spans="1:12" x14ac:dyDescent="0.25">
      <c r="A60" s="1">
        <v>59</v>
      </c>
      <c r="B60" s="1" t="str">
        <f>IFERROR(IF(F60&lt;&gt;"",F60,VLOOKUP(MAX(F$2:F60),A$1:B59,2,FALSE)),"")</f>
        <v/>
      </c>
      <c r="C60" s="1" t="str">
        <f t="shared" si="0"/>
        <v/>
      </c>
      <c r="D60" s="1" t="str">
        <f>IFERROR(IF(F60&lt;&gt;"",F60,VLOOKUP(MAX(C$2:C60),A$2:F60,2,FALSE)),"")</f>
        <v>EX</v>
      </c>
      <c r="E60" s="1" t="str">
        <f t="shared" si="1"/>
        <v>EX.Exposure end date is after the latest Disposition date</v>
      </c>
      <c r="G60" t="s">
        <v>130</v>
      </c>
      <c r="H60" t="s">
        <v>131</v>
      </c>
      <c r="I60" t="s">
        <v>33</v>
      </c>
      <c r="J60">
        <v>153</v>
      </c>
      <c r="L60" t="s">
        <v>96</v>
      </c>
    </row>
    <row r="61" spans="1:12" x14ac:dyDescent="0.25">
      <c r="A61" s="1">
        <v>60</v>
      </c>
      <c r="B61" s="1" t="str">
        <f>IFERROR(IF(F61&lt;&gt;"",F61,VLOOKUP(MAX(F$2:F61),A$1:B60,2,FALSE)),"")</f>
        <v/>
      </c>
      <c r="C61" s="1" t="str">
        <f t="shared" si="0"/>
        <v/>
      </c>
      <c r="D61" s="1" t="str">
        <f>IFERROR(IF(F61&lt;&gt;"",F61,VLOOKUP(MAX(C$2:C61),A$2:F61,2,FALSE)),"")</f>
        <v>EX</v>
      </c>
      <c r="E61" s="1" t="str">
        <f t="shared" si="1"/>
        <v>EX.Model permissible variable added into standard domain</v>
      </c>
      <c r="G61" t="s">
        <v>87</v>
      </c>
      <c r="H61" t="s">
        <v>88</v>
      </c>
      <c r="I61" t="s">
        <v>33</v>
      </c>
      <c r="J61">
        <v>2</v>
      </c>
      <c r="L61" t="s">
        <v>132</v>
      </c>
    </row>
    <row r="62" spans="1:12" x14ac:dyDescent="0.25">
      <c r="A62" s="1">
        <v>61</v>
      </c>
      <c r="B62" s="1" t="str">
        <f>IFERROR(IF(F62&lt;&gt;"",F62,VLOOKUP(MAX(F$2:F62),A$1:B61,2,FALSE)),"")</f>
        <v/>
      </c>
      <c r="C62" s="1" t="str">
        <f t="shared" si="0"/>
        <v/>
      </c>
      <c r="D62" s="1" t="str">
        <f>IFERROR(IF(F62&lt;&gt;"",F62,VLOOKUP(MAX(C$2:C62),A$2:F62,2,FALSE)),"")</f>
        <v>EX</v>
      </c>
      <c r="E62" s="1" t="str">
        <f t="shared" si="1"/>
        <v>EX.Permissible variable with missing value for all records</v>
      </c>
      <c r="G62" t="s">
        <v>54</v>
      </c>
      <c r="H62" t="s">
        <v>55</v>
      </c>
      <c r="I62" t="s">
        <v>33</v>
      </c>
      <c r="J62">
        <v>1</v>
      </c>
      <c r="L62" t="s">
        <v>132</v>
      </c>
    </row>
    <row r="63" spans="1:12" x14ac:dyDescent="0.25">
      <c r="A63" s="1">
        <v>62</v>
      </c>
      <c r="B63" s="1" t="str">
        <f>IFERROR(IF(F63&lt;&gt;"",F63,VLOOKUP(MAX(F$2:F63),A$1:B62,2,FALSE)),"")</f>
        <v/>
      </c>
      <c r="C63" s="1" t="str">
        <f t="shared" si="0"/>
        <v/>
      </c>
      <c r="D63" s="1" t="str">
        <f>IFERROR(IF(F63&lt;&gt;"",F63,VLOOKUP(MAX(C$2:C63),A$2:F63,2,FALSE)),"")</f>
        <v>EX</v>
      </c>
      <c r="E63" s="1" t="str">
        <f t="shared" si="1"/>
        <v>EX.EXSTDTC date is before RFXSTDTC</v>
      </c>
      <c r="G63" t="s">
        <v>133</v>
      </c>
      <c r="H63" t="s">
        <v>134</v>
      </c>
      <c r="I63" t="s">
        <v>33</v>
      </c>
      <c r="J63">
        <v>11</v>
      </c>
      <c r="L63" t="s">
        <v>96</v>
      </c>
    </row>
    <row r="64" spans="1:12" x14ac:dyDescent="0.25">
      <c r="A64" s="1">
        <v>63</v>
      </c>
      <c r="B64" s="1" t="str">
        <f>IFERROR(IF(F64&lt;&gt;"",F64,VLOOKUP(MAX(F$2:F64),A$1:B63,2,FALSE)),"")</f>
        <v/>
      </c>
      <c r="C64" s="1" t="str">
        <f t="shared" si="0"/>
        <v/>
      </c>
      <c r="D64" s="1" t="str">
        <f>IFERROR(IF(F64&lt;&gt;"",F64,VLOOKUP(MAX(C$2:C64),A$2:F64,2,FALSE)),"")</f>
        <v>EX</v>
      </c>
      <c r="E64" s="1" t="str">
        <f t="shared" si="1"/>
        <v>EX.Missing EPOCH value, when a start or observation date is provided</v>
      </c>
      <c r="G64" t="s">
        <v>65</v>
      </c>
      <c r="H64" t="s">
        <v>66</v>
      </c>
      <c r="I64" t="s">
        <v>33</v>
      </c>
      <c r="J64">
        <v>5</v>
      </c>
      <c r="L64" t="s">
        <v>135</v>
      </c>
    </row>
    <row r="65" spans="1:12" x14ac:dyDescent="0.25">
      <c r="A65" s="1">
        <v>64</v>
      </c>
      <c r="B65" s="1" t="str">
        <f>IFERROR(IF(F65&lt;&gt;"",F65,VLOOKUP(MAX(F$2:F65),A$1:B64,2,FALSE)),"")</f>
        <v/>
      </c>
      <c r="C65" s="1" t="str">
        <f t="shared" si="0"/>
        <v/>
      </c>
      <c r="D65" s="1" t="str">
        <f>IFERROR(IF(F65&lt;&gt;"",F65,VLOOKUP(MAX(C$2:C65),A$2:F65,2,FALSE)),"")</f>
        <v>EX</v>
      </c>
      <c r="E65" s="1" t="str">
        <f t="shared" si="1"/>
        <v>EX.EX record is present, when subject is not treated</v>
      </c>
      <c r="G65" t="s">
        <v>136</v>
      </c>
      <c r="H65" t="s">
        <v>137</v>
      </c>
      <c r="I65" t="s">
        <v>33</v>
      </c>
      <c r="J65">
        <v>37</v>
      </c>
      <c r="L65" t="s">
        <v>96</v>
      </c>
    </row>
    <row r="66" spans="1:12" x14ac:dyDescent="0.25">
      <c r="A66" s="1">
        <v>65</v>
      </c>
      <c r="B66" s="1" t="str">
        <f>IFERROR(IF(F66&lt;&gt;"",F66,VLOOKUP(MAX(F$2:F66),A$1:B65,2,FALSE)),"")</f>
        <v/>
      </c>
      <c r="C66" s="1" t="str">
        <f t="shared" ref="C66:C129" si="2">IF(F66&lt;&gt;"",A66,"")</f>
        <v/>
      </c>
      <c r="D66" s="1" t="str">
        <f>IFERROR(IF(F66&lt;&gt;"",F66,VLOOKUP(MAX(C$2:C66),A$2:F66,2,FALSE)),"")</f>
        <v>EX</v>
      </c>
      <c r="E66" s="1" t="str">
        <f t="shared" si="1"/>
        <v>EX.Duplicate records in EX domain</v>
      </c>
      <c r="G66" t="s">
        <v>138</v>
      </c>
      <c r="H66" t="s">
        <v>139</v>
      </c>
      <c r="I66" t="s">
        <v>33</v>
      </c>
      <c r="J66">
        <v>89</v>
      </c>
      <c r="L66" t="s">
        <v>140</v>
      </c>
    </row>
    <row r="67" spans="1:12" x14ac:dyDescent="0.25">
      <c r="A67" s="1">
        <v>66</v>
      </c>
      <c r="B67" s="1" t="str">
        <f>IFERROR(IF(F67&lt;&gt;"",F67,VLOOKUP(MAX(F$2:F67),A$1:B66,2,FALSE)),"")</f>
        <v/>
      </c>
      <c r="C67" s="1" t="str">
        <f t="shared" si="2"/>
        <v/>
      </c>
      <c r="D67" s="1" t="str">
        <f>IFERROR(IF(F67&lt;&gt;"",F67,VLOOKUP(MAX(C$2:C67),A$2:F67,2,FALSE)),"")</f>
        <v>EX</v>
      </c>
      <c r="E67" s="1" t="str">
        <f t="shared" si="1"/>
        <v>EX.Exposure start date is after the latest Disposition date</v>
      </c>
      <c r="G67" t="s">
        <v>141</v>
      </c>
      <c r="H67" t="s">
        <v>142</v>
      </c>
      <c r="I67" t="s">
        <v>33</v>
      </c>
      <c r="J67">
        <v>153</v>
      </c>
      <c r="L67" t="s">
        <v>96</v>
      </c>
    </row>
    <row r="68" spans="1:12" x14ac:dyDescent="0.25">
      <c r="A68" s="1">
        <v>67</v>
      </c>
      <c r="B68" s="1" t="str">
        <f>IFERROR(IF(F68&lt;&gt;"",F68,VLOOKUP(MAX(F$2:F68),A$1:B67,2,FALSE)),"")</f>
        <v>FA</v>
      </c>
      <c r="C68" s="1">
        <f t="shared" si="2"/>
        <v>67</v>
      </c>
      <c r="D68" s="1" t="str">
        <f>IFERROR(IF(F68&lt;&gt;"",F68,VLOOKUP(MAX(C$2:C68),A$2:F68,2,FALSE)),"")</f>
        <v>FA</v>
      </c>
      <c r="E68" s="1" t="str">
        <f t="shared" ref="E68:E131" si="3">IF(H68&lt;&gt;"",CONCATENATE(D68,".",H68),"")</f>
        <v/>
      </c>
      <c r="F68" t="s">
        <v>143</v>
      </c>
    </row>
    <row r="69" spans="1:12" x14ac:dyDescent="0.25">
      <c r="A69" s="1">
        <v>68</v>
      </c>
      <c r="B69" s="1" t="str">
        <f>IFERROR(IF(F69&lt;&gt;"",F69,VLOOKUP(MAX(F$2:F69),A$1:B68,2,FALSE)),"")</f>
        <v/>
      </c>
      <c r="C69" s="1" t="str">
        <f t="shared" si="2"/>
        <v/>
      </c>
      <c r="D69" s="1" t="str">
        <f>IFERROR(IF(F69&lt;&gt;"",F69,VLOOKUP(MAX(C$2:C69),A$2:F69,2,FALSE)),"")</f>
        <v>FA</v>
      </c>
      <c r="E69" s="1" t="str">
        <f t="shared" si="3"/>
        <v>FA.EPOCH value not found in 'Epoch' extensible codelist</v>
      </c>
      <c r="G69" t="s">
        <v>39</v>
      </c>
      <c r="H69" t="s">
        <v>40</v>
      </c>
      <c r="I69" t="s">
        <v>33</v>
      </c>
      <c r="J69">
        <v>2351</v>
      </c>
      <c r="L69" t="s">
        <v>38</v>
      </c>
    </row>
    <row r="70" spans="1:12" x14ac:dyDescent="0.25">
      <c r="A70" s="1">
        <v>69</v>
      </c>
      <c r="B70" s="1" t="str">
        <f>IFERROR(IF(F70&lt;&gt;"",F70,VLOOKUP(MAX(F$2:F70),A$1:B69,2,FALSE)),"")</f>
        <v>IE</v>
      </c>
      <c r="C70" s="1">
        <f t="shared" si="2"/>
        <v>69</v>
      </c>
      <c r="D70" s="1" t="str">
        <f>IFERROR(IF(F70&lt;&gt;"",F70,VLOOKUP(MAX(C$2:C70),A$2:F70,2,FALSE)),"")</f>
        <v>IE</v>
      </c>
      <c r="E70" s="1" t="str">
        <f t="shared" si="3"/>
        <v/>
      </c>
      <c r="F70" t="s">
        <v>144</v>
      </c>
    </row>
    <row r="71" spans="1:12" x14ac:dyDescent="0.25">
      <c r="A71" s="1">
        <v>70</v>
      </c>
      <c r="B71" s="1" t="str">
        <f>IFERROR(IF(F71&lt;&gt;"",F71,VLOOKUP(MAX(F$2:F71),A$1:B70,2,FALSE)),"")</f>
        <v/>
      </c>
      <c r="C71" s="1" t="str">
        <f t="shared" si="2"/>
        <v/>
      </c>
      <c r="D71" s="1" t="str">
        <f>IFERROR(IF(F71&lt;&gt;"",F71,VLOOKUP(MAX(C$2:C71),A$2:F71,2,FALSE)),"")</f>
        <v>IE</v>
      </c>
      <c r="E71" s="1" t="str">
        <f t="shared" si="3"/>
        <v>IE.USUBJID/VISIT/VISITNUM values do not match SV domain data</v>
      </c>
      <c r="G71" t="s">
        <v>145</v>
      </c>
      <c r="H71" t="s">
        <v>146</v>
      </c>
      <c r="I71" t="s">
        <v>33</v>
      </c>
      <c r="J71">
        <v>83</v>
      </c>
      <c r="L71" t="s">
        <v>96</v>
      </c>
    </row>
    <row r="72" spans="1:12" x14ac:dyDescent="0.25">
      <c r="A72" s="1">
        <v>71</v>
      </c>
      <c r="B72" s="1" t="str">
        <f>IFERROR(IF(F72&lt;&gt;"",F72,VLOOKUP(MAX(F$2:F72),A$1:B71,2,FALSE)),"")</f>
        <v/>
      </c>
      <c r="C72" s="1" t="str">
        <f t="shared" si="2"/>
        <v/>
      </c>
      <c r="D72" s="1" t="str">
        <f>IFERROR(IF(F72&lt;&gt;"",F72,VLOOKUP(MAX(C$2:C72),A$2:F72,2,FALSE)),"")</f>
        <v>IE</v>
      </c>
      <c r="E72" s="1" t="str">
        <f t="shared" si="3"/>
        <v>IE.Regulatory Expected variable EPOCH not found</v>
      </c>
      <c r="G72" t="s">
        <v>147</v>
      </c>
      <c r="H72" t="s">
        <v>148</v>
      </c>
      <c r="I72" t="s">
        <v>33</v>
      </c>
      <c r="J72">
        <v>1</v>
      </c>
      <c r="L72" t="s">
        <v>149</v>
      </c>
    </row>
    <row r="73" spans="1:12" x14ac:dyDescent="0.25">
      <c r="A73" s="1">
        <v>72</v>
      </c>
      <c r="B73" s="1" t="str">
        <f>IFERROR(IF(F73&lt;&gt;"",F73,VLOOKUP(MAX(F$2:F73),A$1:B72,2,FALSE)),"")</f>
        <v>MH</v>
      </c>
      <c r="C73" s="1">
        <f t="shared" si="2"/>
        <v>72</v>
      </c>
      <c r="D73" s="1" t="str">
        <f>IFERROR(IF(F73&lt;&gt;"",F73,VLOOKUP(MAX(C$2:C73),A$2:F73,2,FALSE)),"")</f>
        <v>MH</v>
      </c>
      <c r="E73" s="1" t="str">
        <f t="shared" si="3"/>
        <v/>
      </c>
      <c r="F73" t="s">
        <v>150</v>
      </c>
    </row>
    <row r="74" spans="1:12" x14ac:dyDescent="0.25">
      <c r="A74" s="1">
        <v>73</v>
      </c>
      <c r="B74" s="1" t="str">
        <f>IFERROR(IF(F74&lt;&gt;"",F74,VLOOKUP(MAX(F$2:F74),A$1:B73,2,FALSE)),"")</f>
        <v/>
      </c>
      <c r="C74" s="1" t="str">
        <f t="shared" si="2"/>
        <v/>
      </c>
      <c r="D74" s="1" t="str">
        <f>IFERROR(IF(F74&lt;&gt;"",F74,VLOOKUP(MAX(C$2:C74),A$2:F74,2,FALSE)),"")</f>
        <v>MH</v>
      </c>
      <c r="E74" s="1" t="str">
        <f t="shared" si="3"/>
        <v>MH.EPOCH value not found in 'Epoch' extensible codelist</v>
      </c>
      <c r="G74" t="s">
        <v>39</v>
      </c>
      <c r="H74" t="s">
        <v>40</v>
      </c>
      <c r="I74" t="s">
        <v>33</v>
      </c>
      <c r="J74">
        <v>279</v>
      </c>
      <c r="L74" t="s">
        <v>38</v>
      </c>
    </row>
    <row r="75" spans="1:12" x14ac:dyDescent="0.25">
      <c r="A75" s="1">
        <v>74</v>
      </c>
      <c r="B75" s="1" t="str">
        <f>IFERROR(IF(F75&lt;&gt;"",F75,VLOOKUP(MAX(F$2:F75),A$1:B74,2,FALSE)),"")</f>
        <v/>
      </c>
      <c r="C75" s="1" t="str">
        <f t="shared" si="2"/>
        <v/>
      </c>
      <c r="D75" s="1" t="str">
        <f>IFERROR(IF(F75&lt;&gt;"",F75,VLOOKUP(MAX(C$2:C75),A$2:F75,2,FALSE)),"")</f>
        <v>MH</v>
      </c>
      <c r="E75" s="1" t="str">
        <f t="shared" si="3"/>
        <v>MH.Missing End Time-Point value</v>
      </c>
      <c r="G75" t="s">
        <v>74</v>
      </c>
      <c r="H75" t="s">
        <v>75</v>
      </c>
      <c r="I75" t="s">
        <v>33</v>
      </c>
      <c r="J75">
        <v>10</v>
      </c>
      <c r="L75" t="s">
        <v>46</v>
      </c>
    </row>
    <row r="76" spans="1:12" x14ac:dyDescent="0.25">
      <c r="A76" s="1">
        <v>75</v>
      </c>
      <c r="B76" s="1" t="str">
        <f>IFERROR(IF(F76&lt;&gt;"",F76,VLOOKUP(MAX(F$2:F76),A$1:B75,2,FALSE)),"")</f>
        <v/>
      </c>
      <c r="C76" s="1" t="str">
        <f t="shared" si="2"/>
        <v/>
      </c>
      <c r="D76" s="1" t="str">
        <f>IFERROR(IF(F76&lt;&gt;"",F76,VLOOKUP(MAX(C$2:C76),A$2:F76,2,FALSE)),"")</f>
        <v>MH</v>
      </c>
      <c r="E76" s="1" t="str">
        <f t="shared" si="3"/>
        <v>MH.Missing Start Time-Point value</v>
      </c>
      <c r="G76" t="s">
        <v>44</v>
      </c>
      <c r="H76" t="s">
        <v>45</v>
      </c>
      <c r="I76" t="s">
        <v>33</v>
      </c>
      <c r="J76">
        <v>1</v>
      </c>
      <c r="L76" t="s">
        <v>46</v>
      </c>
    </row>
    <row r="77" spans="1:12" x14ac:dyDescent="0.25">
      <c r="A77" s="1">
        <v>76</v>
      </c>
      <c r="B77" s="1" t="str">
        <f>IFERROR(IF(F77&lt;&gt;"",F77,VLOOKUP(MAX(F$2:F77),A$1:B76,2,FALSE)),"")</f>
        <v/>
      </c>
      <c r="C77" s="1" t="str">
        <f t="shared" si="2"/>
        <v/>
      </c>
      <c r="D77" s="1" t="str">
        <f>IFERROR(IF(F77&lt;&gt;"",F77,VLOOKUP(MAX(C$2:C77),A$2:F77,2,FALSE)),"")</f>
        <v>MH</v>
      </c>
      <c r="E77" s="1" t="str">
        <f t="shared" si="3"/>
        <v>MH.Value for MHENRF is populated, when RFENDTC is NULL</v>
      </c>
      <c r="G77" t="s">
        <v>52</v>
      </c>
      <c r="H77" t="s">
        <v>151</v>
      </c>
      <c r="I77" t="s">
        <v>33</v>
      </c>
      <c r="J77">
        <v>36</v>
      </c>
      <c r="L77" t="s">
        <v>46</v>
      </c>
    </row>
    <row r="78" spans="1:12" x14ac:dyDescent="0.25">
      <c r="A78" s="1">
        <v>77</v>
      </c>
      <c r="B78" s="1" t="str">
        <f>IFERROR(IF(F78&lt;&gt;"",F78,VLOOKUP(MAX(F$2:F78),A$1:B77,2,FALSE)),"")</f>
        <v/>
      </c>
      <c r="C78" s="1" t="str">
        <f t="shared" si="2"/>
        <v/>
      </c>
      <c r="D78" s="1" t="str">
        <f>IFERROR(IF(F78&lt;&gt;"",F78,VLOOKUP(MAX(C$2:C78),A$2:F78,2,FALSE)),"")</f>
        <v>MH</v>
      </c>
      <c r="E78" s="1" t="str">
        <f t="shared" si="3"/>
        <v>MH.Model permissible variable added into standard domain</v>
      </c>
      <c r="G78" t="s">
        <v>87</v>
      </c>
      <c r="H78" t="s">
        <v>88</v>
      </c>
      <c r="I78" t="s">
        <v>33</v>
      </c>
      <c r="J78">
        <v>10</v>
      </c>
      <c r="L78" t="s">
        <v>132</v>
      </c>
    </row>
    <row r="79" spans="1:12" x14ac:dyDescent="0.25">
      <c r="A79" s="1">
        <v>78</v>
      </c>
      <c r="B79" s="1" t="str">
        <f>IFERROR(IF(F79&lt;&gt;"",F79,VLOOKUP(MAX(F$2:F79),A$1:B78,2,FALSE)),"")</f>
        <v/>
      </c>
      <c r="C79" s="1" t="str">
        <f t="shared" si="2"/>
        <v/>
      </c>
      <c r="D79" s="1" t="str">
        <f>IFERROR(IF(F79&lt;&gt;"",F79,VLOOKUP(MAX(C$2:C79),A$2:F79,2,FALSE)),"")</f>
        <v>MH</v>
      </c>
      <c r="E79" s="1" t="str">
        <f t="shared" si="3"/>
        <v>MH.MHSTDTC date is after RFSTDTC</v>
      </c>
      <c r="G79" t="s">
        <v>152</v>
      </c>
      <c r="H79" t="s">
        <v>153</v>
      </c>
      <c r="I79" t="s">
        <v>33</v>
      </c>
      <c r="J79">
        <v>4</v>
      </c>
      <c r="L79" t="s">
        <v>154</v>
      </c>
    </row>
    <row r="80" spans="1:12" x14ac:dyDescent="0.25">
      <c r="A80" s="1">
        <v>79</v>
      </c>
      <c r="B80" s="1" t="str">
        <f>IFERROR(IF(F80&lt;&gt;"",F80,VLOOKUP(MAX(F$2:F80),A$1:B79,2,FALSE)),"")</f>
        <v/>
      </c>
      <c r="C80" s="1" t="str">
        <f t="shared" si="2"/>
        <v/>
      </c>
      <c r="D80" s="1" t="str">
        <f>IFERROR(IF(F80&lt;&gt;"",F80,VLOOKUP(MAX(C$2:C80),A$2:F80,2,FALSE)),"")</f>
        <v>MH</v>
      </c>
      <c r="E80" s="1" t="str">
        <f t="shared" si="3"/>
        <v>MH.MHSTDTC date is after RFPENDTC</v>
      </c>
      <c r="G80" t="s">
        <v>79</v>
      </c>
      <c r="H80" t="s">
        <v>155</v>
      </c>
      <c r="I80" t="s">
        <v>33</v>
      </c>
      <c r="J80">
        <v>2</v>
      </c>
      <c r="L80" t="s">
        <v>154</v>
      </c>
    </row>
    <row r="81" spans="1:12" x14ac:dyDescent="0.25">
      <c r="A81" s="1">
        <v>80</v>
      </c>
      <c r="B81" s="1" t="str">
        <f>IFERROR(IF(F81&lt;&gt;"",F81,VLOOKUP(MAX(F$2:F81),A$1:B80,2,FALSE)),"")</f>
        <v/>
      </c>
      <c r="C81" s="1" t="str">
        <f t="shared" si="2"/>
        <v/>
      </c>
      <c r="D81" s="1" t="str">
        <f>IFERROR(IF(F81&lt;&gt;"",F81,VLOOKUP(MAX(C$2:C81),A$2:F81,2,FALSE)),"")</f>
        <v>MH</v>
      </c>
      <c r="E81" s="1" t="str">
        <f t="shared" si="3"/>
        <v>MH.MHENDTC date is after RFPENDTC</v>
      </c>
      <c r="G81" t="s">
        <v>62</v>
      </c>
      <c r="H81" t="s">
        <v>156</v>
      </c>
      <c r="I81" t="s">
        <v>33</v>
      </c>
      <c r="J81">
        <v>5</v>
      </c>
      <c r="L81" t="s">
        <v>154</v>
      </c>
    </row>
    <row r="82" spans="1:12" x14ac:dyDescent="0.25">
      <c r="A82" s="1">
        <v>81</v>
      </c>
      <c r="B82" s="1" t="str">
        <f>IFERROR(IF(F82&lt;&gt;"",F82,VLOOKUP(MAX(F$2:F82),A$1:B81,2,FALSE)),"")</f>
        <v>ML</v>
      </c>
      <c r="C82" s="1">
        <f t="shared" si="2"/>
        <v>81</v>
      </c>
      <c r="D82" s="1" t="str">
        <f>IFERROR(IF(F82&lt;&gt;"",F82,VLOOKUP(MAX(C$2:C82),A$2:F82,2,FALSE)),"")</f>
        <v>ML</v>
      </c>
      <c r="E82" s="1" t="str">
        <f t="shared" si="3"/>
        <v/>
      </c>
      <c r="F82" t="s">
        <v>157</v>
      </c>
    </row>
    <row r="83" spans="1:12" x14ac:dyDescent="0.25">
      <c r="A83" s="1">
        <v>82</v>
      </c>
      <c r="B83" s="1" t="str">
        <f>IFERROR(IF(F83&lt;&gt;"",F83,VLOOKUP(MAX(F$2:F83),A$1:B82,2,FALSE)),"")</f>
        <v/>
      </c>
      <c r="C83" s="1" t="str">
        <f t="shared" si="2"/>
        <v/>
      </c>
      <c r="D83" s="1" t="str">
        <f>IFERROR(IF(F83&lt;&gt;"",F83,VLOOKUP(MAX(C$2:C83),A$2:F83,2,FALSE)),"")</f>
        <v>ML</v>
      </c>
      <c r="E83" s="1" t="str">
        <f t="shared" si="3"/>
        <v>ML.EPOCH value not found in 'Epoch' extensible codelist</v>
      </c>
      <c r="G83" t="s">
        <v>39</v>
      </c>
      <c r="H83" t="s">
        <v>40</v>
      </c>
      <c r="I83" t="s">
        <v>33</v>
      </c>
      <c r="J83">
        <v>698</v>
      </c>
      <c r="L83" t="s">
        <v>38</v>
      </c>
    </row>
    <row r="84" spans="1:12" x14ac:dyDescent="0.25">
      <c r="A84" s="1">
        <v>83</v>
      </c>
      <c r="B84" s="1" t="str">
        <f>IFERROR(IF(F84&lt;&gt;"",F84,VLOOKUP(MAX(F$2:F84),A$1:B83,2,FALSE)),"")</f>
        <v/>
      </c>
      <c r="C84" s="1" t="str">
        <f t="shared" si="2"/>
        <v/>
      </c>
      <c r="D84" s="1" t="str">
        <f>IFERROR(IF(F84&lt;&gt;"",F84,VLOOKUP(MAX(C$2:C84),A$2:F84,2,FALSE)),"")</f>
        <v>ML</v>
      </c>
      <c r="E84" s="1" t="str">
        <f t="shared" si="3"/>
        <v>ML.Missing Start Time-Point value</v>
      </c>
      <c r="G84" t="s">
        <v>44</v>
      </c>
      <c r="H84" t="s">
        <v>45</v>
      </c>
      <c r="I84" t="s">
        <v>33</v>
      </c>
      <c r="J84">
        <v>5</v>
      </c>
      <c r="L84" t="s">
        <v>46</v>
      </c>
    </row>
    <row r="85" spans="1:12" x14ac:dyDescent="0.25">
      <c r="A85" s="1">
        <v>84</v>
      </c>
      <c r="B85" s="1" t="str">
        <f>IFERROR(IF(F85&lt;&gt;"",F85,VLOOKUP(MAX(F$2:F85),A$1:B84,2,FALSE)),"")</f>
        <v/>
      </c>
      <c r="C85" s="1" t="str">
        <f t="shared" si="2"/>
        <v/>
      </c>
      <c r="D85" s="1" t="str">
        <f>IFERROR(IF(F85&lt;&gt;"",F85,VLOOKUP(MAX(C$2:C85),A$2:F85,2,FALSE)),"")</f>
        <v>ML</v>
      </c>
      <c r="E85" s="1" t="str">
        <f t="shared" si="3"/>
        <v>ML.MLCAT value is redundant with other variable values</v>
      </c>
      <c r="G85" t="s">
        <v>158</v>
      </c>
      <c r="H85" t="s">
        <v>159</v>
      </c>
      <c r="I85" t="s">
        <v>33</v>
      </c>
      <c r="J85">
        <v>593</v>
      </c>
      <c r="L85" t="s">
        <v>46</v>
      </c>
    </row>
    <row r="86" spans="1:12" x14ac:dyDescent="0.25">
      <c r="A86" s="1">
        <v>85</v>
      </c>
      <c r="B86" s="1" t="str">
        <f>IFERROR(IF(F86&lt;&gt;"",F86,VLOOKUP(MAX(F$2:F86),A$1:B85,2,FALSE)),"")</f>
        <v/>
      </c>
      <c r="C86" s="1" t="str">
        <f t="shared" si="2"/>
        <v/>
      </c>
      <c r="D86" s="1" t="str">
        <f>IFERROR(IF(F86&lt;&gt;"",F86,VLOOKUP(MAX(C$2:C86),A$2:F86,2,FALSE)),"")</f>
        <v>ML</v>
      </c>
      <c r="E86" s="1" t="str">
        <f t="shared" si="3"/>
        <v>ML.MLSTDTC is after MLDTC</v>
      </c>
      <c r="G86" t="s">
        <v>160</v>
      </c>
      <c r="H86" t="s">
        <v>161</v>
      </c>
      <c r="I86" t="s">
        <v>33</v>
      </c>
      <c r="J86">
        <v>1</v>
      </c>
      <c r="L86" t="s">
        <v>162</v>
      </c>
    </row>
    <row r="87" spans="1:12" x14ac:dyDescent="0.25">
      <c r="A87" s="1">
        <v>86</v>
      </c>
      <c r="B87" s="1" t="str">
        <f>IFERROR(IF(F87&lt;&gt;"",F87,VLOOKUP(MAX(F$2:F87),A$1:B86,2,FALSE)),"")</f>
        <v/>
      </c>
      <c r="C87" s="1" t="str">
        <f t="shared" si="2"/>
        <v/>
      </c>
      <c r="D87" s="1" t="str">
        <f>IFERROR(IF(F87&lt;&gt;"",F87,VLOOKUP(MAX(C$2:C87),A$2:F87,2,FALSE)),"")</f>
        <v>ML</v>
      </c>
      <c r="E87" s="1" t="str">
        <f t="shared" si="3"/>
        <v>ML.Missing EPOCH value, when a start or observation date is provided</v>
      </c>
      <c r="G87" t="s">
        <v>65</v>
      </c>
      <c r="H87" t="s">
        <v>66</v>
      </c>
      <c r="I87" t="s">
        <v>33</v>
      </c>
      <c r="J87">
        <v>1301</v>
      </c>
      <c r="L87" t="s">
        <v>46</v>
      </c>
    </row>
    <row r="88" spans="1:12" x14ac:dyDescent="0.25">
      <c r="A88" s="1">
        <v>87</v>
      </c>
      <c r="B88" s="1" t="str">
        <f>IFERROR(IF(F88&lt;&gt;"",F88,VLOOKUP(MAX(F$2:F88),A$1:B87,2,FALSE)),"")</f>
        <v>PR</v>
      </c>
      <c r="C88" s="1">
        <f t="shared" si="2"/>
        <v>87</v>
      </c>
      <c r="D88" s="1" t="str">
        <f>IFERROR(IF(F88&lt;&gt;"",F88,VLOOKUP(MAX(C$2:C88),A$2:F88,2,FALSE)),"")</f>
        <v>PR</v>
      </c>
      <c r="E88" s="1" t="str">
        <f t="shared" si="3"/>
        <v/>
      </c>
      <c r="F88" t="s">
        <v>163</v>
      </c>
    </row>
    <row r="89" spans="1:12" x14ac:dyDescent="0.25">
      <c r="A89" s="1">
        <v>88</v>
      </c>
      <c r="B89" s="1" t="str">
        <f>IFERROR(IF(F89&lt;&gt;"",F89,VLOOKUP(MAX(F$2:F89),A$1:B88,2,FALSE)),"")</f>
        <v/>
      </c>
      <c r="C89" s="1" t="str">
        <f t="shared" si="2"/>
        <v/>
      </c>
      <c r="D89" s="1" t="str">
        <f>IFERROR(IF(F89&lt;&gt;"",F89,VLOOKUP(MAX(C$2:C89),A$2:F89,2,FALSE)),"")</f>
        <v>PR</v>
      </c>
      <c r="E89" s="1" t="str">
        <f t="shared" si="3"/>
        <v>PR.EPOCH value not found in 'Epoch' extensible codelist</v>
      </c>
      <c r="G89" t="s">
        <v>39</v>
      </c>
      <c r="H89" t="s">
        <v>40</v>
      </c>
      <c r="I89" t="s">
        <v>33</v>
      </c>
      <c r="J89">
        <v>86</v>
      </c>
      <c r="L89" t="s">
        <v>38</v>
      </c>
    </row>
    <row r="90" spans="1:12" x14ac:dyDescent="0.25">
      <c r="A90" s="1">
        <v>89</v>
      </c>
      <c r="B90" s="1" t="str">
        <f>IFERROR(IF(F90&lt;&gt;"",F90,VLOOKUP(MAX(F$2:F90),A$1:B89,2,FALSE)),"")</f>
        <v/>
      </c>
      <c r="C90" s="1" t="str">
        <f t="shared" si="2"/>
        <v/>
      </c>
      <c r="D90" s="1" t="str">
        <f>IFERROR(IF(F90&lt;&gt;"",F90,VLOOKUP(MAX(C$2:C90),A$2:F90,2,FALSE)),"")</f>
        <v>PR</v>
      </c>
      <c r="E90" s="1" t="str">
        <f t="shared" si="3"/>
        <v>PR.Missing End Time-Point value</v>
      </c>
      <c r="G90" t="s">
        <v>74</v>
      </c>
      <c r="H90" t="s">
        <v>75</v>
      </c>
      <c r="I90" t="s">
        <v>33</v>
      </c>
      <c r="J90">
        <v>2</v>
      </c>
      <c r="L90" t="s">
        <v>46</v>
      </c>
    </row>
    <row r="91" spans="1:12" x14ac:dyDescent="0.25">
      <c r="A91" s="1">
        <v>90</v>
      </c>
      <c r="B91" s="1" t="str">
        <f>IFERROR(IF(F91&lt;&gt;"",F91,VLOOKUP(MAX(F$2:F91),A$1:B90,2,FALSE)),"")</f>
        <v/>
      </c>
      <c r="C91" s="1" t="str">
        <f t="shared" si="2"/>
        <v/>
      </c>
      <c r="D91" s="1" t="str">
        <f>IFERROR(IF(F91&lt;&gt;"",F91,VLOOKUP(MAX(C$2:C91),A$2:F91,2,FALSE)),"")</f>
        <v>PR</v>
      </c>
      <c r="E91" s="1" t="str">
        <f t="shared" si="3"/>
        <v>PR.Missing Start Time-Point value</v>
      </c>
      <c r="G91" t="s">
        <v>44</v>
      </c>
      <c r="H91" t="s">
        <v>45</v>
      </c>
      <c r="I91" t="s">
        <v>33</v>
      </c>
      <c r="J91">
        <v>2</v>
      </c>
      <c r="L91" t="s">
        <v>46</v>
      </c>
    </row>
    <row r="92" spans="1:12" x14ac:dyDescent="0.25">
      <c r="A92" s="1">
        <v>91</v>
      </c>
      <c r="B92" s="1" t="str">
        <f>IFERROR(IF(F92&lt;&gt;"",F92,VLOOKUP(MAX(F$2:F92),A$1:B91,2,FALSE)),"")</f>
        <v/>
      </c>
      <c r="C92" s="1" t="str">
        <f t="shared" si="2"/>
        <v/>
      </c>
      <c r="D92" s="1" t="str">
        <f>IFERROR(IF(F92&lt;&gt;"",F92,VLOOKUP(MAX(C$2:C92),A$2:F92,2,FALSE)),"")</f>
        <v>PR</v>
      </c>
      <c r="E92" s="1" t="str">
        <f t="shared" si="3"/>
        <v>PR.Model permissible variable added into standard domain</v>
      </c>
      <c r="G92" t="s">
        <v>87</v>
      </c>
      <c r="H92" t="s">
        <v>88</v>
      </c>
      <c r="I92" t="s">
        <v>33</v>
      </c>
      <c r="J92">
        <v>1</v>
      </c>
      <c r="L92" t="s">
        <v>132</v>
      </c>
    </row>
    <row r="93" spans="1:12" x14ac:dyDescent="0.25">
      <c r="A93" s="1">
        <v>92</v>
      </c>
      <c r="B93" s="1" t="str">
        <f>IFERROR(IF(F93&lt;&gt;"",F93,VLOOKUP(MAX(F$2:F93),A$1:B92,2,FALSE)),"")</f>
        <v/>
      </c>
      <c r="C93" s="1" t="str">
        <f t="shared" si="2"/>
        <v/>
      </c>
      <c r="D93" s="1" t="str">
        <f>IFERROR(IF(F93&lt;&gt;"",F93,VLOOKUP(MAX(C$2:C93),A$2:F93,2,FALSE)),"")</f>
        <v>PR</v>
      </c>
      <c r="E93" s="1" t="str">
        <f t="shared" si="3"/>
        <v>PR.Permissible variable with missing value for all records</v>
      </c>
      <c r="G93" t="s">
        <v>54</v>
      </c>
      <c r="H93" t="s">
        <v>55</v>
      </c>
      <c r="I93" t="s">
        <v>33</v>
      </c>
      <c r="J93">
        <v>1</v>
      </c>
      <c r="L93" t="s">
        <v>132</v>
      </c>
    </row>
    <row r="94" spans="1:12" x14ac:dyDescent="0.25">
      <c r="A94" s="1">
        <v>93</v>
      </c>
      <c r="B94" s="1" t="str">
        <f>IFERROR(IF(F94&lt;&gt;"",F94,VLOOKUP(MAX(F$2:F94),A$1:B93,2,FALSE)),"")</f>
        <v/>
      </c>
      <c r="C94" s="1" t="str">
        <f t="shared" si="2"/>
        <v/>
      </c>
      <c r="D94" s="1" t="str">
        <f>IFERROR(IF(F94&lt;&gt;"",F94,VLOOKUP(MAX(C$2:C94),A$2:F94,2,FALSE)),"")</f>
        <v>PR</v>
      </c>
      <c r="E94" s="1" t="str">
        <f t="shared" si="3"/>
        <v>PR.PRSTDTC date is after RFPENDTC</v>
      </c>
      <c r="G94" t="s">
        <v>79</v>
      </c>
      <c r="H94" t="s">
        <v>164</v>
      </c>
      <c r="I94" t="s">
        <v>33</v>
      </c>
      <c r="J94">
        <v>9</v>
      </c>
      <c r="L94" t="s">
        <v>165</v>
      </c>
    </row>
    <row r="95" spans="1:12" x14ac:dyDescent="0.25">
      <c r="A95" s="1">
        <v>94</v>
      </c>
      <c r="B95" s="1" t="str">
        <f>IFERROR(IF(F95&lt;&gt;"",F95,VLOOKUP(MAX(F$2:F95),A$1:B94,2,FALSE)),"")</f>
        <v/>
      </c>
      <c r="C95" s="1" t="str">
        <f t="shared" si="2"/>
        <v/>
      </c>
      <c r="D95" s="1" t="str">
        <f>IFERROR(IF(F95&lt;&gt;"",F95,VLOOKUP(MAX(C$2:C95),A$2:F95,2,FALSE)),"")</f>
        <v>PR</v>
      </c>
      <c r="E95" s="1" t="str">
        <f t="shared" si="3"/>
        <v>PR.PRENDTC date is after RFPENDTC</v>
      </c>
      <c r="G95" t="s">
        <v>62</v>
      </c>
      <c r="H95" t="s">
        <v>166</v>
      </c>
      <c r="I95" t="s">
        <v>33</v>
      </c>
      <c r="J95">
        <v>9</v>
      </c>
      <c r="L95" t="s">
        <v>165</v>
      </c>
    </row>
    <row r="96" spans="1:12" x14ac:dyDescent="0.25">
      <c r="A96" s="1">
        <v>95</v>
      </c>
      <c r="B96" s="1" t="str">
        <f>IFERROR(IF(F96&lt;&gt;"",F96,VLOOKUP(MAX(F$2:F96),A$1:B95,2,FALSE)),"")</f>
        <v/>
      </c>
      <c r="C96" s="1" t="str">
        <f t="shared" si="2"/>
        <v/>
      </c>
      <c r="D96" s="1" t="str">
        <f>IFERROR(IF(F96&lt;&gt;"",F96,VLOOKUP(MAX(C$2:C96),A$2:F96,2,FALSE)),"")</f>
        <v>PR</v>
      </c>
      <c r="E96" s="1" t="str">
        <f t="shared" si="3"/>
        <v>PR.Missing EPOCH value, when a start or observation date is provided</v>
      </c>
      <c r="G96" t="s">
        <v>65</v>
      </c>
      <c r="H96" t="s">
        <v>66</v>
      </c>
      <c r="I96" t="s">
        <v>33</v>
      </c>
      <c r="J96">
        <v>14</v>
      </c>
      <c r="L96" t="s">
        <v>46</v>
      </c>
    </row>
    <row r="97" spans="1:12" x14ac:dyDescent="0.25">
      <c r="A97" s="1">
        <v>96</v>
      </c>
      <c r="B97" s="1" t="str">
        <f>IFERROR(IF(F97&lt;&gt;"",F97,VLOOKUP(MAX(F$2:F97),A$1:B96,2,FALSE)),"")</f>
        <v>QS</v>
      </c>
      <c r="C97" s="1">
        <f t="shared" si="2"/>
        <v>96</v>
      </c>
      <c r="D97" s="1" t="str">
        <f>IFERROR(IF(F97&lt;&gt;"",F97,VLOOKUP(MAX(C$2:C97),A$2:F97,2,FALSE)),"")</f>
        <v>QS</v>
      </c>
      <c r="E97" s="1" t="str">
        <f t="shared" si="3"/>
        <v/>
      </c>
      <c r="F97" t="s">
        <v>167</v>
      </c>
    </row>
    <row r="98" spans="1:12" x14ac:dyDescent="0.25">
      <c r="A98" s="1">
        <v>97</v>
      </c>
      <c r="B98" s="1" t="str">
        <f>IFERROR(IF(F98&lt;&gt;"",F98,VLOOKUP(MAX(F$2:F98),A$1:B97,2,FALSE)),"")</f>
        <v/>
      </c>
      <c r="C98" s="1" t="str">
        <f t="shared" si="2"/>
        <v/>
      </c>
      <c r="D98" s="1" t="str">
        <f>IFERROR(IF(F98&lt;&gt;"",F98,VLOOKUP(MAX(C$2:C98),A$2:F98,2,FALSE)),"")</f>
        <v>QS</v>
      </c>
      <c r="E98" s="1" t="str">
        <f t="shared" si="3"/>
        <v>QS.EPOCH value not found in 'Epoch' extensible codelist</v>
      </c>
      <c r="G98" t="s">
        <v>39</v>
      </c>
      <c r="H98" t="s">
        <v>40</v>
      </c>
      <c r="I98" t="s">
        <v>33</v>
      </c>
      <c r="J98">
        <v>11712</v>
      </c>
      <c r="L98" t="s">
        <v>38</v>
      </c>
    </row>
    <row r="99" spans="1:12" x14ac:dyDescent="0.25">
      <c r="A99" s="1">
        <v>98</v>
      </c>
      <c r="B99" s="1" t="str">
        <f>IFERROR(IF(F99&lt;&gt;"",F99,VLOOKUP(MAX(F$2:F99),A$1:B98,2,FALSE)),"")</f>
        <v/>
      </c>
      <c r="C99" s="1" t="str">
        <f t="shared" si="2"/>
        <v/>
      </c>
      <c r="D99" s="1" t="str">
        <f>IFERROR(IF(F99&lt;&gt;"",F99,VLOOKUP(MAX(C$2:C99),A$2:F99,2,FALSE)),"")</f>
        <v>QS</v>
      </c>
      <c r="E99" s="1" t="str">
        <f t="shared" si="3"/>
        <v>QS.QSCAT value not found in 'Category of Questionnaire' extensible codelist</v>
      </c>
      <c r="G99" t="s">
        <v>39</v>
      </c>
      <c r="H99" t="s">
        <v>168</v>
      </c>
      <c r="I99" t="s">
        <v>33</v>
      </c>
      <c r="J99">
        <v>12078</v>
      </c>
      <c r="L99" t="s">
        <v>38</v>
      </c>
    </row>
    <row r="100" spans="1:12" x14ac:dyDescent="0.25">
      <c r="A100" s="1">
        <v>99</v>
      </c>
      <c r="B100" s="1" t="str">
        <f>IFERROR(IF(F100&lt;&gt;"",F100,VLOOKUP(MAX(F$2:F100),A$1:B99,2,FALSE)),"")</f>
        <v/>
      </c>
      <c r="C100" s="1" t="str">
        <f t="shared" si="2"/>
        <v/>
      </c>
      <c r="D100" s="1" t="str">
        <f>IFERROR(IF(F100&lt;&gt;"",F100,VLOOKUP(MAX(C$2:C100),A$2:F100,2,FALSE)),"")</f>
        <v>QS</v>
      </c>
      <c r="E100" s="1" t="str">
        <f t="shared" si="3"/>
        <v>QS.USUBJID/VISIT/VISITNUM values do not match SV domain data</v>
      </c>
      <c r="G100" t="s">
        <v>145</v>
      </c>
      <c r="H100" t="s">
        <v>146</v>
      </c>
      <c r="I100" t="s">
        <v>33</v>
      </c>
      <c r="J100">
        <v>6</v>
      </c>
      <c r="L100" t="s">
        <v>96</v>
      </c>
    </row>
    <row r="101" spans="1:12" x14ac:dyDescent="0.25">
      <c r="A101" s="1">
        <v>100</v>
      </c>
      <c r="B101" s="1" t="str">
        <f>IFERROR(IF(F101&lt;&gt;"",F101,VLOOKUP(MAX(F$2:F101),A$1:B100,2,FALSE)),"")</f>
        <v/>
      </c>
      <c r="C101" s="1" t="str">
        <f t="shared" si="2"/>
        <v/>
      </c>
      <c r="D101" s="1" t="str">
        <f>IFERROR(IF(F101&lt;&gt;"",F101,VLOOKUP(MAX(C$2:C101),A$2:F101,2,FALSE)),"")</f>
        <v>QS</v>
      </c>
      <c r="E101" s="1" t="str">
        <f t="shared" si="3"/>
        <v>QS.Missing EPOCH value, when a start or observation date is provided</v>
      </c>
      <c r="G101" t="s">
        <v>65</v>
      </c>
      <c r="H101" t="s">
        <v>66</v>
      </c>
      <c r="I101" t="s">
        <v>33</v>
      </c>
      <c r="J101">
        <v>24</v>
      </c>
      <c r="L101" t="s">
        <v>46</v>
      </c>
    </row>
    <row r="102" spans="1:12" x14ac:dyDescent="0.25">
      <c r="A102" s="1">
        <v>101</v>
      </c>
      <c r="B102" s="1" t="str">
        <f>IFERROR(IF(F102&lt;&gt;"",F102,VLOOKUP(MAX(F$2:F102),A$1:B101,2,FALSE)),"")</f>
        <v>SC</v>
      </c>
      <c r="C102" s="1">
        <f t="shared" si="2"/>
        <v>101</v>
      </c>
      <c r="D102" s="1" t="str">
        <f>IFERROR(IF(F102&lt;&gt;"",F102,VLOOKUP(MAX(C$2:C102),A$2:F102,2,FALSE)),"")</f>
        <v>SC</v>
      </c>
      <c r="E102" s="1" t="str">
        <f t="shared" si="3"/>
        <v/>
      </c>
      <c r="F102" t="s">
        <v>169</v>
      </c>
    </row>
    <row r="103" spans="1:12" x14ac:dyDescent="0.25">
      <c r="A103" s="1">
        <v>102</v>
      </c>
      <c r="B103" s="1" t="str">
        <f>IFERROR(IF(F103&lt;&gt;"",F103,VLOOKUP(MAX(F$2:F103),A$1:B102,2,FALSE)),"")</f>
        <v/>
      </c>
      <c r="C103" s="1" t="str">
        <f t="shared" si="2"/>
        <v/>
      </c>
      <c r="D103" s="1" t="str">
        <f>IFERROR(IF(F103&lt;&gt;"",F103,VLOOKUP(MAX(C$2:C103),A$2:F103,2,FALSE)),"")</f>
        <v>SC</v>
      </c>
      <c r="E103" s="1" t="str">
        <f t="shared" si="3"/>
        <v>SC.EPOCH value not found in 'Epoch' extensible codelist</v>
      </c>
      <c r="G103" t="s">
        <v>39</v>
      </c>
      <c r="H103" t="s">
        <v>40</v>
      </c>
      <c r="I103" t="s">
        <v>33</v>
      </c>
      <c r="J103">
        <v>1377</v>
      </c>
      <c r="L103" t="s">
        <v>38</v>
      </c>
    </row>
    <row r="104" spans="1:12" x14ac:dyDescent="0.25">
      <c r="A104" s="1">
        <v>103</v>
      </c>
      <c r="B104" s="1" t="str">
        <f>IFERROR(IF(F104&lt;&gt;"",F104,VLOOKUP(MAX(F$2:F104),A$1:B103,2,FALSE)),"")</f>
        <v/>
      </c>
      <c r="C104" s="1" t="str">
        <f t="shared" si="2"/>
        <v/>
      </c>
      <c r="D104" s="1" t="str">
        <f>IFERROR(IF(F104&lt;&gt;"",F104,VLOOKUP(MAX(C$2:C104),A$2:F104,2,FALSE)),"")</f>
        <v>SC</v>
      </c>
      <c r="E104" s="1" t="str">
        <f t="shared" si="3"/>
        <v>SC.SCTEST value not found in 'Subject Characteristic Test Name' extensible codelist</v>
      </c>
      <c r="G104" t="s">
        <v>39</v>
      </c>
      <c r="H104" t="s">
        <v>170</v>
      </c>
      <c r="I104" t="s">
        <v>33</v>
      </c>
      <c r="J104">
        <v>1383</v>
      </c>
      <c r="L104" t="s">
        <v>38</v>
      </c>
    </row>
    <row r="105" spans="1:12" x14ac:dyDescent="0.25">
      <c r="A105" s="1">
        <v>104</v>
      </c>
      <c r="B105" s="1" t="str">
        <f>IFERROR(IF(F105&lt;&gt;"",F105,VLOOKUP(MAX(F$2:F105),A$1:B104,2,FALSE)),"")</f>
        <v/>
      </c>
      <c r="C105" s="1" t="str">
        <f t="shared" si="2"/>
        <v/>
      </c>
      <c r="D105" s="1" t="str">
        <f>IFERROR(IF(F105&lt;&gt;"",F105,VLOOKUP(MAX(C$2:C105),A$2:F105,2,FALSE)),"")</f>
        <v>SC</v>
      </c>
      <c r="E105" s="1" t="str">
        <f t="shared" si="3"/>
        <v>SC.SCTESTCD value not found in 'Subject Characteristic Test Code' extensible codelist</v>
      </c>
      <c r="G105" t="s">
        <v>39</v>
      </c>
      <c r="H105" t="s">
        <v>171</v>
      </c>
      <c r="I105" t="s">
        <v>33</v>
      </c>
      <c r="J105">
        <v>1383</v>
      </c>
      <c r="L105" t="s">
        <v>38</v>
      </c>
    </row>
    <row r="106" spans="1:12" x14ac:dyDescent="0.25">
      <c r="A106" s="1">
        <v>105</v>
      </c>
      <c r="B106" s="1" t="str">
        <f>IFERROR(IF(F106&lt;&gt;"",F106,VLOOKUP(MAX(F$2:F106),A$1:B105,2,FALSE)),"")</f>
        <v/>
      </c>
      <c r="C106" s="1" t="str">
        <f t="shared" si="2"/>
        <v/>
      </c>
      <c r="D106" s="1" t="str">
        <f>IFERROR(IF(F106&lt;&gt;"",F106,VLOOKUP(MAX(C$2:C106),A$2:F106,2,FALSE)),"")</f>
        <v>SC</v>
      </c>
      <c r="E106" s="1" t="str">
        <f t="shared" si="3"/>
        <v>SC.USUBJID/VISIT/VISITNUM values do not match SV domain data</v>
      </c>
      <c r="G106" t="s">
        <v>145</v>
      </c>
      <c r="H106" t="s">
        <v>146</v>
      </c>
      <c r="I106" t="s">
        <v>33</v>
      </c>
      <c r="J106">
        <v>6</v>
      </c>
      <c r="L106" t="s">
        <v>96</v>
      </c>
    </row>
    <row r="107" spans="1:12" x14ac:dyDescent="0.25">
      <c r="A107" s="1">
        <v>106</v>
      </c>
      <c r="B107" s="1" t="str">
        <f>IFERROR(IF(F107&lt;&gt;"",F107,VLOOKUP(MAX(F$2:F107),A$1:B106,2,FALSE)),"")</f>
        <v/>
      </c>
      <c r="C107" s="1" t="str">
        <f t="shared" si="2"/>
        <v/>
      </c>
      <c r="D107" s="1" t="str">
        <f>IFERROR(IF(F107&lt;&gt;"",F107,VLOOKUP(MAX(C$2:C107),A$2:F107,2,FALSE)),"")</f>
        <v>SC</v>
      </c>
      <c r="E107" s="1" t="str">
        <f t="shared" si="3"/>
        <v>SC.Model permissible variable added into standard domain</v>
      </c>
      <c r="G107" t="s">
        <v>87</v>
      </c>
      <c r="H107" t="s">
        <v>88</v>
      </c>
      <c r="I107" t="s">
        <v>33</v>
      </c>
      <c r="J107">
        <v>2</v>
      </c>
      <c r="L107" t="s">
        <v>132</v>
      </c>
    </row>
    <row r="108" spans="1:12" x14ac:dyDescent="0.25">
      <c r="A108" s="1">
        <v>107</v>
      </c>
      <c r="B108" s="1" t="str">
        <f>IFERROR(IF(F108&lt;&gt;"",F108,VLOOKUP(MAX(F$2:F108),A$1:B107,2,FALSE)),"")</f>
        <v>SE</v>
      </c>
      <c r="C108" s="1">
        <f t="shared" si="2"/>
        <v>107</v>
      </c>
      <c r="D108" s="1" t="str">
        <f>IFERROR(IF(F108&lt;&gt;"",F108,VLOOKUP(MAX(C$2:C108),A$2:F108,2,FALSE)),"")</f>
        <v>SE</v>
      </c>
      <c r="E108" s="1" t="str">
        <f t="shared" si="3"/>
        <v/>
      </c>
      <c r="F108" t="s">
        <v>172</v>
      </c>
    </row>
    <row r="109" spans="1:12" x14ac:dyDescent="0.25">
      <c r="A109" s="1">
        <v>108</v>
      </c>
      <c r="B109" s="1" t="str">
        <f>IFERROR(IF(F109&lt;&gt;"",F109,VLOOKUP(MAX(F$2:F109),A$1:B108,2,FALSE)),"")</f>
        <v/>
      </c>
      <c r="C109" s="1" t="str">
        <f t="shared" si="2"/>
        <v/>
      </c>
      <c r="D109" s="1" t="str">
        <f>IFERROR(IF(F109&lt;&gt;"",F109,VLOOKUP(MAX(C$2:C109),A$2:F109,2,FALSE)),"")</f>
        <v>SE</v>
      </c>
      <c r="E109" s="1" t="str">
        <f t="shared" si="3"/>
        <v>SE.EPOCH value not found in 'Epoch' extensible codelist</v>
      </c>
      <c r="G109" t="s">
        <v>39</v>
      </c>
      <c r="H109" t="s">
        <v>40</v>
      </c>
      <c r="I109" t="s">
        <v>33</v>
      </c>
      <c r="J109">
        <v>306</v>
      </c>
      <c r="L109" t="s">
        <v>38</v>
      </c>
    </row>
    <row r="110" spans="1:12" x14ac:dyDescent="0.25">
      <c r="A110" s="1">
        <v>109</v>
      </c>
      <c r="B110" s="1" t="str">
        <f>IFERROR(IF(F110&lt;&gt;"",F110,VLOOKUP(MAX(F$2:F110),A$1:B109,2,FALSE)),"")</f>
        <v>SUPPCM</v>
      </c>
      <c r="C110" s="1">
        <f t="shared" si="2"/>
        <v>109</v>
      </c>
      <c r="D110" s="1" t="str">
        <f>IFERROR(IF(F110&lt;&gt;"",F110,VLOOKUP(MAX(C$2:C110),A$2:F110,2,FALSE)),"")</f>
        <v>SUPPCM</v>
      </c>
      <c r="E110" s="1" t="str">
        <f t="shared" si="3"/>
        <v/>
      </c>
      <c r="F110" t="s">
        <v>173</v>
      </c>
    </row>
    <row r="111" spans="1:12" x14ac:dyDescent="0.25">
      <c r="A111" s="1">
        <v>110</v>
      </c>
      <c r="B111" s="1" t="str">
        <f>IFERROR(IF(F111&lt;&gt;"",F111,VLOOKUP(MAX(F$2:F111),A$1:B110,2,FALSE)),"")</f>
        <v/>
      </c>
      <c r="C111" s="1" t="str">
        <f t="shared" si="2"/>
        <v/>
      </c>
      <c r="D111" s="1" t="str">
        <f>IFERROR(IF(F111&lt;&gt;"",F111,VLOOKUP(MAX(C$2:C111),A$2:F111,2,FALSE)),"")</f>
        <v>SUPPCM</v>
      </c>
      <c r="E111" s="1" t="str">
        <f t="shared" si="3"/>
        <v>SUPPCM.QEVAL is null when QORIG equals 'ASSIGNED'</v>
      </c>
      <c r="G111" t="s">
        <v>174</v>
      </c>
      <c r="H111" t="s">
        <v>175</v>
      </c>
      <c r="I111" t="s">
        <v>33</v>
      </c>
      <c r="J111">
        <v>7617</v>
      </c>
      <c r="L111" t="s">
        <v>176</v>
      </c>
    </row>
    <row r="112" spans="1:12" x14ac:dyDescent="0.25">
      <c r="A112" s="1">
        <v>111</v>
      </c>
      <c r="B112" s="1" t="str">
        <f>IFERROR(IF(F112&lt;&gt;"",F112,VLOOKUP(MAX(F$2:F112),A$1:B111,2,FALSE)),"")</f>
        <v>TA</v>
      </c>
      <c r="C112" s="1">
        <f t="shared" si="2"/>
        <v>111</v>
      </c>
      <c r="D112" s="1" t="str">
        <f>IFERROR(IF(F112&lt;&gt;"",F112,VLOOKUP(MAX(C$2:C112),A$2:F112,2,FALSE)),"")</f>
        <v>TA</v>
      </c>
      <c r="E112" s="1" t="str">
        <f t="shared" si="3"/>
        <v/>
      </c>
      <c r="F112" t="s">
        <v>177</v>
      </c>
    </row>
    <row r="113" spans="1:12" x14ac:dyDescent="0.25">
      <c r="A113" s="1">
        <v>112</v>
      </c>
      <c r="B113" s="1" t="str">
        <f>IFERROR(IF(F113&lt;&gt;"",F113,VLOOKUP(MAX(F$2:F113),A$1:B112,2,FALSE)),"")</f>
        <v/>
      </c>
      <c r="C113" s="1" t="str">
        <f t="shared" si="2"/>
        <v/>
      </c>
      <c r="D113" s="1" t="str">
        <f>IFERROR(IF(F113&lt;&gt;"",F113,VLOOKUP(MAX(C$2:C113),A$2:F113,2,FALSE)),"")</f>
        <v>TA</v>
      </c>
      <c r="E113" s="1" t="str">
        <f t="shared" si="3"/>
        <v>TA.EPOCH value not found in 'Epoch' extensible codelist</v>
      </c>
      <c r="G113" t="s">
        <v>39</v>
      </c>
      <c r="H113" t="s">
        <v>40</v>
      </c>
      <c r="I113" t="s">
        <v>33</v>
      </c>
      <c r="J113">
        <v>2</v>
      </c>
      <c r="L113" t="s">
        <v>38</v>
      </c>
    </row>
    <row r="114" spans="1:12" x14ac:dyDescent="0.25">
      <c r="A114" s="1">
        <v>113</v>
      </c>
      <c r="B114" s="1" t="str">
        <f>IFERROR(IF(F114&lt;&gt;"",F114,VLOOKUP(MAX(F$2:F114),A$1:B113,2,FALSE)),"")</f>
        <v>TS</v>
      </c>
      <c r="C114" s="1">
        <f t="shared" si="2"/>
        <v>113</v>
      </c>
      <c r="D114" s="1" t="str">
        <f>IFERROR(IF(F114&lt;&gt;"",F114,VLOOKUP(MAX(C$2:C114),A$2:F114,2,FALSE)),"")</f>
        <v>TS</v>
      </c>
      <c r="E114" s="1" t="str">
        <f t="shared" si="3"/>
        <v/>
      </c>
      <c r="F114" t="s">
        <v>178</v>
      </c>
    </row>
    <row r="115" spans="1:12" x14ac:dyDescent="0.25">
      <c r="A115" s="1">
        <v>114</v>
      </c>
      <c r="B115" s="1" t="str">
        <f>IFERROR(IF(F115&lt;&gt;"",F115,VLOOKUP(MAX(F$2:F115),A$1:B114,2,FALSE)),"")</f>
        <v/>
      </c>
      <c r="C115" s="1" t="str">
        <f t="shared" si="2"/>
        <v/>
      </c>
      <c r="D115" s="1" t="str">
        <f>IFERROR(IF(F115&lt;&gt;"",F115,VLOOKUP(MAX(C$2:C115),A$2:F115,2,FALSE)),"")</f>
        <v>TS</v>
      </c>
      <c r="E115" s="1" t="str">
        <f t="shared" si="3"/>
        <v>TS.Model permissible variable added into standard domain</v>
      </c>
      <c r="G115" t="s">
        <v>87</v>
      </c>
      <c r="H115" t="s">
        <v>88</v>
      </c>
      <c r="I115" t="s">
        <v>33</v>
      </c>
      <c r="J115">
        <v>1</v>
      </c>
      <c r="L115" t="s">
        <v>132</v>
      </c>
    </row>
    <row r="116" spans="1:12" x14ac:dyDescent="0.25">
      <c r="A116" s="1">
        <v>115</v>
      </c>
      <c r="B116" s="1" t="str">
        <f>IFERROR(IF(F116&lt;&gt;"",F116,VLOOKUP(MAX(F$2:F116),A$1:B115,2,FALSE)),"")</f>
        <v/>
      </c>
      <c r="C116" s="1" t="str">
        <f t="shared" si="2"/>
        <v/>
      </c>
      <c r="D116" s="1" t="str">
        <f>IFERROR(IF(F116&lt;&gt;"",F116,VLOOKUP(MAX(C$2:C116),A$2:F116,2,FALSE)),"")</f>
        <v>TS</v>
      </c>
      <c r="E116" s="1" t="str">
        <f t="shared" si="3"/>
        <v>TS.TSVCDVER is null when Reference Terminology is versioned</v>
      </c>
      <c r="G116" t="s">
        <v>179</v>
      </c>
      <c r="H116" t="s">
        <v>180</v>
      </c>
      <c r="I116" t="s">
        <v>33</v>
      </c>
      <c r="J116">
        <v>2</v>
      </c>
      <c r="L116" t="s">
        <v>181</v>
      </c>
    </row>
    <row r="117" spans="1:12" x14ac:dyDescent="0.25">
      <c r="A117" s="1">
        <v>116</v>
      </c>
      <c r="B117" s="1" t="str">
        <f>IFERROR(IF(F117&lt;&gt;"",F117,VLOOKUP(MAX(F$2:F117),A$1:B116,2,FALSE)),"")</f>
        <v/>
      </c>
      <c r="C117" s="1" t="str">
        <f t="shared" si="2"/>
        <v/>
      </c>
      <c r="D117" s="1" t="str">
        <f>IFERROR(IF(F117&lt;&gt;"",F117,VLOOKUP(MAX(C$2:C117),A$2:F117,2,FALSE)),"")</f>
        <v>TS</v>
      </c>
      <c r="E117" s="1" t="str">
        <f t="shared" si="3"/>
        <v>TS.TSVAL is missing for the PCLAS Trial Summary Parameter, when STYPE parameter equals 'INTERVENTIONAL'</v>
      </c>
      <c r="G117" t="s">
        <v>182</v>
      </c>
      <c r="H117" t="s">
        <v>183</v>
      </c>
      <c r="I117" t="s">
        <v>33</v>
      </c>
      <c r="J117">
        <v>1</v>
      </c>
      <c r="L117" t="s">
        <v>181</v>
      </c>
    </row>
    <row r="118" spans="1:12" x14ac:dyDescent="0.25">
      <c r="A118" s="1">
        <v>117</v>
      </c>
      <c r="B118" s="1" t="str">
        <f>IFERROR(IF(F118&lt;&gt;"",F118,VLOOKUP(MAX(F$2:F118),A$1:B117,2,FALSE)),"")</f>
        <v/>
      </c>
      <c r="C118" s="1" t="str">
        <f t="shared" si="2"/>
        <v/>
      </c>
      <c r="D118" s="1" t="str">
        <f>IFERROR(IF(F118&lt;&gt;"",F118,VLOOKUP(MAX(C$2:C118),A$2:F118,2,FALSE)),"")</f>
        <v>TS</v>
      </c>
      <c r="E118" s="1" t="str">
        <f t="shared" si="3"/>
        <v>TS.Missing values for both TSVAL and TSVALNF</v>
      </c>
      <c r="G118" t="s">
        <v>184</v>
      </c>
      <c r="H118" t="s">
        <v>185</v>
      </c>
      <c r="I118" t="s">
        <v>33</v>
      </c>
      <c r="J118">
        <v>5</v>
      </c>
      <c r="L118" t="s">
        <v>181</v>
      </c>
    </row>
    <row r="119" spans="1:12" x14ac:dyDescent="0.25">
      <c r="A119" s="1">
        <v>118</v>
      </c>
      <c r="B119" s="1" t="str">
        <f>IFERROR(IF(F119&lt;&gt;"",F119,VLOOKUP(MAX(F$2:F119),A$1:B118,2,FALSE)),"")</f>
        <v/>
      </c>
      <c r="C119" s="1" t="str">
        <f t="shared" si="2"/>
        <v/>
      </c>
      <c r="D119" s="1" t="str">
        <f>IFERROR(IF(F119&lt;&gt;"",F119,VLOOKUP(MAX(C$2:C119),A$2:F119,2,FALSE)),"")</f>
        <v>TS</v>
      </c>
      <c r="E119" s="1" t="str">
        <f t="shared" si="3"/>
        <v>TS.Invalid TSVCDREF value for TRT</v>
      </c>
      <c r="G119" t="s">
        <v>186</v>
      </c>
      <c r="H119" t="s">
        <v>187</v>
      </c>
      <c r="I119" t="s">
        <v>33</v>
      </c>
      <c r="J119">
        <v>2</v>
      </c>
      <c r="L119" t="s">
        <v>181</v>
      </c>
    </row>
    <row r="120" spans="1:12" x14ac:dyDescent="0.25">
      <c r="A120" s="1">
        <v>119</v>
      </c>
      <c r="B120" s="1" t="str">
        <f>IFERROR(IF(F120&lt;&gt;"",F120,VLOOKUP(MAX(F$2:F120),A$1:B119,2,FALSE)),"")</f>
        <v/>
      </c>
      <c r="C120" s="1" t="str">
        <f t="shared" si="2"/>
        <v/>
      </c>
      <c r="D120" s="1" t="str">
        <f>IFERROR(IF(F120&lt;&gt;"",F120,VLOOKUP(MAX(C$2:C120),A$2:F120,2,FALSE)),"")</f>
        <v>TS</v>
      </c>
      <c r="E120" s="1" t="str">
        <f t="shared" si="3"/>
        <v>TS.Invalid TSVAL value for TRT</v>
      </c>
      <c r="G120" t="s">
        <v>188</v>
      </c>
      <c r="H120" t="s">
        <v>189</v>
      </c>
      <c r="I120" t="s">
        <v>33</v>
      </c>
      <c r="J120">
        <v>2</v>
      </c>
      <c r="L120" t="s">
        <v>181</v>
      </c>
    </row>
    <row r="121" spans="1:12" x14ac:dyDescent="0.25">
      <c r="A121" s="1">
        <v>120</v>
      </c>
      <c r="B121" s="1" t="str">
        <f>IFERROR(IF(F121&lt;&gt;"",F121,VLOOKUP(MAX(F$2:F121),A$1:B120,2,FALSE)),"")</f>
        <v/>
      </c>
      <c r="C121" s="1" t="str">
        <f t="shared" si="2"/>
        <v/>
      </c>
      <c r="D121" s="1" t="str">
        <f>IFERROR(IF(F121&lt;&gt;"",F121,VLOOKUP(MAX(C$2:C121),A$2:F121,2,FALSE)),"")</f>
        <v>TS</v>
      </c>
      <c r="E121" s="1" t="str">
        <f t="shared" si="3"/>
        <v>TS.Invalid TSVALCD value for TRT</v>
      </c>
      <c r="G121" t="s">
        <v>190</v>
      </c>
      <c r="H121" t="s">
        <v>191</v>
      </c>
      <c r="I121" t="s">
        <v>33</v>
      </c>
      <c r="J121">
        <v>2</v>
      </c>
      <c r="L121" t="s">
        <v>181</v>
      </c>
    </row>
    <row r="122" spans="1:12" x14ac:dyDescent="0.25">
      <c r="A122" s="1">
        <v>121</v>
      </c>
      <c r="B122" s="1" t="str">
        <f>IFERROR(IF(F122&lt;&gt;"",F122,VLOOKUP(MAX(F$2:F122),A$1:B121,2,FALSE)),"")</f>
        <v>VS</v>
      </c>
      <c r="C122" s="1">
        <f t="shared" si="2"/>
        <v>121</v>
      </c>
      <c r="D122" s="1" t="str">
        <f>IFERROR(IF(F122&lt;&gt;"",F122,VLOOKUP(MAX(C$2:C122),A$2:F122,2,FALSE)),"")</f>
        <v>VS</v>
      </c>
      <c r="E122" s="1" t="str">
        <f t="shared" si="3"/>
        <v/>
      </c>
      <c r="F122" t="s">
        <v>192</v>
      </c>
    </row>
    <row r="123" spans="1:12" x14ac:dyDescent="0.25">
      <c r="A123" s="1">
        <v>122</v>
      </c>
      <c r="B123" s="1" t="str">
        <f>IFERROR(IF(F123&lt;&gt;"",F123,VLOOKUP(MAX(F$2:F123),A$1:B122,2,FALSE)),"")</f>
        <v/>
      </c>
      <c r="C123" s="1" t="str">
        <f t="shared" si="2"/>
        <v/>
      </c>
      <c r="D123" s="1" t="str">
        <f>IFERROR(IF(F123&lt;&gt;"",F123,VLOOKUP(MAX(C$2:C123),A$2:F123,2,FALSE)),"")</f>
        <v>VS</v>
      </c>
      <c r="E123" s="1" t="str">
        <f t="shared" si="3"/>
        <v>VS.EPOCH value not found in 'Epoch' extensible codelist</v>
      </c>
      <c r="G123" t="s">
        <v>39</v>
      </c>
      <c r="H123" t="s">
        <v>40</v>
      </c>
      <c r="I123" t="s">
        <v>33</v>
      </c>
      <c r="J123">
        <v>5900</v>
      </c>
      <c r="L123" t="s">
        <v>38</v>
      </c>
    </row>
    <row r="124" spans="1:12" x14ac:dyDescent="0.25">
      <c r="A124" s="1">
        <v>123</v>
      </c>
      <c r="B124" s="1" t="str">
        <f>IFERROR(IF(F124&lt;&gt;"",F124,VLOOKUP(MAX(F$2:F124),A$1:B123,2,FALSE)),"")</f>
        <v/>
      </c>
      <c r="C124" s="1" t="str">
        <f t="shared" si="2"/>
        <v/>
      </c>
      <c r="D124" s="1" t="str">
        <f>IFERROR(IF(F124&lt;&gt;"",F124,VLOOKUP(MAX(C$2:C124),A$2:F124,2,FALSE)),"")</f>
        <v>VS</v>
      </c>
      <c r="E124" s="1" t="str">
        <f t="shared" si="3"/>
        <v>VS.USUBJID/VISIT/VISITNUM values do not match SV domain data</v>
      </c>
      <c r="G124" t="s">
        <v>145</v>
      </c>
      <c r="H124" t="s">
        <v>146</v>
      </c>
      <c r="I124" t="s">
        <v>33</v>
      </c>
      <c r="J124">
        <v>13</v>
      </c>
      <c r="L124" t="s">
        <v>96</v>
      </c>
    </row>
    <row r="125" spans="1:12" x14ac:dyDescent="0.25">
      <c r="A125" s="1">
        <v>124</v>
      </c>
      <c r="B125" s="1" t="str">
        <f>IFERROR(IF(F125&lt;&gt;"",F125,VLOOKUP(MAX(F$2:F125),A$1:B124,2,FALSE)),"")</f>
        <v/>
      </c>
      <c r="C125" s="1" t="str">
        <f t="shared" si="2"/>
        <v/>
      </c>
      <c r="D125" s="1" t="str">
        <f>IFERROR(IF(F125&lt;&gt;"",F125,VLOOKUP(MAX(C$2:C125),A$2:F125,2,FALSE)),"")</f>
        <v>VS</v>
      </c>
      <c r="E125" s="1" t="str">
        <f t="shared" si="3"/>
        <v>VS.Multiple VSLOBXFL records for the same test</v>
      </c>
      <c r="G125" t="s">
        <v>193</v>
      </c>
      <c r="H125" t="s">
        <v>194</v>
      </c>
      <c r="I125" t="s">
        <v>33</v>
      </c>
      <c r="J125">
        <v>480</v>
      </c>
      <c r="L125" t="s">
        <v>46</v>
      </c>
    </row>
    <row r="126" spans="1:12" x14ac:dyDescent="0.25">
      <c r="A126" s="1">
        <v>125</v>
      </c>
      <c r="B126" s="1" t="str">
        <f>IFERROR(IF(F126&lt;&gt;"",F126,VLOOKUP(MAX(F$2:F126),A$1:B125,2,FALSE)),"")</f>
        <v>XF</v>
      </c>
      <c r="C126" s="1">
        <f t="shared" si="2"/>
        <v>125</v>
      </c>
      <c r="D126" s="1" t="str">
        <f>IFERROR(IF(F126&lt;&gt;"",F126,VLOOKUP(MAX(C$2:C126),A$2:F126,2,FALSE)),"")</f>
        <v>XF</v>
      </c>
      <c r="E126" s="1" t="str">
        <f t="shared" si="3"/>
        <v/>
      </c>
      <c r="F126" t="s">
        <v>195</v>
      </c>
    </row>
    <row r="127" spans="1:12" x14ac:dyDescent="0.25">
      <c r="A127" s="1">
        <v>126</v>
      </c>
      <c r="B127" s="1" t="str">
        <f>IFERROR(IF(F127&lt;&gt;"",F127,VLOOKUP(MAX(F$2:F127),A$1:B126,2,FALSE)),"")</f>
        <v/>
      </c>
      <c r="C127" s="1" t="str">
        <f t="shared" si="2"/>
        <v/>
      </c>
      <c r="D127" s="1" t="str">
        <f>IFERROR(IF(F127&lt;&gt;"",F127,VLOOKUP(MAX(C$2:C127),A$2:F127,2,FALSE)),"")</f>
        <v>XF</v>
      </c>
      <c r="E127" s="1" t="str">
        <f t="shared" si="3"/>
        <v>XF.EPOCH value not found in 'Epoch' extensible codelist</v>
      </c>
      <c r="G127" t="s">
        <v>39</v>
      </c>
      <c r="H127" t="s">
        <v>40</v>
      </c>
      <c r="I127" t="s">
        <v>33</v>
      </c>
      <c r="J127">
        <v>1382</v>
      </c>
      <c r="L127" t="s">
        <v>38</v>
      </c>
    </row>
    <row r="128" spans="1:12" x14ac:dyDescent="0.25">
      <c r="A128" s="1">
        <v>127</v>
      </c>
      <c r="B128" s="1" t="str">
        <f>IFERROR(IF(F128&lt;&gt;"",F128,VLOOKUP(MAX(F$2:F128),A$1:B127,2,FALSE)),"")</f>
        <v/>
      </c>
      <c r="C128" s="1" t="str">
        <f t="shared" si="2"/>
        <v/>
      </c>
      <c r="D128" s="1" t="str">
        <f>IFERROR(IF(F128&lt;&gt;"",F128,VLOOKUP(MAX(C$2:C128),A$2:F128,2,FALSE)),"")</f>
        <v>XF</v>
      </c>
      <c r="E128" s="1" t="str">
        <f t="shared" si="3"/>
        <v>XF.USUBJID/VISIT/VISITNUM values do not match SV domain data</v>
      </c>
      <c r="G128" t="s">
        <v>145</v>
      </c>
      <c r="H128" t="s">
        <v>146</v>
      </c>
      <c r="I128" t="s">
        <v>33</v>
      </c>
      <c r="J128">
        <v>6</v>
      </c>
      <c r="L128" t="s">
        <v>96</v>
      </c>
    </row>
    <row r="129" spans="1:5" x14ac:dyDescent="0.25">
      <c r="A129" s="1">
        <v>128</v>
      </c>
      <c r="B129" s="1" t="str">
        <f>IFERROR(IF(F129&lt;&gt;"",F129,VLOOKUP(MAX(F$2:F129),A$1:B128,2,FALSE)),"")</f>
        <v/>
      </c>
      <c r="C129" s="1" t="str">
        <f t="shared" si="2"/>
        <v/>
      </c>
      <c r="D129" s="1" t="str">
        <f>IFERROR(IF(F129&lt;&gt;"",F129,VLOOKUP(MAX(C$2:C129),A$2:F129,2,FALSE)),"")</f>
        <v>XF</v>
      </c>
      <c r="E129" s="1" t="str">
        <f t="shared" si="3"/>
        <v/>
      </c>
    </row>
    <row r="130" spans="1:5" x14ac:dyDescent="0.25">
      <c r="A130" s="1">
        <v>129</v>
      </c>
      <c r="B130" s="1" t="str">
        <f>IFERROR(IF(F130&lt;&gt;"",F130,VLOOKUP(MAX(F$2:F130),A$1:B129,2,FALSE)),"")</f>
        <v/>
      </c>
      <c r="C130" s="1" t="str">
        <f t="shared" ref="C130:C193" si="4">IF(F130&lt;&gt;"",A130,"")</f>
        <v/>
      </c>
      <c r="D130" s="1" t="str">
        <f>IFERROR(IF(F130&lt;&gt;"",F130,VLOOKUP(MAX(C$2:C130),A$2:F130,2,FALSE)),"")</f>
        <v>XF</v>
      </c>
      <c r="E130" s="1" t="str">
        <f t="shared" si="3"/>
        <v/>
      </c>
    </row>
    <row r="131" spans="1:5" x14ac:dyDescent="0.25">
      <c r="A131" s="1">
        <v>130</v>
      </c>
      <c r="B131" s="1" t="str">
        <f>IFERROR(IF(F131&lt;&gt;"",F131,VLOOKUP(MAX(F$2:F131),A$1:B130,2,FALSE)),"")</f>
        <v/>
      </c>
      <c r="C131" s="1" t="str">
        <f t="shared" si="4"/>
        <v/>
      </c>
      <c r="D131" s="1" t="str">
        <f>IFERROR(IF(F131&lt;&gt;"",F131,VLOOKUP(MAX(C$2:C131),A$2:F131,2,FALSE)),"")</f>
        <v>XF</v>
      </c>
      <c r="E131" s="1" t="str">
        <f t="shared" si="3"/>
        <v/>
      </c>
    </row>
    <row r="132" spans="1:5" x14ac:dyDescent="0.25">
      <c r="A132" s="1">
        <v>131</v>
      </c>
      <c r="B132" s="1" t="str">
        <f>IFERROR(IF(F132&lt;&gt;"",F132,VLOOKUP(MAX(F$2:F132),A$1:B131,2,FALSE)),"")</f>
        <v/>
      </c>
      <c r="C132" s="1" t="str">
        <f t="shared" si="4"/>
        <v/>
      </c>
      <c r="D132" s="1" t="str">
        <f>IFERROR(IF(F132&lt;&gt;"",F132,VLOOKUP(MAX(C$2:C132),A$2:F132,2,FALSE)),"")</f>
        <v>XF</v>
      </c>
      <c r="E132" s="1" t="str">
        <f t="shared" ref="E132:E195" si="5">IF(H132&lt;&gt;"",CONCATENATE(D132,".",H132),"")</f>
        <v/>
      </c>
    </row>
    <row r="133" spans="1:5" x14ac:dyDescent="0.25">
      <c r="A133" s="1">
        <v>132</v>
      </c>
      <c r="B133" s="1" t="str">
        <f>IFERROR(IF(F133&lt;&gt;"",F133,VLOOKUP(MAX(F$2:F133),A$1:B132,2,FALSE)),"")</f>
        <v/>
      </c>
      <c r="C133" s="1" t="str">
        <f t="shared" si="4"/>
        <v/>
      </c>
      <c r="D133" s="1" t="str">
        <f>IFERROR(IF(F133&lt;&gt;"",F133,VLOOKUP(MAX(C$2:C133),A$2:F133,2,FALSE)),"")</f>
        <v>XF</v>
      </c>
      <c r="E133" s="1" t="str">
        <f t="shared" si="5"/>
        <v/>
      </c>
    </row>
    <row r="134" spans="1:5" x14ac:dyDescent="0.25">
      <c r="A134" s="1">
        <v>133</v>
      </c>
      <c r="B134" s="1" t="str">
        <f>IFERROR(IF(F134&lt;&gt;"",F134,VLOOKUP(MAX(F$2:F134),A$1:B133,2,FALSE)),"")</f>
        <v/>
      </c>
      <c r="C134" s="1" t="str">
        <f t="shared" si="4"/>
        <v/>
      </c>
      <c r="D134" s="1" t="str">
        <f>IFERROR(IF(F134&lt;&gt;"",F134,VLOOKUP(MAX(C$2:C134),A$2:F134,2,FALSE)),"")</f>
        <v>XF</v>
      </c>
      <c r="E134" s="1" t="str">
        <f t="shared" si="5"/>
        <v/>
      </c>
    </row>
    <row r="135" spans="1:5" x14ac:dyDescent="0.25">
      <c r="A135" s="1">
        <v>134</v>
      </c>
      <c r="B135" s="1" t="str">
        <f>IFERROR(IF(F135&lt;&gt;"",F135,VLOOKUP(MAX(F$2:F135),A$1:B134,2,FALSE)),"")</f>
        <v/>
      </c>
      <c r="C135" s="1" t="str">
        <f t="shared" si="4"/>
        <v/>
      </c>
      <c r="D135" s="1" t="str">
        <f>IFERROR(IF(F135&lt;&gt;"",F135,VLOOKUP(MAX(C$2:C135),A$2:F135,2,FALSE)),"")</f>
        <v>XF</v>
      </c>
      <c r="E135" s="1" t="str">
        <f t="shared" si="5"/>
        <v/>
      </c>
    </row>
    <row r="136" spans="1:5" x14ac:dyDescent="0.25">
      <c r="A136" s="1">
        <v>135</v>
      </c>
      <c r="B136" s="1" t="str">
        <f>IFERROR(IF(F136&lt;&gt;"",F136,VLOOKUP(MAX(F$2:F136),A$1:B135,2,FALSE)),"")</f>
        <v/>
      </c>
      <c r="C136" s="1" t="str">
        <f t="shared" si="4"/>
        <v/>
      </c>
      <c r="D136" s="1" t="str">
        <f>IFERROR(IF(F136&lt;&gt;"",F136,VLOOKUP(MAX(C$2:C136),A$2:F136,2,FALSE)),"")</f>
        <v>XF</v>
      </c>
      <c r="E136" s="1" t="str">
        <f t="shared" si="5"/>
        <v/>
      </c>
    </row>
    <row r="137" spans="1:5" x14ac:dyDescent="0.25">
      <c r="A137" s="1">
        <v>136</v>
      </c>
      <c r="B137" s="1" t="str">
        <f>IFERROR(IF(F137&lt;&gt;"",F137,VLOOKUP(MAX(F$2:F137),A$1:B136,2,FALSE)),"")</f>
        <v/>
      </c>
      <c r="C137" s="1" t="str">
        <f t="shared" si="4"/>
        <v/>
      </c>
      <c r="D137" s="1" t="str">
        <f>IFERROR(IF(F137&lt;&gt;"",F137,VLOOKUP(MAX(C$2:C137),A$2:F137,2,FALSE)),"")</f>
        <v>XF</v>
      </c>
      <c r="E137" s="1" t="str">
        <f t="shared" si="5"/>
        <v/>
      </c>
    </row>
    <row r="138" spans="1:5" x14ac:dyDescent="0.25">
      <c r="A138" s="1">
        <v>137</v>
      </c>
      <c r="B138" s="1" t="str">
        <f>IFERROR(IF(F138&lt;&gt;"",F138,VLOOKUP(MAX(F$2:F138),A$1:B137,2,FALSE)),"")</f>
        <v/>
      </c>
      <c r="C138" s="1" t="str">
        <f t="shared" si="4"/>
        <v/>
      </c>
      <c r="D138" s="1" t="str">
        <f>IFERROR(IF(F138&lt;&gt;"",F138,VLOOKUP(MAX(C$2:C138),A$2:F138,2,FALSE)),"")</f>
        <v>XF</v>
      </c>
      <c r="E138" s="1" t="str">
        <f t="shared" si="5"/>
        <v/>
      </c>
    </row>
    <row r="139" spans="1:5" x14ac:dyDescent="0.25">
      <c r="A139" s="1">
        <v>138</v>
      </c>
      <c r="B139" s="1" t="str">
        <f>IFERROR(IF(F139&lt;&gt;"",F139,VLOOKUP(MAX(F$2:F139),A$1:B138,2,FALSE)),"")</f>
        <v/>
      </c>
      <c r="C139" s="1" t="str">
        <f t="shared" si="4"/>
        <v/>
      </c>
      <c r="D139" s="1" t="str">
        <f>IFERROR(IF(F139&lt;&gt;"",F139,VLOOKUP(MAX(C$2:C139),A$2:F139,2,FALSE)),"")</f>
        <v>XF</v>
      </c>
      <c r="E139" s="1" t="str">
        <f t="shared" si="5"/>
        <v/>
      </c>
    </row>
    <row r="140" spans="1:5" x14ac:dyDescent="0.25">
      <c r="A140" s="1">
        <v>139</v>
      </c>
      <c r="B140" s="1" t="str">
        <f>IFERROR(IF(F140&lt;&gt;"",F140,VLOOKUP(MAX(F$2:F140),A$1:B139,2,FALSE)),"")</f>
        <v/>
      </c>
      <c r="C140" s="1" t="str">
        <f t="shared" si="4"/>
        <v/>
      </c>
      <c r="D140" s="1" t="str">
        <f>IFERROR(IF(F140&lt;&gt;"",F140,VLOOKUP(MAX(C$2:C140),A$2:F140,2,FALSE)),"")</f>
        <v>XF</v>
      </c>
      <c r="E140" s="1" t="str">
        <f t="shared" si="5"/>
        <v/>
      </c>
    </row>
    <row r="141" spans="1:5" x14ac:dyDescent="0.25">
      <c r="A141" s="1">
        <v>140</v>
      </c>
      <c r="B141" s="1" t="str">
        <f>IFERROR(IF(F141&lt;&gt;"",F141,VLOOKUP(MAX(F$2:F141),A$1:B140,2,FALSE)),"")</f>
        <v/>
      </c>
      <c r="C141" s="1" t="str">
        <f t="shared" si="4"/>
        <v/>
      </c>
      <c r="D141" s="1" t="str">
        <f>IFERROR(IF(F141&lt;&gt;"",F141,VLOOKUP(MAX(C$2:C141),A$2:F141,2,FALSE)),"")</f>
        <v>XF</v>
      </c>
      <c r="E141" s="1" t="str">
        <f t="shared" si="5"/>
        <v/>
      </c>
    </row>
    <row r="142" spans="1:5" x14ac:dyDescent="0.25">
      <c r="A142" s="1">
        <v>141</v>
      </c>
      <c r="B142" s="1" t="str">
        <f>IFERROR(IF(F142&lt;&gt;"",F142,VLOOKUP(MAX(F$2:F142),A$1:B141,2,FALSE)),"")</f>
        <v/>
      </c>
      <c r="C142" s="1" t="str">
        <f t="shared" si="4"/>
        <v/>
      </c>
      <c r="D142" s="1" t="str">
        <f>IFERROR(IF(F142&lt;&gt;"",F142,VLOOKUP(MAX(C$2:C142),A$2:F142,2,FALSE)),"")</f>
        <v>XF</v>
      </c>
      <c r="E142" s="1" t="str">
        <f t="shared" si="5"/>
        <v/>
      </c>
    </row>
    <row r="143" spans="1:5" x14ac:dyDescent="0.25">
      <c r="A143" s="1">
        <v>142</v>
      </c>
      <c r="B143" s="1" t="str">
        <f>IFERROR(IF(F143&lt;&gt;"",F143,VLOOKUP(MAX(F$2:F143),A$1:B142,2,FALSE)),"")</f>
        <v/>
      </c>
      <c r="C143" s="1" t="str">
        <f t="shared" si="4"/>
        <v/>
      </c>
      <c r="D143" s="1" t="str">
        <f>IFERROR(IF(F143&lt;&gt;"",F143,VLOOKUP(MAX(C$2:C143),A$2:F143,2,FALSE)),"")</f>
        <v>XF</v>
      </c>
      <c r="E143" s="1" t="str">
        <f t="shared" si="5"/>
        <v/>
      </c>
    </row>
    <row r="144" spans="1:5" x14ac:dyDescent="0.25">
      <c r="A144" s="1">
        <v>143</v>
      </c>
      <c r="B144" s="1" t="str">
        <f>IFERROR(IF(F144&lt;&gt;"",F144,VLOOKUP(MAX(F$2:F144),A$1:B143,2,FALSE)),"")</f>
        <v/>
      </c>
      <c r="C144" s="1" t="str">
        <f t="shared" si="4"/>
        <v/>
      </c>
      <c r="D144" s="1" t="str">
        <f>IFERROR(IF(F144&lt;&gt;"",F144,VLOOKUP(MAX(C$2:C144),A$2:F144,2,FALSE)),"")</f>
        <v>XF</v>
      </c>
      <c r="E144" s="1" t="str">
        <f t="shared" si="5"/>
        <v/>
      </c>
    </row>
    <row r="145" spans="1:5" x14ac:dyDescent="0.25">
      <c r="A145" s="1">
        <v>144</v>
      </c>
      <c r="B145" s="1" t="str">
        <f>IFERROR(IF(F145&lt;&gt;"",F145,VLOOKUP(MAX(F$2:F145),A$1:B144,2,FALSE)),"")</f>
        <v/>
      </c>
      <c r="C145" s="1" t="str">
        <f t="shared" si="4"/>
        <v/>
      </c>
      <c r="D145" s="1" t="str">
        <f>IFERROR(IF(F145&lt;&gt;"",F145,VLOOKUP(MAX(C$2:C145),A$2:F145,2,FALSE)),"")</f>
        <v>XF</v>
      </c>
      <c r="E145" s="1" t="str">
        <f t="shared" si="5"/>
        <v/>
      </c>
    </row>
    <row r="146" spans="1:5" x14ac:dyDescent="0.25">
      <c r="A146" s="1">
        <v>145</v>
      </c>
      <c r="B146" s="1" t="str">
        <f>IFERROR(IF(F146&lt;&gt;"",F146,VLOOKUP(MAX(F$2:F146),A$1:B145,2,FALSE)),"")</f>
        <v/>
      </c>
      <c r="C146" s="1" t="str">
        <f t="shared" si="4"/>
        <v/>
      </c>
      <c r="D146" s="1" t="str">
        <f>IFERROR(IF(F146&lt;&gt;"",F146,VLOOKUP(MAX(C$2:C146),A$2:F146,2,FALSE)),"")</f>
        <v>XF</v>
      </c>
      <c r="E146" s="1" t="str">
        <f t="shared" si="5"/>
        <v/>
      </c>
    </row>
    <row r="147" spans="1:5" x14ac:dyDescent="0.25">
      <c r="A147" s="1">
        <v>146</v>
      </c>
      <c r="B147" s="1" t="str">
        <f>IFERROR(IF(F147&lt;&gt;"",F147,VLOOKUP(MAX(F$2:F147),A$1:B146,2,FALSE)),"")</f>
        <v/>
      </c>
      <c r="C147" s="1" t="str">
        <f t="shared" si="4"/>
        <v/>
      </c>
      <c r="D147" s="1" t="str">
        <f>IFERROR(IF(F147&lt;&gt;"",F147,VLOOKUP(MAX(C$2:C147),A$2:F147,2,FALSE)),"")</f>
        <v>XF</v>
      </c>
      <c r="E147" s="1" t="str">
        <f t="shared" si="5"/>
        <v/>
      </c>
    </row>
    <row r="148" spans="1:5" x14ac:dyDescent="0.25">
      <c r="A148" s="1">
        <v>147</v>
      </c>
      <c r="B148" s="1" t="str">
        <f>IFERROR(IF(F148&lt;&gt;"",F148,VLOOKUP(MAX(F$2:F148),A$1:B147,2,FALSE)),"")</f>
        <v/>
      </c>
      <c r="C148" s="1" t="str">
        <f t="shared" si="4"/>
        <v/>
      </c>
      <c r="D148" s="1" t="str">
        <f>IFERROR(IF(F148&lt;&gt;"",F148,VLOOKUP(MAX(C$2:C148),A$2:F148,2,FALSE)),"")</f>
        <v>XF</v>
      </c>
      <c r="E148" s="1" t="str">
        <f t="shared" si="5"/>
        <v/>
      </c>
    </row>
    <row r="149" spans="1:5" x14ac:dyDescent="0.25">
      <c r="A149" s="1">
        <v>148</v>
      </c>
      <c r="B149" s="1" t="str">
        <f>IFERROR(IF(F149&lt;&gt;"",F149,VLOOKUP(MAX(F$2:F149),A$1:B148,2,FALSE)),"")</f>
        <v/>
      </c>
      <c r="C149" s="1" t="str">
        <f t="shared" si="4"/>
        <v/>
      </c>
      <c r="D149" s="1" t="str">
        <f>IFERROR(IF(F149&lt;&gt;"",F149,VLOOKUP(MAX(C$2:C149),A$2:F149,2,FALSE)),"")</f>
        <v>XF</v>
      </c>
      <c r="E149" s="1" t="str">
        <f t="shared" si="5"/>
        <v/>
      </c>
    </row>
    <row r="150" spans="1:5" x14ac:dyDescent="0.25">
      <c r="A150" s="1">
        <v>149</v>
      </c>
      <c r="B150" s="1" t="str">
        <f>IFERROR(IF(F150&lt;&gt;"",F150,VLOOKUP(MAX(F$2:F150),A$1:B149,2,FALSE)),"")</f>
        <v/>
      </c>
      <c r="C150" s="1" t="str">
        <f t="shared" si="4"/>
        <v/>
      </c>
      <c r="D150" s="1" t="str">
        <f>IFERROR(IF(F150&lt;&gt;"",F150,VLOOKUP(MAX(C$2:C150),A$2:F150,2,FALSE)),"")</f>
        <v>XF</v>
      </c>
      <c r="E150" s="1" t="str">
        <f t="shared" si="5"/>
        <v/>
      </c>
    </row>
    <row r="151" spans="1:5" x14ac:dyDescent="0.25">
      <c r="A151" s="1">
        <v>150</v>
      </c>
      <c r="B151" s="1" t="str">
        <f>IFERROR(IF(F151&lt;&gt;"",F151,VLOOKUP(MAX(F$2:F151),A$1:B150,2,FALSE)),"")</f>
        <v/>
      </c>
      <c r="C151" s="1" t="str">
        <f t="shared" si="4"/>
        <v/>
      </c>
      <c r="D151" s="1" t="str">
        <f>IFERROR(IF(F151&lt;&gt;"",F151,VLOOKUP(MAX(C$2:C151),A$2:F151,2,FALSE)),"")</f>
        <v>XF</v>
      </c>
      <c r="E151" s="1" t="str">
        <f t="shared" si="5"/>
        <v/>
      </c>
    </row>
    <row r="152" spans="1:5" x14ac:dyDescent="0.25">
      <c r="A152" s="1">
        <v>151</v>
      </c>
      <c r="B152" s="1" t="str">
        <f>IFERROR(IF(F152&lt;&gt;"",F152,VLOOKUP(MAX(F$2:F152),A$1:B151,2,FALSE)),"")</f>
        <v/>
      </c>
      <c r="C152" s="1" t="str">
        <f t="shared" si="4"/>
        <v/>
      </c>
      <c r="D152" s="1" t="str">
        <f>IFERROR(IF(F152&lt;&gt;"",F152,VLOOKUP(MAX(C$2:C152),A$2:F152,2,FALSE)),"")</f>
        <v>XF</v>
      </c>
      <c r="E152" s="1" t="str">
        <f t="shared" si="5"/>
        <v/>
      </c>
    </row>
    <row r="153" spans="1:5" x14ac:dyDescent="0.25">
      <c r="A153" s="1">
        <v>152</v>
      </c>
      <c r="B153" s="1" t="str">
        <f>IFERROR(IF(F153&lt;&gt;"",F153,VLOOKUP(MAX(F$2:F153),A$1:B152,2,FALSE)),"")</f>
        <v/>
      </c>
      <c r="C153" s="1" t="str">
        <f t="shared" si="4"/>
        <v/>
      </c>
      <c r="D153" s="1" t="str">
        <f>IFERROR(IF(F153&lt;&gt;"",F153,VLOOKUP(MAX(C$2:C153),A$2:F153,2,FALSE)),"")</f>
        <v>XF</v>
      </c>
      <c r="E153" s="1" t="str">
        <f t="shared" si="5"/>
        <v/>
      </c>
    </row>
    <row r="154" spans="1:5" x14ac:dyDescent="0.25">
      <c r="A154" s="1">
        <v>153</v>
      </c>
      <c r="B154" s="1" t="str">
        <f>IFERROR(IF(F154&lt;&gt;"",F154,VLOOKUP(MAX(F$2:F154),A$1:B153,2,FALSE)),"")</f>
        <v/>
      </c>
      <c r="C154" s="1" t="str">
        <f t="shared" si="4"/>
        <v/>
      </c>
      <c r="D154" s="1" t="str">
        <f>IFERROR(IF(F154&lt;&gt;"",F154,VLOOKUP(MAX(C$2:C154),A$2:F154,2,FALSE)),"")</f>
        <v>XF</v>
      </c>
      <c r="E154" s="1" t="str">
        <f t="shared" si="5"/>
        <v/>
      </c>
    </row>
    <row r="155" spans="1:5" x14ac:dyDescent="0.25">
      <c r="A155" s="1">
        <v>154</v>
      </c>
      <c r="B155" s="1" t="str">
        <f>IFERROR(IF(F155&lt;&gt;"",F155,VLOOKUP(MAX(F$2:F155),A$1:B154,2,FALSE)),"")</f>
        <v/>
      </c>
      <c r="C155" s="1" t="str">
        <f t="shared" si="4"/>
        <v/>
      </c>
      <c r="D155" s="1" t="str">
        <f>IFERROR(IF(F155&lt;&gt;"",F155,VLOOKUP(MAX(C$2:C155),A$2:F155,2,FALSE)),"")</f>
        <v>XF</v>
      </c>
      <c r="E155" s="1" t="str">
        <f t="shared" si="5"/>
        <v/>
      </c>
    </row>
    <row r="156" spans="1:5" x14ac:dyDescent="0.25">
      <c r="A156" s="1">
        <v>155</v>
      </c>
      <c r="B156" s="1" t="str">
        <f>IFERROR(IF(F156&lt;&gt;"",F156,VLOOKUP(MAX(F$2:F156),A$1:B155,2,FALSE)),"")</f>
        <v/>
      </c>
      <c r="C156" s="1" t="str">
        <f t="shared" si="4"/>
        <v/>
      </c>
      <c r="D156" s="1" t="str">
        <f>IFERROR(IF(F156&lt;&gt;"",F156,VLOOKUP(MAX(C$2:C156),A$2:F156,2,FALSE)),"")</f>
        <v>XF</v>
      </c>
      <c r="E156" s="1" t="str">
        <f t="shared" si="5"/>
        <v/>
      </c>
    </row>
    <row r="157" spans="1:5" x14ac:dyDescent="0.25">
      <c r="A157" s="1">
        <v>156</v>
      </c>
      <c r="B157" s="1" t="str">
        <f>IFERROR(IF(F157&lt;&gt;"",F157,VLOOKUP(MAX(F$2:F157),A$1:B156,2,FALSE)),"")</f>
        <v/>
      </c>
      <c r="C157" s="1" t="str">
        <f t="shared" si="4"/>
        <v/>
      </c>
      <c r="D157" s="1" t="str">
        <f>IFERROR(IF(F157&lt;&gt;"",F157,VLOOKUP(MAX(C$2:C157),A$2:F157,2,FALSE)),"")</f>
        <v>XF</v>
      </c>
      <c r="E157" s="1" t="str">
        <f t="shared" si="5"/>
        <v/>
      </c>
    </row>
    <row r="158" spans="1:5" x14ac:dyDescent="0.25">
      <c r="A158" s="1">
        <v>157</v>
      </c>
      <c r="B158" s="1" t="str">
        <f>IFERROR(IF(F158&lt;&gt;"",F158,VLOOKUP(MAX(F$2:F158),A$1:B157,2,FALSE)),"")</f>
        <v/>
      </c>
      <c r="C158" s="1" t="str">
        <f t="shared" si="4"/>
        <v/>
      </c>
      <c r="D158" s="1" t="str">
        <f>IFERROR(IF(F158&lt;&gt;"",F158,VLOOKUP(MAX(C$2:C158),A$2:F158,2,FALSE)),"")</f>
        <v>XF</v>
      </c>
      <c r="E158" s="1" t="str">
        <f t="shared" si="5"/>
        <v/>
      </c>
    </row>
    <row r="159" spans="1:5" x14ac:dyDescent="0.25">
      <c r="A159" s="1">
        <v>158</v>
      </c>
      <c r="B159" s="1" t="str">
        <f>IFERROR(IF(F159&lt;&gt;"",F159,VLOOKUP(MAX(F$2:F159),A$1:B158,2,FALSE)),"")</f>
        <v/>
      </c>
      <c r="C159" s="1" t="str">
        <f t="shared" si="4"/>
        <v/>
      </c>
      <c r="D159" s="1" t="str">
        <f>IFERROR(IF(F159&lt;&gt;"",F159,VLOOKUP(MAX(C$2:C159),A$2:F159,2,FALSE)),"")</f>
        <v>XF</v>
      </c>
      <c r="E159" s="1" t="str">
        <f t="shared" si="5"/>
        <v/>
      </c>
    </row>
    <row r="160" spans="1:5" x14ac:dyDescent="0.25">
      <c r="A160" s="1">
        <v>159</v>
      </c>
      <c r="B160" s="1" t="str">
        <f>IFERROR(IF(F160&lt;&gt;"",F160,VLOOKUP(MAX(F$2:F160),A$1:B159,2,FALSE)),"")</f>
        <v/>
      </c>
      <c r="C160" s="1" t="str">
        <f t="shared" si="4"/>
        <v/>
      </c>
      <c r="D160" s="1" t="str">
        <f>IFERROR(IF(F160&lt;&gt;"",F160,VLOOKUP(MAX(C$2:C160),A$2:F160,2,FALSE)),"")</f>
        <v>XF</v>
      </c>
      <c r="E160" s="1" t="str">
        <f t="shared" si="5"/>
        <v/>
      </c>
    </row>
    <row r="161" spans="1:5" x14ac:dyDescent="0.25">
      <c r="A161" s="1">
        <v>160</v>
      </c>
      <c r="B161" s="1" t="str">
        <f>IFERROR(IF(F161&lt;&gt;"",F161,VLOOKUP(MAX(F$2:F161),A$1:B160,2,FALSE)),"")</f>
        <v/>
      </c>
      <c r="C161" s="1" t="str">
        <f t="shared" si="4"/>
        <v/>
      </c>
      <c r="D161" s="1" t="str">
        <f>IFERROR(IF(F161&lt;&gt;"",F161,VLOOKUP(MAX(C$2:C161),A$2:F161,2,FALSE)),"")</f>
        <v>XF</v>
      </c>
      <c r="E161" s="1" t="str">
        <f t="shared" si="5"/>
        <v/>
      </c>
    </row>
    <row r="162" spans="1:5" x14ac:dyDescent="0.25">
      <c r="A162" s="1">
        <v>161</v>
      </c>
      <c r="B162" s="1" t="str">
        <f>IFERROR(IF(F162&lt;&gt;"",F162,VLOOKUP(MAX(F$2:F162),A$1:B161,2,FALSE)),"")</f>
        <v/>
      </c>
      <c r="C162" s="1" t="str">
        <f t="shared" si="4"/>
        <v/>
      </c>
      <c r="D162" s="1" t="str">
        <f>IFERROR(IF(F162&lt;&gt;"",F162,VLOOKUP(MAX(C$2:C162),A$2:F162,2,FALSE)),"")</f>
        <v>XF</v>
      </c>
      <c r="E162" s="1" t="str">
        <f t="shared" si="5"/>
        <v/>
      </c>
    </row>
    <row r="163" spans="1:5" x14ac:dyDescent="0.25">
      <c r="A163" s="1">
        <v>162</v>
      </c>
      <c r="B163" s="1" t="str">
        <f>IFERROR(IF(F163&lt;&gt;"",F163,VLOOKUP(MAX(F$2:F163),A$1:B162,2,FALSE)),"")</f>
        <v/>
      </c>
      <c r="C163" s="1" t="str">
        <f t="shared" si="4"/>
        <v/>
      </c>
      <c r="D163" s="1" t="str">
        <f>IFERROR(IF(F163&lt;&gt;"",F163,VLOOKUP(MAX(C$2:C163),A$2:F163,2,FALSE)),"")</f>
        <v>XF</v>
      </c>
      <c r="E163" s="1" t="str">
        <f t="shared" si="5"/>
        <v/>
      </c>
    </row>
    <row r="164" spans="1:5" x14ac:dyDescent="0.25">
      <c r="A164" s="1">
        <v>163</v>
      </c>
      <c r="B164" s="1" t="str">
        <f>IFERROR(IF(F164&lt;&gt;"",F164,VLOOKUP(MAX(F$2:F164),A$1:B163,2,FALSE)),"")</f>
        <v/>
      </c>
      <c r="C164" s="1" t="str">
        <f t="shared" si="4"/>
        <v/>
      </c>
      <c r="D164" s="1" t="str">
        <f>IFERROR(IF(F164&lt;&gt;"",F164,VLOOKUP(MAX(C$2:C164),A$2:F164,2,FALSE)),"")</f>
        <v>XF</v>
      </c>
      <c r="E164" s="1" t="str">
        <f t="shared" si="5"/>
        <v/>
      </c>
    </row>
    <row r="165" spans="1:5" x14ac:dyDescent="0.25">
      <c r="A165" s="1">
        <v>164</v>
      </c>
      <c r="B165" s="1" t="str">
        <f>IFERROR(IF(F165&lt;&gt;"",F165,VLOOKUP(MAX(F$2:F165),A$1:B164,2,FALSE)),"")</f>
        <v/>
      </c>
      <c r="C165" s="1" t="str">
        <f t="shared" si="4"/>
        <v/>
      </c>
      <c r="D165" s="1" t="str">
        <f>IFERROR(IF(F165&lt;&gt;"",F165,VLOOKUP(MAX(C$2:C165),A$2:F165,2,FALSE)),"")</f>
        <v>XF</v>
      </c>
      <c r="E165" s="1" t="str">
        <f t="shared" si="5"/>
        <v/>
      </c>
    </row>
    <row r="166" spans="1:5" x14ac:dyDescent="0.25">
      <c r="A166" s="1">
        <v>165</v>
      </c>
      <c r="B166" s="1" t="str">
        <f>IFERROR(IF(F166&lt;&gt;"",F166,VLOOKUP(MAX(F$2:F166),A$1:B165,2,FALSE)),"")</f>
        <v/>
      </c>
      <c r="C166" s="1" t="str">
        <f t="shared" si="4"/>
        <v/>
      </c>
      <c r="D166" s="1" t="str">
        <f>IFERROR(IF(F166&lt;&gt;"",F166,VLOOKUP(MAX(C$2:C166),A$2:F166,2,FALSE)),"")</f>
        <v>XF</v>
      </c>
      <c r="E166" s="1" t="str">
        <f t="shared" si="5"/>
        <v/>
      </c>
    </row>
    <row r="167" spans="1:5" x14ac:dyDescent="0.25">
      <c r="A167" s="1">
        <v>166</v>
      </c>
      <c r="B167" s="1" t="str">
        <f>IFERROR(IF(F167&lt;&gt;"",F167,VLOOKUP(MAX(F$2:F167),A$1:B166,2,FALSE)),"")</f>
        <v/>
      </c>
      <c r="C167" s="1" t="str">
        <f t="shared" si="4"/>
        <v/>
      </c>
      <c r="D167" s="1" t="str">
        <f>IFERROR(IF(F167&lt;&gt;"",F167,VLOOKUP(MAX(C$2:C167),A$2:F167,2,FALSE)),"")</f>
        <v>XF</v>
      </c>
      <c r="E167" s="1" t="str">
        <f t="shared" si="5"/>
        <v/>
      </c>
    </row>
    <row r="168" spans="1:5" x14ac:dyDescent="0.25">
      <c r="A168" s="1">
        <v>167</v>
      </c>
      <c r="B168" s="1" t="str">
        <f>IFERROR(IF(F168&lt;&gt;"",F168,VLOOKUP(MAX(F$2:F168),A$1:B167,2,FALSE)),"")</f>
        <v/>
      </c>
      <c r="C168" s="1" t="str">
        <f t="shared" si="4"/>
        <v/>
      </c>
      <c r="D168" s="1" t="str">
        <f>IFERROR(IF(F168&lt;&gt;"",F168,VLOOKUP(MAX(C$2:C168),A$2:F168,2,FALSE)),"")</f>
        <v>XF</v>
      </c>
      <c r="E168" s="1" t="str">
        <f t="shared" si="5"/>
        <v/>
      </c>
    </row>
    <row r="169" spans="1:5" x14ac:dyDescent="0.25">
      <c r="A169" s="1">
        <v>168</v>
      </c>
      <c r="B169" s="1" t="str">
        <f>IFERROR(IF(F169&lt;&gt;"",F169,VLOOKUP(MAX(F$2:F169),A$1:B168,2,FALSE)),"")</f>
        <v/>
      </c>
      <c r="C169" s="1" t="str">
        <f t="shared" si="4"/>
        <v/>
      </c>
      <c r="D169" s="1" t="str">
        <f>IFERROR(IF(F169&lt;&gt;"",F169,VLOOKUP(MAX(C$2:C169),A$2:F169,2,FALSE)),"")</f>
        <v>XF</v>
      </c>
      <c r="E169" s="1" t="str">
        <f t="shared" si="5"/>
        <v/>
      </c>
    </row>
    <row r="170" spans="1:5" x14ac:dyDescent="0.25">
      <c r="A170" s="1">
        <v>169</v>
      </c>
      <c r="B170" s="1" t="str">
        <f>IFERROR(IF(F170&lt;&gt;"",F170,VLOOKUP(MAX(F$2:F170),A$1:B169,2,FALSE)),"")</f>
        <v/>
      </c>
      <c r="C170" s="1" t="str">
        <f t="shared" si="4"/>
        <v/>
      </c>
      <c r="D170" s="1" t="str">
        <f>IFERROR(IF(F170&lt;&gt;"",F170,VLOOKUP(MAX(C$2:C170),A$2:F170,2,FALSE)),"")</f>
        <v>XF</v>
      </c>
      <c r="E170" s="1" t="str">
        <f t="shared" si="5"/>
        <v/>
      </c>
    </row>
    <row r="171" spans="1:5" x14ac:dyDescent="0.25">
      <c r="A171" s="1">
        <v>170</v>
      </c>
      <c r="B171" s="1" t="str">
        <f>IFERROR(IF(F171&lt;&gt;"",F171,VLOOKUP(MAX(F$2:F171),A$1:B170,2,FALSE)),"")</f>
        <v/>
      </c>
      <c r="C171" s="1" t="str">
        <f t="shared" si="4"/>
        <v/>
      </c>
      <c r="D171" s="1" t="str">
        <f>IFERROR(IF(F171&lt;&gt;"",F171,VLOOKUP(MAX(C$2:C171),A$2:F171,2,FALSE)),"")</f>
        <v>XF</v>
      </c>
      <c r="E171" s="1" t="str">
        <f t="shared" si="5"/>
        <v/>
      </c>
    </row>
    <row r="172" spans="1:5" x14ac:dyDescent="0.25">
      <c r="A172" s="1">
        <v>171</v>
      </c>
      <c r="B172" s="1" t="str">
        <f>IFERROR(IF(F172&lt;&gt;"",F172,VLOOKUP(MAX(F$2:F172),A$1:B171,2,FALSE)),"")</f>
        <v/>
      </c>
      <c r="C172" s="1" t="str">
        <f t="shared" si="4"/>
        <v/>
      </c>
      <c r="D172" s="1" t="str">
        <f>IFERROR(IF(F172&lt;&gt;"",F172,VLOOKUP(MAX(C$2:C172),A$2:F172,2,FALSE)),"")</f>
        <v>XF</v>
      </c>
      <c r="E172" s="1" t="str">
        <f t="shared" si="5"/>
        <v/>
      </c>
    </row>
    <row r="173" spans="1:5" x14ac:dyDescent="0.25">
      <c r="A173" s="1">
        <v>172</v>
      </c>
      <c r="B173" s="1" t="str">
        <f>IFERROR(IF(F173&lt;&gt;"",F173,VLOOKUP(MAX(F$2:F173),A$1:B172,2,FALSE)),"")</f>
        <v/>
      </c>
      <c r="C173" s="1" t="str">
        <f t="shared" si="4"/>
        <v/>
      </c>
      <c r="D173" s="1" t="str">
        <f>IFERROR(IF(F173&lt;&gt;"",F173,VLOOKUP(MAX(C$2:C173),A$2:F173,2,FALSE)),"")</f>
        <v>XF</v>
      </c>
      <c r="E173" s="1" t="str">
        <f t="shared" si="5"/>
        <v/>
      </c>
    </row>
    <row r="174" spans="1:5" x14ac:dyDescent="0.25">
      <c r="A174" s="1">
        <v>173</v>
      </c>
      <c r="B174" s="1" t="str">
        <f>IFERROR(IF(F174&lt;&gt;"",F174,VLOOKUP(MAX(F$2:F174),A$1:B173,2,FALSE)),"")</f>
        <v/>
      </c>
      <c r="C174" s="1" t="str">
        <f t="shared" si="4"/>
        <v/>
      </c>
      <c r="D174" s="1" t="str">
        <f>IFERROR(IF(F174&lt;&gt;"",F174,VLOOKUP(MAX(C$2:C174),A$2:F174,2,FALSE)),"")</f>
        <v>XF</v>
      </c>
      <c r="E174" s="1" t="str">
        <f t="shared" si="5"/>
        <v/>
      </c>
    </row>
    <row r="175" spans="1:5" x14ac:dyDescent="0.25">
      <c r="A175" s="1">
        <v>174</v>
      </c>
      <c r="B175" s="1" t="str">
        <f>IFERROR(IF(F175&lt;&gt;"",F175,VLOOKUP(MAX(F$2:F175),A$1:B174,2,FALSE)),"")</f>
        <v/>
      </c>
      <c r="C175" s="1" t="str">
        <f t="shared" si="4"/>
        <v/>
      </c>
      <c r="D175" s="1" t="str">
        <f>IFERROR(IF(F175&lt;&gt;"",F175,VLOOKUP(MAX(C$2:C175),A$2:F175,2,FALSE)),"")</f>
        <v>XF</v>
      </c>
      <c r="E175" s="1" t="str">
        <f t="shared" si="5"/>
        <v/>
      </c>
    </row>
    <row r="176" spans="1:5" x14ac:dyDescent="0.25">
      <c r="A176" s="1">
        <v>175</v>
      </c>
      <c r="B176" s="1" t="str">
        <f>IFERROR(IF(F176&lt;&gt;"",F176,VLOOKUP(MAX(F$2:F176),A$1:B175,2,FALSE)),"")</f>
        <v/>
      </c>
      <c r="C176" s="1" t="str">
        <f t="shared" si="4"/>
        <v/>
      </c>
      <c r="D176" s="1" t="str">
        <f>IFERROR(IF(F176&lt;&gt;"",F176,VLOOKUP(MAX(C$2:C176),A$2:F176,2,FALSE)),"")</f>
        <v>XF</v>
      </c>
      <c r="E176" s="1" t="str">
        <f t="shared" si="5"/>
        <v/>
      </c>
    </row>
    <row r="177" spans="1:5" x14ac:dyDescent="0.25">
      <c r="A177" s="1">
        <v>176</v>
      </c>
      <c r="B177" s="1" t="str">
        <f>IFERROR(IF(F177&lt;&gt;"",F177,VLOOKUP(MAX(F$2:F177),A$1:B176,2,FALSE)),"")</f>
        <v/>
      </c>
      <c r="C177" s="1" t="str">
        <f t="shared" si="4"/>
        <v/>
      </c>
      <c r="D177" s="1" t="str">
        <f>IFERROR(IF(F177&lt;&gt;"",F177,VLOOKUP(MAX(C$2:C177),A$2:F177,2,FALSE)),"")</f>
        <v>XF</v>
      </c>
      <c r="E177" s="1" t="str">
        <f t="shared" si="5"/>
        <v/>
      </c>
    </row>
    <row r="178" spans="1:5" x14ac:dyDescent="0.25">
      <c r="A178" s="1">
        <v>177</v>
      </c>
      <c r="B178" s="1" t="str">
        <f>IFERROR(IF(F178&lt;&gt;"",F178,VLOOKUP(MAX(F$2:F178),A$1:B177,2,FALSE)),"")</f>
        <v/>
      </c>
      <c r="C178" s="1" t="str">
        <f t="shared" si="4"/>
        <v/>
      </c>
      <c r="D178" s="1" t="str">
        <f>IFERROR(IF(F178&lt;&gt;"",F178,VLOOKUP(MAX(C$2:C178),A$2:F178,2,FALSE)),"")</f>
        <v>XF</v>
      </c>
      <c r="E178" s="1" t="str">
        <f t="shared" si="5"/>
        <v/>
      </c>
    </row>
    <row r="179" spans="1:5" x14ac:dyDescent="0.25">
      <c r="A179" s="1">
        <v>178</v>
      </c>
      <c r="B179" s="1" t="str">
        <f>IFERROR(IF(F179&lt;&gt;"",F179,VLOOKUP(MAX(F$2:F179),A$1:B178,2,FALSE)),"")</f>
        <v/>
      </c>
      <c r="C179" s="1" t="str">
        <f t="shared" si="4"/>
        <v/>
      </c>
      <c r="D179" s="1" t="str">
        <f>IFERROR(IF(F179&lt;&gt;"",F179,VLOOKUP(MAX(C$2:C179),A$2:F179,2,FALSE)),"")</f>
        <v>XF</v>
      </c>
      <c r="E179" s="1" t="str">
        <f t="shared" si="5"/>
        <v/>
      </c>
    </row>
    <row r="180" spans="1:5" x14ac:dyDescent="0.25">
      <c r="A180" s="1">
        <v>179</v>
      </c>
      <c r="B180" s="1" t="str">
        <f>IFERROR(IF(F180&lt;&gt;"",F180,VLOOKUP(MAX(F$2:F180),A$1:B179,2,FALSE)),"")</f>
        <v/>
      </c>
      <c r="C180" s="1" t="str">
        <f t="shared" si="4"/>
        <v/>
      </c>
      <c r="D180" s="1" t="str">
        <f>IFERROR(IF(F180&lt;&gt;"",F180,VLOOKUP(MAX(C$2:C180),A$2:F180,2,FALSE)),"")</f>
        <v>XF</v>
      </c>
      <c r="E180" s="1" t="str">
        <f t="shared" si="5"/>
        <v/>
      </c>
    </row>
    <row r="181" spans="1:5" x14ac:dyDescent="0.25">
      <c r="A181" s="1">
        <v>180</v>
      </c>
      <c r="B181" s="1" t="str">
        <f>IFERROR(IF(F181&lt;&gt;"",F181,VLOOKUP(MAX(F$2:F181),A$1:B180,2,FALSE)),"")</f>
        <v/>
      </c>
      <c r="C181" s="1" t="str">
        <f t="shared" si="4"/>
        <v/>
      </c>
      <c r="D181" s="1" t="str">
        <f>IFERROR(IF(F181&lt;&gt;"",F181,VLOOKUP(MAX(C$2:C181),A$2:F181,2,FALSE)),"")</f>
        <v>XF</v>
      </c>
      <c r="E181" s="1" t="str">
        <f t="shared" si="5"/>
        <v/>
      </c>
    </row>
    <row r="182" spans="1:5" x14ac:dyDescent="0.25">
      <c r="A182" s="1">
        <v>181</v>
      </c>
      <c r="B182" s="1" t="str">
        <f>IFERROR(IF(F182&lt;&gt;"",F182,VLOOKUP(MAX(F$2:F182),A$1:B181,2,FALSE)),"")</f>
        <v/>
      </c>
      <c r="C182" s="1" t="str">
        <f t="shared" si="4"/>
        <v/>
      </c>
      <c r="D182" s="1" t="str">
        <f>IFERROR(IF(F182&lt;&gt;"",F182,VLOOKUP(MAX(C$2:C182),A$2:F182,2,FALSE)),"")</f>
        <v>XF</v>
      </c>
      <c r="E182" s="1" t="str">
        <f t="shared" si="5"/>
        <v/>
      </c>
    </row>
    <row r="183" spans="1:5" x14ac:dyDescent="0.25">
      <c r="A183" s="1">
        <v>182</v>
      </c>
      <c r="B183" s="1" t="str">
        <f>IFERROR(IF(F183&lt;&gt;"",F183,VLOOKUP(MAX(F$2:F183),A$1:B182,2,FALSE)),"")</f>
        <v/>
      </c>
      <c r="C183" s="1" t="str">
        <f t="shared" si="4"/>
        <v/>
      </c>
      <c r="D183" s="1" t="str">
        <f>IFERROR(IF(F183&lt;&gt;"",F183,VLOOKUP(MAX(C$2:C183),A$2:F183,2,FALSE)),"")</f>
        <v>XF</v>
      </c>
      <c r="E183" s="1" t="str">
        <f t="shared" si="5"/>
        <v/>
      </c>
    </row>
    <row r="184" spans="1:5" x14ac:dyDescent="0.25">
      <c r="A184" s="1">
        <v>183</v>
      </c>
      <c r="B184" s="1" t="str">
        <f>IFERROR(IF(F184&lt;&gt;"",F184,VLOOKUP(MAX(F$2:F184),A$1:B183,2,FALSE)),"")</f>
        <v/>
      </c>
      <c r="C184" s="1" t="str">
        <f t="shared" si="4"/>
        <v/>
      </c>
      <c r="D184" s="1" t="str">
        <f>IFERROR(IF(F184&lt;&gt;"",F184,VLOOKUP(MAX(C$2:C184),A$2:F184,2,FALSE)),"")</f>
        <v>XF</v>
      </c>
      <c r="E184" s="1" t="str">
        <f t="shared" si="5"/>
        <v/>
      </c>
    </row>
    <row r="185" spans="1:5" x14ac:dyDescent="0.25">
      <c r="A185" s="1">
        <v>184</v>
      </c>
      <c r="B185" s="1" t="str">
        <f>IFERROR(IF(F185&lt;&gt;"",F185,VLOOKUP(MAX(F$2:F185),A$1:B184,2,FALSE)),"")</f>
        <v/>
      </c>
      <c r="C185" s="1" t="str">
        <f t="shared" si="4"/>
        <v/>
      </c>
      <c r="D185" s="1" t="str">
        <f>IFERROR(IF(F185&lt;&gt;"",F185,VLOOKUP(MAX(C$2:C185),A$2:F185,2,FALSE)),"")</f>
        <v>XF</v>
      </c>
      <c r="E185" s="1" t="str">
        <f t="shared" si="5"/>
        <v/>
      </c>
    </row>
    <row r="186" spans="1:5" x14ac:dyDescent="0.25">
      <c r="A186" s="1">
        <v>185</v>
      </c>
      <c r="B186" s="1" t="str">
        <f>IFERROR(IF(F186&lt;&gt;"",F186,VLOOKUP(MAX(F$2:F186),A$1:B185,2,FALSE)),"")</f>
        <v/>
      </c>
      <c r="C186" s="1" t="str">
        <f t="shared" si="4"/>
        <v/>
      </c>
      <c r="D186" s="1" t="str">
        <f>IFERROR(IF(F186&lt;&gt;"",F186,VLOOKUP(MAX(C$2:C186),A$2:F186,2,FALSE)),"")</f>
        <v>XF</v>
      </c>
      <c r="E186" s="1" t="str">
        <f t="shared" si="5"/>
        <v/>
      </c>
    </row>
    <row r="187" spans="1:5" x14ac:dyDescent="0.25">
      <c r="A187" s="1">
        <v>186</v>
      </c>
      <c r="B187" s="1" t="str">
        <f>IFERROR(IF(F187&lt;&gt;"",F187,VLOOKUP(MAX(F$2:F187),A$1:B186,2,FALSE)),"")</f>
        <v/>
      </c>
      <c r="C187" s="1" t="str">
        <f t="shared" si="4"/>
        <v/>
      </c>
      <c r="D187" s="1" t="str">
        <f>IFERROR(IF(F187&lt;&gt;"",F187,VLOOKUP(MAX(C$2:C187),A$2:F187,2,FALSE)),"")</f>
        <v>XF</v>
      </c>
      <c r="E187" s="1" t="str">
        <f t="shared" si="5"/>
        <v/>
      </c>
    </row>
    <row r="188" spans="1:5" x14ac:dyDescent="0.25">
      <c r="A188" s="1">
        <v>187</v>
      </c>
      <c r="B188" s="1" t="str">
        <f>IFERROR(IF(F188&lt;&gt;"",F188,VLOOKUP(MAX(F$2:F188),A$1:B187,2,FALSE)),"")</f>
        <v/>
      </c>
      <c r="C188" s="1" t="str">
        <f t="shared" si="4"/>
        <v/>
      </c>
      <c r="D188" s="1" t="str">
        <f>IFERROR(IF(F188&lt;&gt;"",F188,VLOOKUP(MAX(C$2:C188),A$2:F188,2,FALSE)),"")</f>
        <v>XF</v>
      </c>
      <c r="E188" s="1" t="str">
        <f t="shared" si="5"/>
        <v/>
      </c>
    </row>
    <row r="189" spans="1:5" x14ac:dyDescent="0.25">
      <c r="A189" s="1">
        <v>188</v>
      </c>
      <c r="B189" s="1" t="str">
        <f>IFERROR(IF(F189&lt;&gt;"",F189,VLOOKUP(MAX(F$2:F189),A$1:B188,2,FALSE)),"")</f>
        <v/>
      </c>
      <c r="C189" s="1" t="str">
        <f t="shared" si="4"/>
        <v/>
      </c>
      <c r="D189" s="1" t="str">
        <f>IFERROR(IF(F189&lt;&gt;"",F189,VLOOKUP(MAX(C$2:C189),A$2:F189,2,FALSE)),"")</f>
        <v>XF</v>
      </c>
      <c r="E189" s="1" t="str">
        <f t="shared" si="5"/>
        <v/>
      </c>
    </row>
    <row r="190" spans="1:5" x14ac:dyDescent="0.25">
      <c r="A190" s="1">
        <v>189</v>
      </c>
      <c r="B190" s="1" t="str">
        <f>IFERROR(IF(F190&lt;&gt;"",F190,VLOOKUP(MAX(F$2:F190),A$1:B189,2,FALSE)),"")</f>
        <v/>
      </c>
      <c r="C190" s="1" t="str">
        <f t="shared" si="4"/>
        <v/>
      </c>
      <c r="D190" s="1" t="str">
        <f>IFERROR(IF(F190&lt;&gt;"",F190,VLOOKUP(MAX(C$2:C190),A$2:F190,2,FALSE)),"")</f>
        <v>XF</v>
      </c>
      <c r="E190" s="1" t="str">
        <f t="shared" si="5"/>
        <v/>
      </c>
    </row>
    <row r="191" spans="1:5" x14ac:dyDescent="0.25">
      <c r="A191" s="1">
        <v>190</v>
      </c>
      <c r="B191" s="1" t="str">
        <f>IFERROR(IF(F191&lt;&gt;"",F191,VLOOKUP(MAX(F$2:F191),A$1:B190,2,FALSE)),"")</f>
        <v/>
      </c>
      <c r="C191" s="1" t="str">
        <f t="shared" si="4"/>
        <v/>
      </c>
      <c r="D191" s="1" t="str">
        <f>IFERROR(IF(F191&lt;&gt;"",F191,VLOOKUP(MAX(C$2:C191),A$2:F191,2,FALSE)),"")</f>
        <v>XF</v>
      </c>
      <c r="E191" s="1" t="str">
        <f t="shared" si="5"/>
        <v/>
      </c>
    </row>
    <row r="192" spans="1:5" x14ac:dyDescent="0.25">
      <c r="A192" s="1">
        <v>191</v>
      </c>
      <c r="B192" s="1" t="str">
        <f>IFERROR(IF(F192&lt;&gt;"",F192,VLOOKUP(MAX(F$2:F192),A$1:B191,2,FALSE)),"")</f>
        <v/>
      </c>
      <c r="C192" s="1" t="str">
        <f t="shared" si="4"/>
        <v/>
      </c>
      <c r="D192" s="1" t="str">
        <f>IFERROR(IF(F192&lt;&gt;"",F192,VLOOKUP(MAX(C$2:C192),A$2:F192,2,FALSE)),"")</f>
        <v>XF</v>
      </c>
      <c r="E192" s="1" t="str">
        <f t="shared" si="5"/>
        <v/>
      </c>
    </row>
    <row r="193" spans="1:5" x14ac:dyDescent="0.25">
      <c r="A193" s="1">
        <v>192</v>
      </c>
      <c r="B193" s="1" t="str">
        <f>IFERROR(IF(F193&lt;&gt;"",F193,VLOOKUP(MAX(F$2:F193),A$1:B192,2,FALSE)),"")</f>
        <v/>
      </c>
      <c r="C193" s="1" t="str">
        <f t="shared" si="4"/>
        <v/>
      </c>
      <c r="D193" s="1" t="str">
        <f>IFERROR(IF(F193&lt;&gt;"",F193,VLOOKUP(MAX(C$2:C193),A$2:F193,2,FALSE)),"")</f>
        <v>XF</v>
      </c>
      <c r="E193" s="1" t="str">
        <f t="shared" si="5"/>
        <v/>
      </c>
    </row>
    <row r="194" spans="1:5" x14ac:dyDescent="0.25">
      <c r="A194" s="1">
        <v>193</v>
      </c>
      <c r="B194" s="1" t="str">
        <f>IFERROR(IF(#REF!&lt;&gt;"",#REF!,VLOOKUP(MAX(F$2:F193),A$1:B193,2,FALSE)),"")</f>
        <v/>
      </c>
      <c r="C194" s="1" t="str">
        <f t="shared" ref="C194:C257" si="6">IF(F194&lt;&gt;"",A194,"")</f>
        <v/>
      </c>
      <c r="D194" s="1" t="str">
        <f>IFERROR(IF(F194&lt;&gt;"",F194,VLOOKUP(MAX(C$2:C194),A$2:F194,2,FALSE)),"")</f>
        <v>XF</v>
      </c>
      <c r="E194" s="1" t="str">
        <f t="shared" si="5"/>
        <v/>
      </c>
    </row>
    <row r="195" spans="1:5" x14ac:dyDescent="0.25">
      <c r="A195" s="1">
        <v>194</v>
      </c>
      <c r="B195" s="1" t="str">
        <f>IFERROR(IF(F194&lt;&gt;"",F194,VLOOKUP(MAX(F$2:F194),A$1:B194,2,FALSE)),"")</f>
        <v/>
      </c>
      <c r="C195" s="1" t="str">
        <f t="shared" si="6"/>
        <v/>
      </c>
      <c r="D195" s="1" t="str">
        <f>IFERROR(IF(F195&lt;&gt;"",F195,VLOOKUP(MAX(C$2:C195),A$2:F195,2,FALSE)),"")</f>
        <v>XF</v>
      </c>
      <c r="E195" s="1" t="str">
        <f t="shared" si="5"/>
        <v/>
      </c>
    </row>
    <row r="196" spans="1:5" x14ac:dyDescent="0.25">
      <c r="A196" s="1">
        <v>195</v>
      </c>
      <c r="B196" s="1" t="str">
        <f>IFERROR(IF(F195&lt;&gt;"",F195,VLOOKUP(MAX(F$2:F195),A$1:B195,2,FALSE)),"")</f>
        <v/>
      </c>
      <c r="C196" s="1" t="str">
        <f t="shared" si="6"/>
        <v/>
      </c>
      <c r="D196" s="1" t="str">
        <f>IFERROR(IF(F196&lt;&gt;"",F196,VLOOKUP(MAX(C$2:C196),A$2:F196,2,FALSE)),"")</f>
        <v>XF</v>
      </c>
      <c r="E196" s="1" t="str">
        <f t="shared" ref="E196:E259" si="7">IF(H196&lt;&gt;"",CONCATENATE(D196,".",H196),"")</f>
        <v/>
      </c>
    </row>
    <row r="197" spans="1:5" x14ac:dyDescent="0.25">
      <c r="A197" s="1">
        <v>196</v>
      </c>
      <c r="B197" s="1" t="str">
        <f>IFERROR(IF(F196&lt;&gt;"",F196,VLOOKUP(MAX(F$2:F196),A$1:B196,2,FALSE)),"")</f>
        <v/>
      </c>
      <c r="C197" s="1" t="str">
        <f t="shared" si="6"/>
        <v/>
      </c>
      <c r="D197" s="1" t="str">
        <f>IFERROR(IF(F197&lt;&gt;"",F197,VLOOKUP(MAX(C$2:C197),A$2:F197,2,FALSE)),"")</f>
        <v>XF</v>
      </c>
      <c r="E197" s="1" t="str">
        <f t="shared" si="7"/>
        <v/>
      </c>
    </row>
    <row r="198" spans="1:5" x14ac:dyDescent="0.25">
      <c r="A198" s="1">
        <v>197</v>
      </c>
      <c r="B198" s="1" t="str">
        <f>IFERROR(IF(F197&lt;&gt;"",F197,VLOOKUP(MAX(F$2:F197),A$1:B197,2,FALSE)),"")</f>
        <v/>
      </c>
      <c r="C198" s="1" t="str">
        <f t="shared" si="6"/>
        <v/>
      </c>
      <c r="D198" s="1" t="str">
        <f>IFERROR(IF(F198&lt;&gt;"",F198,VLOOKUP(MAX(C$2:C198),A$2:F198,2,FALSE)),"")</f>
        <v>XF</v>
      </c>
      <c r="E198" s="1" t="str">
        <f t="shared" si="7"/>
        <v/>
      </c>
    </row>
    <row r="199" spans="1:5" x14ac:dyDescent="0.25">
      <c r="A199" s="1">
        <v>198</v>
      </c>
      <c r="B199" s="1" t="str">
        <f>IFERROR(IF(F198&lt;&gt;"",F198,VLOOKUP(MAX(F$2:F198),A$1:B198,2,FALSE)),"")</f>
        <v/>
      </c>
      <c r="C199" s="1" t="str">
        <f t="shared" si="6"/>
        <v/>
      </c>
      <c r="D199" s="1" t="str">
        <f>IFERROR(IF(F199&lt;&gt;"",F199,VLOOKUP(MAX(C$2:C199),A$2:F199,2,FALSE)),"")</f>
        <v>XF</v>
      </c>
      <c r="E199" s="1" t="str">
        <f t="shared" si="7"/>
        <v/>
      </c>
    </row>
    <row r="200" spans="1:5" x14ac:dyDescent="0.25">
      <c r="A200" s="1">
        <v>199</v>
      </c>
      <c r="B200" s="1" t="str">
        <f>IFERROR(IF(F199&lt;&gt;"",F199,VLOOKUP(MAX(F$2:F199),A$1:B199,2,FALSE)),"")</f>
        <v/>
      </c>
      <c r="C200" s="1" t="str">
        <f t="shared" si="6"/>
        <v/>
      </c>
      <c r="D200" s="1" t="str">
        <f>IFERROR(IF(F200&lt;&gt;"",F200,VLOOKUP(MAX(C$2:C200),A$2:F200,2,FALSE)),"")</f>
        <v>XF</v>
      </c>
      <c r="E200" s="1" t="str">
        <f t="shared" si="7"/>
        <v/>
      </c>
    </row>
    <row r="201" spans="1:5" x14ac:dyDescent="0.25">
      <c r="A201" s="1">
        <v>200</v>
      </c>
      <c r="B201" s="1" t="str">
        <f>IFERROR(IF(F200&lt;&gt;"",F200,VLOOKUP(MAX(F$2:F200),A$1:B200,2,FALSE)),"")</f>
        <v/>
      </c>
      <c r="C201" s="1" t="str">
        <f t="shared" si="6"/>
        <v/>
      </c>
      <c r="D201" s="1" t="str">
        <f>IFERROR(IF(F201&lt;&gt;"",F201,VLOOKUP(MAX(C$2:C201),A$2:F201,2,FALSE)),"")</f>
        <v>XF</v>
      </c>
      <c r="E201" s="1" t="str">
        <f t="shared" si="7"/>
        <v/>
      </c>
    </row>
    <row r="202" spans="1:5" x14ac:dyDescent="0.25">
      <c r="A202" s="1">
        <v>201</v>
      </c>
      <c r="B202" s="1" t="str">
        <f>IFERROR(IF(F201&lt;&gt;"",F201,VLOOKUP(MAX(F$2:F201),A$1:B201,2,FALSE)),"")</f>
        <v/>
      </c>
      <c r="C202" s="1" t="str">
        <f t="shared" si="6"/>
        <v/>
      </c>
      <c r="D202" s="1" t="str">
        <f>IFERROR(IF(F202&lt;&gt;"",F202,VLOOKUP(MAX(C$2:C202),A$2:F202,2,FALSE)),"")</f>
        <v>XF</v>
      </c>
      <c r="E202" s="1" t="str">
        <f t="shared" si="7"/>
        <v/>
      </c>
    </row>
    <row r="203" spans="1:5" x14ac:dyDescent="0.25">
      <c r="A203" s="1">
        <v>202</v>
      </c>
      <c r="B203" s="1" t="str">
        <f>IFERROR(IF(F202&lt;&gt;"",F202,VLOOKUP(MAX(F$2:F202),A$1:B202,2,FALSE)),"")</f>
        <v/>
      </c>
      <c r="C203" s="1" t="str">
        <f t="shared" si="6"/>
        <v/>
      </c>
      <c r="D203" s="1" t="str">
        <f>IFERROR(IF(F203&lt;&gt;"",F203,VLOOKUP(MAX(C$2:C203),A$2:F203,2,FALSE)),"")</f>
        <v>XF</v>
      </c>
      <c r="E203" s="1" t="str">
        <f t="shared" si="7"/>
        <v/>
      </c>
    </row>
    <row r="204" spans="1:5" x14ac:dyDescent="0.25">
      <c r="A204" s="1">
        <v>203</v>
      </c>
      <c r="B204" s="1" t="str">
        <f>IFERROR(IF(F203&lt;&gt;"",F203,VLOOKUP(MAX(F$2:F203),A$1:B203,2,FALSE)),"")</f>
        <v/>
      </c>
      <c r="C204" s="1" t="str">
        <f t="shared" si="6"/>
        <v/>
      </c>
      <c r="D204" s="1" t="str">
        <f>IFERROR(IF(F204&lt;&gt;"",F204,VLOOKUP(MAX(C$2:C204),A$2:F204,2,FALSE)),"")</f>
        <v>XF</v>
      </c>
      <c r="E204" s="1" t="str">
        <f t="shared" si="7"/>
        <v/>
      </c>
    </row>
    <row r="205" spans="1:5" x14ac:dyDescent="0.25">
      <c r="A205" s="1">
        <v>204</v>
      </c>
      <c r="B205" s="1" t="str">
        <f>IFERROR(IF(F204&lt;&gt;"",F204,VLOOKUP(MAX(F$2:F204),A$1:B204,2,FALSE)),"")</f>
        <v/>
      </c>
      <c r="C205" s="1" t="str">
        <f t="shared" si="6"/>
        <v/>
      </c>
      <c r="D205" s="1" t="str">
        <f>IFERROR(IF(F205&lt;&gt;"",F205,VLOOKUP(MAX(C$2:C205),A$2:F205,2,FALSE)),"")</f>
        <v>XF</v>
      </c>
      <c r="E205" s="1" t="str">
        <f t="shared" si="7"/>
        <v/>
      </c>
    </row>
    <row r="206" spans="1:5" x14ac:dyDescent="0.25">
      <c r="A206" s="1">
        <v>205</v>
      </c>
      <c r="B206" s="1" t="str">
        <f>IFERROR(IF(F205&lt;&gt;"",F205,VLOOKUP(MAX(F$2:F205),A$1:B205,2,FALSE)),"")</f>
        <v/>
      </c>
      <c r="C206" s="1" t="str">
        <f t="shared" si="6"/>
        <v/>
      </c>
      <c r="D206" s="1" t="str">
        <f>IFERROR(IF(F206&lt;&gt;"",F206,VLOOKUP(MAX(C$2:C206),A$2:F206,2,FALSE)),"")</f>
        <v>XF</v>
      </c>
      <c r="E206" s="1" t="str">
        <f t="shared" si="7"/>
        <v/>
      </c>
    </row>
    <row r="207" spans="1:5" x14ac:dyDescent="0.25">
      <c r="A207" s="1">
        <v>206</v>
      </c>
      <c r="B207" s="1" t="str">
        <f>IFERROR(IF(F206&lt;&gt;"",F206,VLOOKUP(MAX(F$2:F206),A$1:B206,2,FALSE)),"")</f>
        <v/>
      </c>
      <c r="C207" s="1" t="str">
        <f t="shared" si="6"/>
        <v/>
      </c>
      <c r="D207" s="1" t="str">
        <f>IFERROR(IF(F207&lt;&gt;"",F207,VLOOKUP(MAX(C$2:C207),A$2:F207,2,FALSE)),"")</f>
        <v>XF</v>
      </c>
      <c r="E207" s="1" t="str">
        <f t="shared" si="7"/>
        <v/>
      </c>
    </row>
    <row r="208" spans="1:5" x14ac:dyDescent="0.25">
      <c r="A208" s="1">
        <v>207</v>
      </c>
      <c r="B208" s="1" t="str">
        <f>IFERROR(IF(F207&lt;&gt;"",F207,VLOOKUP(MAX(F$2:F207),A$1:B207,2,FALSE)),"")</f>
        <v/>
      </c>
      <c r="C208" s="1" t="str">
        <f t="shared" si="6"/>
        <v/>
      </c>
      <c r="D208" s="1" t="str">
        <f>IFERROR(IF(F208&lt;&gt;"",F208,VLOOKUP(MAX(C$2:C208),A$2:F208,2,FALSE)),"")</f>
        <v>XF</v>
      </c>
      <c r="E208" s="1" t="str">
        <f t="shared" si="7"/>
        <v/>
      </c>
    </row>
    <row r="209" spans="1:5" x14ac:dyDescent="0.25">
      <c r="A209" s="1">
        <v>208</v>
      </c>
      <c r="B209" s="1" t="str">
        <f>IFERROR(IF(F208&lt;&gt;"",F208,VLOOKUP(MAX(F$2:F208),A$1:B208,2,FALSE)),"")</f>
        <v/>
      </c>
      <c r="C209" s="1" t="str">
        <f t="shared" si="6"/>
        <v/>
      </c>
      <c r="D209" s="1" t="str">
        <f>IFERROR(IF(F209&lt;&gt;"",F209,VLOOKUP(MAX(C$2:C209),A$2:F209,2,FALSE)),"")</f>
        <v>XF</v>
      </c>
      <c r="E209" s="1" t="str">
        <f t="shared" si="7"/>
        <v/>
      </c>
    </row>
    <row r="210" spans="1:5" x14ac:dyDescent="0.25">
      <c r="A210" s="1">
        <v>209</v>
      </c>
      <c r="B210" s="1" t="str">
        <f>IFERROR(IF(F209&lt;&gt;"",F209,VLOOKUP(MAX(F$2:F209),A$1:B209,2,FALSE)),"")</f>
        <v/>
      </c>
      <c r="C210" s="1" t="str">
        <f t="shared" si="6"/>
        <v/>
      </c>
      <c r="D210" s="1" t="str">
        <f>IFERROR(IF(F210&lt;&gt;"",F210,VLOOKUP(MAX(C$2:C210),A$2:F210,2,FALSE)),"")</f>
        <v>XF</v>
      </c>
      <c r="E210" s="1" t="str">
        <f t="shared" si="7"/>
        <v/>
      </c>
    </row>
    <row r="211" spans="1:5" x14ac:dyDescent="0.25">
      <c r="A211" s="1">
        <v>210</v>
      </c>
      <c r="B211" s="1" t="str">
        <f>IFERROR(IF(F210&lt;&gt;"",F210,VLOOKUP(MAX(F$2:F210),A$1:B210,2,FALSE)),"")</f>
        <v/>
      </c>
      <c r="C211" s="1" t="str">
        <f t="shared" si="6"/>
        <v/>
      </c>
      <c r="D211" s="1" t="str">
        <f>IFERROR(IF(F211&lt;&gt;"",F211,VLOOKUP(MAX(C$2:C211),A$2:F211,2,FALSE)),"")</f>
        <v>XF</v>
      </c>
      <c r="E211" s="1" t="str">
        <f t="shared" si="7"/>
        <v/>
      </c>
    </row>
    <row r="212" spans="1:5" x14ac:dyDescent="0.25">
      <c r="A212" s="1">
        <v>211</v>
      </c>
      <c r="B212" s="1" t="str">
        <f>IFERROR(IF(F211&lt;&gt;"",F211,VLOOKUP(MAX(F$2:F211),A$1:B211,2,FALSE)),"")</f>
        <v/>
      </c>
      <c r="C212" s="1" t="str">
        <f t="shared" si="6"/>
        <v/>
      </c>
      <c r="D212" s="1" t="str">
        <f>IFERROR(IF(F212&lt;&gt;"",F212,VLOOKUP(MAX(C$2:C212),A$2:F212,2,FALSE)),"")</f>
        <v>XF</v>
      </c>
      <c r="E212" s="1" t="str">
        <f t="shared" si="7"/>
        <v/>
      </c>
    </row>
    <row r="213" spans="1:5" x14ac:dyDescent="0.25">
      <c r="A213" s="1">
        <v>212</v>
      </c>
      <c r="B213" s="1" t="str">
        <f>IFERROR(IF(F212&lt;&gt;"",F212,VLOOKUP(MAX(F$2:F212),A$1:B212,2,FALSE)),"")</f>
        <v/>
      </c>
      <c r="C213" s="1" t="str">
        <f t="shared" si="6"/>
        <v/>
      </c>
      <c r="D213" s="1" t="str">
        <f>IFERROR(IF(F213&lt;&gt;"",F213,VLOOKUP(MAX(C$2:C213),A$2:F213,2,FALSE)),"")</f>
        <v>XF</v>
      </c>
      <c r="E213" s="1" t="str">
        <f t="shared" si="7"/>
        <v/>
      </c>
    </row>
    <row r="214" spans="1:5" x14ac:dyDescent="0.25">
      <c r="A214" s="1">
        <v>213</v>
      </c>
      <c r="B214" s="1" t="str">
        <f>IFERROR(IF(F213&lt;&gt;"",F213,VLOOKUP(MAX(F$2:F213),A$1:B213,2,FALSE)),"")</f>
        <v/>
      </c>
      <c r="C214" s="1" t="str">
        <f t="shared" si="6"/>
        <v/>
      </c>
      <c r="D214" s="1" t="str">
        <f>IFERROR(IF(F214&lt;&gt;"",F214,VLOOKUP(MAX(C$2:C214),A$2:F214,2,FALSE)),"")</f>
        <v>XF</v>
      </c>
      <c r="E214" s="1" t="str">
        <f t="shared" si="7"/>
        <v/>
      </c>
    </row>
    <row r="215" spans="1:5" x14ac:dyDescent="0.25">
      <c r="A215" s="1">
        <v>214</v>
      </c>
      <c r="B215" s="1" t="str">
        <f>IFERROR(IF(F214&lt;&gt;"",F214,VLOOKUP(MAX(F$2:F214),A$1:B214,2,FALSE)),"")</f>
        <v/>
      </c>
      <c r="C215" s="1" t="str">
        <f t="shared" si="6"/>
        <v/>
      </c>
      <c r="D215" s="1" t="str">
        <f>IFERROR(IF(F215&lt;&gt;"",F215,VLOOKUP(MAX(C$2:C215),A$2:F215,2,FALSE)),"")</f>
        <v>XF</v>
      </c>
      <c r="E215" s="1" t="str">
        <f t="shared" si="7"/>
        <v/>
      </c>
    </row>
    <row r="216" spans="1:5" x14ac:dyDescent="0.25">
      <c r="A216" s="1">
        <v>215</v>
      </c>
      <c r="B216" s="1" t="str">
        <f>IFERROR(IF(F215&lt;&gt;"",F215,VLOOKUP(MAX(F$2:F215),A$1:B215,2,FALSE)),"")</f>
        <v/>
      </c>
      <c r="C216" s="1" t="str">
        <f t="shared" si="6"/>
        <v/>
      </c>
      <c r="D216" s="1" t="str">
        <f>IFERROR(IF(F216&lt;&gt;"",F216,VLOOKUP(MAX(C$2:C216),A$2:F216,2,FALSE)),"")</f>
        <v>XF</v>
      </c>
      <c r="E216" s="1" t="str">
        <f t="shared" si="7"/>
        <v/>
      </c>
    </row>
    <row r="217" spans="1:5" x14ac:dyDescent="0.25">
      <c r="A217" s="1">
        <v>216</v>
      </c>
      <c r="B217" s="1" t="str">
        <f>IFERROR(IF(F216&lt;&gt;"",F216,VLOOKUP(MAX(F$2:F216),A$1:B216,2,FALSE)),"")</f>
        <v/>
      </c>
      <c r="C217" s="1" t="str">
        <f t="shared" si="6"/>
        <v/>
      </c>
      <c r="D217" s="1" t="str">
        <f>IFERROR(IF(F217&lt;&gt;"",F217,VLOOKUP(MAX(C$2:C217),A$2:F217,2,FALSE)),"")</f>
        <v>XF</v>
      </c>
      <c r="E217" s="1" t="str">
        <f t="shared" si="7"/>
        <v/>
      </c>
    </row>
    <row r="218" spans="1:5" x14ac:dyDescent="0.25">
      <c r="A218" s="1">
        <v>217</v>
      </c>
      <c r="B218" s="1" t="str">
        <f>IFERROR(IF(F217&lt;&gt;"",F217,VLOOKUP(MAX(F$2:F217),A$1:B217,2,FALSE)),"")</f>
        <v/>
      </c>
      <c r="C218" s="1" t="str">
        <f t="shared" si="6"/>
        <v/>
      </c>
      <c r="D218" s="1" t="str">
        <f>IFERROR(IF(F218&lt;&gt;"",F218,VLOOKUP(MAX(C$2:C218),A$2:F218,2,FALSE)),"")</f>
        <v>XF</v>
      </c>
      <c r="E218" s="1" t="str">
        <f t="shared" si="7"/>
        <v/>
      </c>
    </row>
    <row r="219" spans="1:5" x14ac:dyDescent="0.25">
      <c r="A219" s="1">
        <v>218</v>
      </c>
      <c r="B219" s="1" t="str">
        <f>IFERROR(IF(F218&lt;&gt;"",F218,VLOOKUP(MAX(F$2:F218),A$1:B218,2,FALSE)),"")</f>
        <v/>
      </c>
      <c r="C219" s="1" t="str">
        <f t="shared" si="6"/>
        <v/>
      </c>
      <c r="D219" s="1" t="str">
        <f>IFERROR(IF(F219&lt;&gt;"",F219,VLOOKUP(MAX(C$2:C219),A$2:F219,2,FALSE)),"")</f>
        <v>XF</v>
      </c>
      <c r="E219" s="1" t="str">
        <f t="shared" si="7"/>
        <v/>
      </c>
    </row>
    <row r="220" spans="1:5" x14ac:dyDescent="0.25">
      <c r="A220" s="1">
        <v>219</v>
      </c>
      <c r="B220" s="1" t="str">
        <f>IFERROR(IF(F219&lt;&gt;"",F219,VLOOKUP(MAX(F$2:F219),A$1:B219,2,FALSE)),"")</f>
        <v/>
      </c>
      <c r="C220" s="1" t="str">
        <f t="shared" si="6"/>
        <v/>
      </c>
      <c r="D220" s="1" t="str">
        <f>IFERROR(IF(F220&lt;&gt;"",F220,VLOOKUP(MAX(C$2:C220),A$2:F220,2,FALSE)),"")</f>
        <v>XF</v>
      </c>
      <c r="E220" s="1" t="str">
        <f t="shared" si="7"/>
        <v/>
      </c>
    </row>
    <row r="221" spans="1:5" x14ac:dyDescent="0.25">
      <c r="A221" s="1">
        <v>220</v>
      </c>
      <c r="B221" s="1" t="str">
        <f>IFERROR(IF(F220&lt;&gt;"",F220,VLOOKUP(MAX(F$2:F220),A$1:B220,2,FALSE)),"")</f>
        <v/>
      </c>
      <c r="C221" s="1" t="str">
        <f t="shared" si="6"/>
        <v/>
      </c>
      <c r="D221" s="1" t="str">
        <f>IFERROR(IF(F221&lt;&gt;"",F221,VLOOKUP(MAX(C$2:C221),A$2:F221,2,FALSE)),"")</f>
        <v>XF</v>
      </c>
      <c r="E221" s="1" t="str">
        <f t="shared" si="7"/>
        <v/>
      </c>
    </row>
    <row r="222" spans="1:5" x14ac:dyDescent="0.25">
      <c r="A222" s="1">
        <v>221</v>
      </c>
      <c r="B222" s="1" t="str">
        <f>IFERROR(IF(F221&lt;&gt;"",F221,VLOOKUP(MAX(F$2:F221),A$1:B221,2,FALSE)),"")</f>
        <v/>
      </c>
      <c r="C222" s="1" t="str">
        <f t="shared" si="6"/>
        <v/>
      </c>
      <c r="D222" s="1" t="str">
        <f>IFERROR(IF(F222&lt;&gt;"",F222,VLOOKUP(MAX(C$2:C222),A$2:F222,2,FALSE)),"")</f>
        <v>XF</v>
      </c>
      <c r="E222" s="1" t="str">
        <f t="shared" si="7"/>
        <v/>
      </c>
    </row>
    <row r="223" spans="1:5" x14ac:dyDescent="0.25">
      <c r="A223" s="1">
        <v>222</v>
      </c>
      <c r="B223" s="1" t="str">
        <f>IFERROR(IF(F222&lt;&gt;"",F222,VLOOKUP(MAX(F$2:F222),A$1:B222,2,FALSE)),"")</f>
        <v/>
      </c>
      <c r="C223" s="1" t="str">
        <f t="shared" si="6"/>
        <v/>
      </c>
      <c r="D223" s="1" t="str">
        <f>IFERROR(IF(F223&lt;&gt;"",F223,VLOOKUP(MAX(C$2:C223),A$2:F223,2,FALSE)),"")</f>
        <v>XF</v>
      </c>
      <c r="E223" s="1" t="str">
        <f t="shared" si="7"/>
        <v/>
      </c>
    </row>
    <row r="224" spans="1:5" x14ac:dyDescent="0.25">
      <c r="A224" s="1">
        <v>223</v>
      </c>
      <c r="B224" s="1" t="str">
        <f>IFERROR(IF(F223&lt;&gt;"",F223,VLOOKUP(MAX(F$2:F223),A$1:B223,2,FALSE)),"")</f>
        <v/>
      </c>
      <c r="C224" s="1" t="str">
        <f t="shared" si="6"/>
        <v/>
      </c>
      <c r="D224" s="1" t="str">
        <f>IFERROR(IF(F224&lt;&gt;"",F224,VLOOKUP(MAX(C$2:C224),A$2:F224,2,FALSE)),"")</f>
        <v>XF</v>
      </c>
      <c r="E224" s="1" t="str">
        <f t="shared" si="7"/>
        <v/>
      </c>
    </row>
    <row r="225" spans="1:5" x14ac:dyDescent="0.25">
      <c r="A225" s="1">
        <v>224</v>
      </c>
      <c r="B225" s="1" t="str">
        <f>IFERROR(IF(F224&lt;&gt;"",F224,VLOOKUP(MAX(F$2:F224),A$1:B224,2,FALSE)),"")</f>
        <v/>
      </c>
      <c r="C225" s="1" t="str">
        <f t="shared" si="6"/>
        <v/>
      </c>
      <c r="D225" s="1" t="str">
        <f>IFERROR(IF(F225&lt;&gt;"",F225,VLOOKUP(MAX(C$2:C225),A$2:F225,2,FALSE)),"")</f>
        <v>XF</v>
      </c>
      <c r="E225" s="1" t="str">
        <f t="shared" si="7"/>
        <v/>
      </c>
    </row>
    <row r="226" spans="1:5" x14ac:dyDescent="0.25">
      <c r="A226" s="1">
        <v>225</v>
      </c>
      <c r="B226" s="1" t="str">
        <f>IFERROR(IF(F225&lt;&gt;"",F225,VLOOKUP(MAX(F$2:F225),A$1:B225,2,FALSE)),"")</f>
        <v/>
      </c>
      <c r="C226" s="1" t="str">
        <f t="shared" si="6"/>
        <v/>
      </c>
      <c r="D226" s="1" t="str">
        <f>IFERROR(IF(F226&lt;&gt;"",F226,VLOOKUP(MAX(C$2:C226),A$2:F226,2,FALSE)),"")</f>
        <v>XF</v>
      </c>
      <c r="E226" s="1" t="str">
        <f t="shared" si="7"/>
        <v/>
      </c>
    </row>
    <row r="227" spans="1:5" x14ac:dyDescent="0.25">
      <c r="A227" s="1">
        <v>226</v>
      </c>
      <c r="B227" s="1" t="str">
        <f>IFERROR(IF(F226&lt;&gt;"",F226,VLOOKUP(MAX(F$2:F226),A$1:B226,2,FALSE)),"")</f>
        <v/>
      </c>
      <c r="C227" s="1" t="str">
        <f t="shared" si="6"/>
        <v/>
      </c>
      <c r="D227" s="1" t="str">
        <f>IFERROR(IF(F227&lt;&gt;"",F227,VLOOKUP(MAX(C$2:C227),A$2:F227,2,FALSE)),"")</f>
        <v>XF</v>
      </c>
      <c r="E227" s="1" t="str">
        <f t="shared" si="7"/>
        <v/>
      </c>
    </row>
    <row r="228" spans="1:5" x14ac:dyDescent="0.25">
      <c r="A228" s="1">
        <v>227</v>
      </c>
      <c r="B228" s="1" t="str">
        <f>IFERROR(IF(F227&lt;&gt;"",F227,VLOOKUP(MAX(F$2:F227),A$1:B227,2,FALSE)),"")</f>
        <v/>
      </c>
      <c r="C228" s="1" t="str">
        <f t="shared" si="6"/>
        <v/>
      </c>
      <c r="D228" s="1" t="str">
        <f>IFERROR(IF(F228&lt;&gt;"",F228,VLOOKUP(MAX(C$2:C228),A$2:F228,2,FALSE)),"")</f>
        <v>XF</v>
      </c>
      <c r="E228" s="1" t="str">
        <f t="shared" si="7"/>
        <v/>
      </c>
    </row>
    <row r="229" spans="1:5" x14ac:dyDescent="0.25">
      <c r="A229" s="1">
        <v>228</v>
      </c>
      <c r="B229" s="1" t="str">
        <f>IFERROR(IF(F228&lt;&gt;"",F228,VLOOKUP(MAX(F$2:F228),A$1:B228,2,FALSE)),"")</f>
        <v/>
      </c>
      <c r="C229" s="1" t="str">
        <f t="shared" si="6"/>
        <v/>
      </c>
      <c r="D229" s="1" t="str">
        <f>IFERROR(IF(F229&lt;&gt;"",F229,VLOOKUP(MAX(C$2:C229),A$2:F229,2,FALSE)),"")</f>
        <v>XF</v>
      </c>
      <c r="E229" s="1" t="str">
        <f t="shared" si="7"/>
        <v/>
      </c>
    </row>
    <row r="230" spans="1:5" x14ac:dyDescent="0.25">
      <c r="A230" s="1">
        <v>229</v>
      </c>
      <c r="B230" s="1" t="str">
        <f>IFERROR(IF(F229&lt;&gt;"",F229,VLOOKUP(MAX(F$2:F229),A$1:B229,2,FALSE)),"")</f>
        <v/>
      </c>
      <c r="C230" s="1" t="str">
        <f t="shared" si="6"/>
        <v/>
      </c>
      <c r="D230" s="1" t="str">
        <f>IFERROR(IF(F230&lt;&gt;"",F230,VLOOKUP(MAX(C$2:C230),A$2:F230,2,FALSE)),"")</f>
        <v>XF</v>
      </c>
      <c r="E230" s="1" t="str">
        <f t="shared" si="7"/>
        <v/>
      </c>
    </row>
    <row r="231" spans="1:5" x14ac:dyDescent="0.25">
      <c r="A231" s="1">
        <v>230</v>
      </c>
      <c r="B231" s="1" t="str">
        <f>IFERROR(IF(F230&lt;&gt;"",F230,VLOOKUP(MAX(F$2:F230),A$1:B230,2,FALSE)),"")</f>
        <v/>
      </c>
      <c r="C231" s="1" t="str">
        <f t="shared" si="6"/>
        <v/>
      </c>
      <c r="D231" s="1" t="str">
        <f>IFERROR(IF(F231&lt;&gt;"",F231,VLOOKUP(MAX(C$2:C231),A$2:F231,2,FALSE)),"")</f>
        <v>XF</v>
      </c>
      <c r="E231" s="1" t="str">
        <f t="shared" si="7"/>
        <v/>
      </c>
    </row>
    <row r="232" spans="1:5" x14ac:dyDescent="0.25">
      <c r="A232" s="1">
        <v>231</v>
      </c>
      <c r="B232" s="1" t="str">
        <f>IFERROR(IF(F231&lt;&gt;"",F231,VLOOKUP(MAX(F$2:F231),A$1:B231,2,FALSE)),"")</f>
        <v/>
      </c>
      <c r="C232" s="1" t="str">
        <f t="shared" si="6"/>
        <v/>
      </c>
      <c r="D232" s="1" t="str">
        <f>IFERROR(IF(F232&lt;&gt;"",F232,VLOOKUP(MAX(C$2:C232),A$2:F232,2,FALSE)),"")</f>
        <v>XF</v>
      </c>
      <c r="E232" s="1" t="str">
        <f t="shared" si="7"/>
        <v/>
      </c>
    </row>
    <row r="233" spans="1:5" x14ac:dyDescent="0.25">
      <c r="A233" s="1">
        <v>232</v>
      </c>
      <c r="B233" s="1" t="str">
        <f>IFERROR(IF(F232&lt;&gt;"",F232,VLOOKUP(MAX(F$2:F232),A$1:B232,2,FALSE)),"")</f>
        <v/>
      </c>
      <c r="C233" s="1" t="str">
        <f t="shared" si="6"/>
        <v/>
      </c>
      <c r="D233" s="1" t="str">
        <f>IFERROR(IF(F233&lt;&gt;"",F233,VLOOKUP(MAX(C$2:C233),A$2:F233,2,FALSE)),"")</f>
        <v>XF</v>
      </c>
      <c r="E233" s="1" t="str">
        <f t="shared" si="7"/>
        <v/>
      </c>
    </row>
    <row r="234" spans="1:5" x14ac:dyDescent="0.25">
      <c r="A234" s="1">
        <v>233</v>
      </c>
      <c r="B234" s="1" t="str">
        <f>IFERROR(IF(F233&lt;&gt;"",F233,VLOOKUP(MAX(F$2:F233),A$1:B233,2,FALSE)),"")</f>
        <v/>
      </c>
      <c r="C234" s="1" t="str">
        <f t="shared" si="6"/>
        <v/>
      </c>
      <c r="D234" s="1" t="str">
        <f>IFERROR(IF(F234&lt;&gt;"",F234,VLOOKUP(MAX(C$2:C234),A$2:F234,2,FALSE)),"")</f>
        <v>XF</v>
      </c>
      <c r="E234" s="1" t="str">
        <f t="shared" si="7"/>
        <v/>
      </c>
    </row>
    <row r="235" spans="1:5" x14ac:dyDescent="0.25">
      <c r="A235" s="1">
        <v>234</v>
      </c>
      <c r="B235" s="1" t="str">
        <f>IFERROR(IF(F234&lt;&gt;"",F234,VLOOKUP(MAX(F$2:F234),A$1:B234,2,FALSE)),"")</f>
        <v/>
      </c>
      <c r="C235" s="1" t="str">
        <f t="shared" si="6"/>
        <v/>
      </c>
      <c r="D235" s="1" t="str">
        <f>IFERROR(IF(F235&lt;&gt;"",F235,VLOOKUP(MAX(C$2:C235),A$2:F235,2,FALSE)),"")</f>
        <v>XF</v>
      </c>
      <c r="E235" s="1" t="str">
        <f t="shared" si="7"/>
        <v/>
      </c>
    </row>
    <row r="236" spans="1:5" x14ac:dyDescent="0.25">
      <c r="A236" s="1">
        <v>235</v>
      </c>
      <c r="B236" s="1" t="str">
        <f>IFERROR(IF(F235&lt;&gt;"",F235,VLOOKUP(MAX(F$2:F235),A$1:B235,2,FALSE)),"")</f>
        <v/>
      </c>
      <c r="C236" s="1" t="str">
        <f t="shared" si="6"/>
        <v/>
      </c>
      <c r="D236" s="1" t="str">
        <f>IFERROR(IF(F236&lt;&gt;"",F236,VLOOKUP(MAX(C$2:C236),A$2:F236,2,FALSE)),"")</f>
        <v>XF</v>
      </c>
      <c r="E236" s="1" t="str">
        <f t="shared" si="7"/>
        <v/>
      </c>
    </row>
    <row r="237" spans="1:5" x14ac:dyDescent="0.25">
      <c r="A237" s="1">
        <v>236</v>
      </c>
      <c r="B237" s="1" t="str">
        <f>IFERROR(IF(F236&lt;&gt;"",F236,VLOOKUP(MAX(F$2:F236),A$1:B236,2,FALSE)),"")</f>
        <v/>
      </c>
      <c r="C237" s="1" t="str">
        <f t="shared" si="6"/>
        <v/>
      </c>
      <c r="D237" s="1" t="str">
        <f>IFERROR(IF(F237&lt;&gt;"",F237,VLOOKUP(MAX(C$2:C237),A$2:F237,2,FALSE)),"")</f>
        <v>XF</v>
      </c>
      <c r="E237" s="1" t="str">
        <f t="shared" si="7"/>
        <v/>
      </c>
    </row>
    <row r="238" spans="1:5" x14ac:dyDescent="0.25">
      <c r="A238" s="1">
        <v>237</v>
      </c>
      <c r="B238" s="1" t="str">
        <f>IFERROR(IF(F237&lt;&gt;"",F237,VLOOKUP(MAX(F$2:F237),A$1:B237,2,FALSE)),"")</f>
        <v/>
      </c>
      <c r="C238" s="1" t="str">
        <f t="shared" si="6"/>
        <v/>
      </c>
      <c r="D238" s="1" t="str">
        <f>IFERROR(IF(F238&lt;&gt;"",F238,VLOOKUP(MAX(C$2:C238),A$2:F238,2,FALSE)),"")</f>
        <v>XF</v>
      </c>
      <c r="E238" s="1" t="str">
        <f t="shared" si="7"/>
        <v/>
      </c>
    </row>
    <row r="239" spans="1:5" x14ac:dyDescent="0.25">
      <c r="A239" s="1">
        <v>238</v>
      </c>
      <c r="B239" s="1" t="str">
        <f>IFERROR(IF(F238&lt;&gt;"",F238,VLOOKUP(MAX(F$2:F238),A$1:B238,2,FALSE)),"")</f>
        <v/>
      </c>
      <c r="C239" s="1" t="str">
        <f t="shared" si="6"/>
        <v/>
      </c>
      <c r="D239" s="1" t="str">
        <f>IFERROR(IF(F239&lt;&gt;"",F239,VLOOKUP(MAX(C$2:C239),A$2:F239,2,FALSE)),"")</f>
        <v>XF</v>
      </c>
      <c r="E239" s="1" t="str">
        <f t="shared" si="7"/>
        <v/>
      </c>
    </row>
    <row r="240" spans="1:5" x14ac:dyDescent="0.25">
      <c r="A240" s="1">
        <v>239</v>
      </c>
      <c r="B240" s="1" t="str">
        <f>IFERROR(IF(F239&lt;&gt;"",F239,VLOOKUP(MAX(F$2:F239),A$1:B239,2,FALSE)),"")</f>
        <v/>
      </c>
      <c r="C240" s="1" t="str">
        <f t="shared" si="6"/>
        <v/>
      </c>
      <c r="D240" s="1" t="str">
        <f>IFERROR(IF(F240&lt;&gt;"",F240,VLOOKUP(MAX(C$2:C240),A$2:F240,2,FALSE)),"")</f>
        <v>XF</v>
      </c>
      <c r="E240" s="1" t="str">
        <f t="shared" si="7"/>
        <v/>
      </c>
    </row>
    <row r="241" spans="1:5" x14ac:dyDescent="0.25">
      <c r="A241" s="1">
        <v>240</v>
      </c>
      <c r="B241" s="1" t="str">
        <f>IFERROR(IF(F240&lt;&gt;"",F240,VLOOKUP(MAX(F$2:F240),A$1:B240,2,FALSE)),"")</f>
        <v/>
      </c>
      <c r="C241" s="1" t="str">
        <f t="shared" si="6"/>
        <v/>
      </c>
      <c r="D241" s="1" t="str">
        <f>IFERROR(IF(F241&lt;&gt;"",F241,VLOOKUP(MAX(C$2:C241),A$2:F241,2,FALSE)),"")</f>
        <v>XF</v>
      </c>
      <c r="E241" s="1" t="str">
        <f t="shared" si="7"/>
        <v/>
      </c>
    </row>
    <row r="242" spans="1:5" x14ac:dyDescent="0.25">
      <c r="A242" s="1">
        <v>241</v>
      </c>
      <c r="B242" s="1" t="str">
        <f>IFERROR(IF(F241&lt;&gt;"",F241,VLOOKUP(MAX(F$2:F241),A$1:B241,2,FALSE)),"")</f>
        <v/>
      </c>
      <c r="C242" s="1" t="str">
        <f t="shared" si="6"/>
        <v/>
      </c>
      <c r="D242" s="1" t="str">
        <f>IFERROR(IF(F242&lt;&gt;"",F242,VLOOKUP(MAX(C$2:C242),A$2:F242,2,FALSE)),"")</f>
        <v>XF</v>
      </c>
      <c r="E242" s="1" t="str">
        <f t="shared" si="7"/>
        <v/>
      </c>
    </row>
    <row r="243" spans="1:5" x14ac:dyDescent="0.25">
      <c r="A243" s="1">
        <v>242</v>
      </c>
      <c r="B243" s="1" t="str">
        <f>IFERROR(IF(F242&lt;&gt;"",F242,VLOOKUP(MAX(F$2:F242),A$1:B242,2,FALSE)),"")</f>
        <v/>
      </c>
      <c r="C243" s="1" t="str">
        <f t="shared" si="6"/>
        <v/>
      </c>
      <c r="D243" s="1" t="str">
        <f>IFERROR(IF(F243&lt;&gt;"",F243,VLOOKUP(MAX(C$2:C243),A$2:F243,2,FALSE)),"")</f>
        <v>XF</v>
      </c>
      <c r="E243" s="1" t="str">
        <f t="shared" si="7"/>
        <v/>
      </c>
    </row>
    <row r="244" spans="1:5" x14ac:dyDescent="0.25">
      <c r="A244" s="1">
        <v>243</v>
      </c>
      <c r="B244" s="1" t="str">
        <f>IFERROR(IF(F243&lt;&gt;"",F243,VLOOKUP(MAX(F$2:F243),A$1:B243,2,FALSE)),"")</f>
        <v/>
      </c>
      <c r="C244" s="1" t="str">
        <f t="shared" si="6"/>
        <v/>
      </c>
      <c r="D244" s="1" t="str">
        <f>IFERROR(IF(F244&lt;&gt;"",F244,VLOOKUP(MAX(C$2:C244),A$2:F244,2,FALSE)),"")</f>
        <v>XF</v>
      </c>
      <c r="E244" s="1" t="str">
        <f t="shared" si="7"/>
        <v/>
      </c>
    </row>
    <row r="245" spans="1:5" x14ac:dyDescent="0.25">
      <c r="A245" s="1">
        <v>244</v>
      </c>
      <c r="B245" s="1" t="str">
        <f>IFERROR(IF(F244&lt;&gt;"",F244,VLOOKUP(MAX(F$2:F244),A$1:B244,2,FALSE)),"")</f>
        <v/>
      </c>
      <c r="C245" s="1" t="str">
        <f t="shared" si="6"/>
        <v/>
      </c>
      <c r="D245" s="1" t="str">
        <f>IFERROR(IF(F245&lt;&gt;"",F245,VLOOKUP(MAX(C$2:C245),A$2:F245,2,FALSE)),"")</f>
        <v>XF</v>
      </c>
      <c r="E245" s="1" t="str">
        <f t="shared" si="7"/>
        <v/>
      </c>
    </row>
    <row r="246" spans="1:5" x14ac:dyDescent="0.25">
      <c r="A246" s="1">
        <v>245</v>
      </c>
      <c r="B246" s="1" t="str">
        <f>IFERROR(IF(F245&lt;&gt;"",F245,VLOOKUP(MAX(F$2:F245),A$1:B245,2,FALSE)),"")</f>
        <v/>
      </c>
      <c r="C246" s="1" t="str">
        <f t="shared" si="6"/>
        <v/>
      </c>
      <c r="D246" s="1" t="str">
        <f>IFERROR(IF(F246&lt;&gt;"",F246,VLOOKUP(MAX(C$2:C246),A$2:F246,2,FALSE)),"")</f>
        <v>XF</v>
      </c>
      <c r="E246" s="1" t="str">
        <f t="shared" si="7"/>
        <v/>
      </c>
    </row>
    <row r="247" spans="1:5" x14ac:dyDescent="0.25">
      <c r="A247" s="1">
        <v>246</v>
      </c>
      <c r="B247" s="1" t="str">
        <f>IFERROR(IF(F246&lt;&gt;"",F246,VLOOKUP(MAX(F$2:F246),A$1:B246,2,FALSE)),"")</f>
        <v/>
      </c>
      <c r="C247" s="1" t="str">
        <f t="shared" si="6"/>
        <v/>
      </c>
      <c r="D247" s="1" t="str">
        <f>IFERROR(IF(F247&lt;&gt;"",F247,VLOOKUP(MAX(C$2:C247),A$2:F247,2,FALSE)),"")</f>
        <v>XF</v>
      </c>
      <c r="E247" s="1" t="str">
        <f t="shared" si="7"/>
        <v/>
      </c>
    </row>
    <row r="248" spans="1:5" x14ac:dyDescent="0.25">
      <c r="A248" s="1">
        <v>247</v>
      </c>
      <c r="B248" s="1" t="str">
        <f>IFERROR(IF(F247&lt;&gt;"",F247,VLOOKUP(MAX(F$2:F247),A$1:B247,2,FALSE)),"")</f>
        <v/>
      </c>
      <c r="C248" s="1" t="str">
        <f t="shared" si="6"/>
        <v/>
      </c>
      <c r="D248" s="1" t="str">
        <f>IFERROR(IF(F248&lt;&gt;"",F248,VLOOKUP(MAX(C$2:C248),A$2:F248,2,FALSE)),"")</f>
        <v>XF</v>
      </c>
      <c r="E248" s="1" t="str">
        <f t="shared" si="7"/>
        <v/>
      </c>
    </row>
    <row r="249" spans="1:5" x14ac:dyDescent="0.25">
      <c r="A249" s="1">
        <v>248</v>
      </c>
      <c r="B249" s="1" t="str">
        <f>IFERROR(IF(F248&lt;&gt;"",F248,VLOOKUP(MAX(F$2:F248),A$1:B248,2,FALSE)),"")</f>
        <v/>
      </c>
      <c r="C249" s="1" t="str">
        <f t="shared" si="6"/>
        <v/>
      </c>
      <c r="D249" s="1" t="str">
        <f>IFERROR(IF(F249&lt;&gt;"",F249,VLOOKUP(MAX(C$2:C249),A$2:F249,2,FALSE)),"")</f>
        <v>XF</v>
      </c>
      <c r="E249" s="1" t="str">
        <f t="shared" si="7"/>
        <v/>
      </c>
    </row>
    <row r="250" spans="1:5" x14ac:dyDescent="0.25">
      <c r="A250" s="1">
        <v>249</v>
      </c>
      <c r="B250" s="1" t="str">
        <f>IFERROR(IF(F249&lt;&gt;"",F249,VLOOKUP(MAX(F$2:F249),A$1:B249,2,FALSE)),"")</f>
        <v/>
      </c>
      <c r="C250" s="1" t="str">
        <f t="shared" si="6"/>
        <v/>
      </c>
      <c r="D250" s="1" t="str">
        <f>IFERROR(IF(F250&lt;&gt;"",F250,VLOOKUP(MAX(C$2:C250),A$2:F250,2,FALSE)),"")</f>
        <v>XF</v>
      </c>
      <c r="E250" s="1" t="str">
        <f t="shared" si="7"/>
        <v/>
      </c>
    </row>
    <row r="251" spans="1:5" x14ac:dyDescent="0.25">
      <c r="A251" s="1">
        <v>250</v>
      </c>
      <c r="B251" s="1" t="str">
        <f>IFERROR(IF(F250&lt;&gt;"",F250,VLOOKUP(MAX(F$2:F250),A$1:B250,2,FALSE)),"")</f>
        <v/>
      </c>
      <c r="C251" s="1" t="str">
        <f t="shared" si="6"/>
        <v/>
      </c>
      <c r="D251" s="1" t="str">
        <f>IFERROR(IF(F251&lt;&gt;"",F251,VLOOKUP(MAX(C$2:C251),A$2:F251,2,FALSE)),"")</f>
        <v>XF</v>
      </c>
      <c r="E251" s="1" t="str">
        <f t="shared" si="7"/>
        <v/>
      </c>
    </row>
    <row r="252" spans="1:5" x14ac:dyDescent="0.25">
      <c r="A252" s="1">
        <v>251</v>
      </c>
      <c r="B252" s="1" t="str">
        <f>IFERROR(IF(F251&lt;&gt;"",F251,VLOOKUP(MAX(F$2:F251),A$1:B251,2,FALSE)),"")</f>
        <v/>
      </c>
      <c r="C252" s="1" t="str">
        <f t="shared" si="6"/>
        <v/>
      </c>
      <c r="D252" s="1" t="str">
        <f>IFERROR(IF(F252&lt;&gt;"",F252,VLOOKUP(MAX(C$2:C252),A$2:F252,2,FALSE)),"")</f>
        <v>XF</v>
      </c>
      <c r="E252" s="1" t="str">
        <f t="shared" si="7"/>
        <v/>
      </c>
    </row>
    <row r="253" spans="1:5" x14ac:dyDescent="0.25">
      <c r="A253" s="1">
        <v>252</v>
      </c>
      <c r="B253" s="1" t="str">
        <f>IFERROR(IF(F252&lt;&gt;"",F252,VLOOKUP(MAX(F$2:F252),A$1:B252,2,FALSE)),"")</f>
        <v/>
      </c>
      <c r="C253" s="1" t="str">
        <f t="shared" si="6"/>
        <v/>
      </c>
      <c r="D253" s="1" t="str">
        <f>IFERROR(IF(F253&lt;&gt;"",F253,VLOOKUP(MAX(C$2:C253),A$2:F253,2,FALSE)),"")</f>
        <v>XF</v>
      </c>
      <c r="E253" s="1" t="str">
        <f t="shared" si="7"/>
        <v/>
      </c>
    </row>
    <row r="254" spans="1:5" x14ac:dyDescent="0.25">
      <c r="A254" s="1">
        <v>253</v>
      </c>
      <c r="B254" s="1" t="str">
        <f>IFERROR(IF(F253&lt;&gt;"",F253,VLOOKUP(MAX(F$2:F253),A$1:B253,2,FALSE)),"")</f>
        <v/>
      </c>
      <c r="C254" s="1" t="str">
        <f t="shared" si="6"/>
        <v/>
      </c>
      <c r="D254" s="1" t="str">
        <f>IFERROR(IF(F254&lt;&gt;"",F254,VLOOKUP(MAX(C$2:C254),A$2:F254,2,FALSE)),"")</f>
        <v>XF</v>
      </c>
      <c r="E254" s="1" t="str">
        <f t="shared" si="7"/>
        <v/>
      </c>
    </row>
    <row r="255" spans="1:5" x14ac:dyDescent="0.25">
      <c r="A255" s="1">
        <v>254</v>
      </c>
      <c r="B255" s="1" t="str">
        <f>IFERROR(IF(F254&lt;&gt;"",F254,VLOOKUP(MAX(F$2:F254),A$1:B254,2,FALSE)),"")</f>
        <v/>
      </c>
      <c r="C255" s="1" t="str">
        <f t="shared" si="6"/>
        <v/>
      </c>
      <c r="D255" s="1" t="str">
        <f>IFERROR(IF(F255&lt;&gt;"",F255,VLOOKUP(MAX(C$2:C255),A$2:F255,2,FALSE)),"")</f>
        <v>XF</v>
      </c>
      <c r="E255" s="1" t="str">
        <f t="shared" si="7"/>
        <v/>
      </c>
    </row>
    <row r="256" spans="1:5" x14ac:dyDescent="0.25">
      <c r="A256" s="1">
        <v>255</v>
      </c>
      <c r="B256" s="1" t="str">
        <f>IFERROR(IF(F255&lt;&gt;"",F255,VLOOKUP(MAX(F$2:F255),A$1:B255,2,FALSE)),"")</f>
        <v/>
      </c>
      <c r="C256" s="1" t="str">
        <f t="shared" si="6"/>
        <v/>
      </c>
      <c r="D256" s="1" t="str">
        <f>IFERROR(IF(F256&lt;&gt;"",F256,VLOOKUP(MAX(C$2:C256),A$2:F256,2,FALSE)),"")</f>
        <v>XF</v>
      </c>
      <c r="E256" s="1" t="str">
        <f t="shared" si="7"/>
        <v/>
      </c>
    </row>
    <row r="257" spans="1:5" x14ac:dyDescent="0.25">
      <c r="A257" s="1">
        <v>256</v>
      </c>
      <c r="B257" s="1" t="str">
        <f>IFERROR(IF(F256&lt;&gt;"",F256,VLOOKUP(MAX(F$2:F256),A$1:B256,2,FALSE)),"")</f>
        <v/>
      </c>
      <c r="C257" s="1" t="str">
        <f t="shared" si="6"/>
        <v/>
      </c>
      <c r="D257" s="1" t="str">
        <f>IFERROR(IF(F257&lt;&gt;"",F257,VLOOKUP(MAX(C$2:C257),A$2:F257,2,FALSE)),"")</f>
        <v>XF</v>
      </c>
      <c r="E257" s="1" t="str">
        <f t="shared" si="7"/>
        <v/>
      </c>
    </row>
    <row r="258" spans="1:5" x14ac:dyDescent="0.25">
      <c r="A258" s="1">
        <v>257</v>
      </c>
      <c r="B258" s="1" t="str">
        <f>IFERROR(IF(F257&lt;&gt;"",F257,VLOOKUP(MAX(F$2:F257),A$1:B257,2,FALSE)),"")</f>
        <v/>
      </c>
      <c r="C258" s="1" t="str">
        <f t="shared" ref="C258:C321" si="8">IF(F258&lt;&gt;"",A258,"")</f>
        <v/>
      </c>
      <c r="D258" s="1" t="str">
        <f>IFERROR(IF(F258&lt;&gt;"",F258,VLOOKUP(MAX(C$2:C258),A$2:F258,2,FALSE)),"")</f>
        <v>XF</v>
      </c>
      <c r="E258" s="1" t="str">
        <f t="shared" si="7"/>
        <v/>
      </c>
    </row>
    <row r="259" spans="1:5" x14ac:dyDescent="0.25">
      <c r="A259" s="1">
        <v>258</v>
      </c>
      <c r="B259" s="1" t="str">
        <f>IFERROR(IF(F258&lt;&gt;"",F258,VLOOKUP(MAX(F$2:F258),A$1:B258,2,FALSE)),"")</f>
        <v/>
      </c>
      <c r="C259" s="1" t="str">
        <f t="shared" si="8"/>
        <v/>
      </c>
      <c r="D259" s="1" t="str">
        <f>IFERROR(IF(F259&lt;&gt;"",F259,VLOOKUP(MAX(C$2:C259),A$2:F259,2,FALSE)),"")</f>
        <v>XF</v>
      </c>
      <c r="E259" s="1" t="str">
        <f t="shared" si="7"/>
        <v/>
      </c>
    </row>
    <row r="260" spans="1:5" x14ac:dyDescent="0.25">
      <c r="A260" s="1">
        <v>259</v>
      </c>
      <c r="B260" s="1" t="str">
        <f>IFERROR(IF(F259&lt;&gt;"",F259,VLOOKUP(MAX(F$2:F259),A$1:B259,2,FALSE)),"")</f>
        <v/>
      </c>
      <c r="C260" s="1" t="str">
        <f t="shared" si="8"/>
        <v/>
      </c>
      <c r="D260" s="1" t="str">
        <f>IFERROR(IF(F260&lt;&gt;"",F260,VLOOKUP(MAX(C$2:C260),A$2:F260,2,FALSE)),"")</f>
        <v>XF</v>
      </c>
      <c r="E260" s="1" t="str">
        <f t="shared" ref="E260:E323" si="9">IF(H260&lt;&gt;"",CONCATENATE(D260,".",H260),"")</f>
        <v/>
      </c>
    </row>
    <row r="261" spans="1:5" x14ac:dyDescent="0.25">
      <c r="A261" s="1">
        <v>260</v>
      </c>
      <c r="B261" s="1" t="str">
        <f>IFERROR(IF(F260&lt;&gt;"",F260,VLOOKUP(MAX(F$2:F260),A$1:B260,2,FALSE)),"")</f>
        <v/>
      </c>
      <c r="C261" s="1" t="str">
        <f t="shared" si="8"/>
        <v/>
      </c>
      <c r="D261" s="1" t="str">
        <f>IFERROR(IF(F261&lt;&gt;"",F261,VLOOKUP(MAX(C$2:C261),A$2:F261,2,FALSE)),"")</f>
        <v>XF</v>
      </c>
      <c r="E261" s="1" t="str">
        <f t="shared" si="9"/>
        <v/>
      </c>
    </row>
    <row r="262" spans="1:5" x14ac:dyDescent="0.25">
      <c r="A262" s="1">
        <v>261</v>
      </c>
      <c r="B262" s="1" t="str">
        <f>IFERROR(IF(F261&lt;&gt;"",F261,VLOOKUP(MAX(F$2:F261),A$1:B261,2,FALSE)),"")</f>
        <v/>
      </c>
      <c r="C262" s="1" t="str">
        <f t="shared" si="8"/>
        <v/>
      </c>
      <c r="D262" s="1" t="str">
        <f>IFERROR(IF(F262&lt;&gt;"",F262,VLOOKUP(MAX(C$2:C262),A$2:F262,2,FALSE)),"")</f>
        <v>XF</v>
      </c>
      <c r="E262" s="1" t="str">
        <f t="shared" si="9"/>
        <v/>
      </c>
    </row>
    <row r="263" spans="1:5" x14ac:dyDescent="0.25">
      <c r="A263" s="1">
        <v>262</v>
      </c>
      <c r="B263" s="1" t="str">
        <f>IFERROR(IF(F262&lt;&gt;"",F262,VLOOKUP(MAX(F$2:F262),A$1:B262,2,FALSE)),"")</f>
        <v/>
      </c>
      <c r="C263" s="1" t="str">
        <f t="shared" si="8"/>
        <v/>
      </c>
      <c r="D263" s="1" t="str">
        <f>IFERROR(IF(F263&lt;&gt;"",F263,VLOOKUP(MAX(C$2:C263),A$2:F263,2,FALSE)),"")</f>
        <v>XF</v>
      </c>
      <c r="E263" s="1" t="str">
        <f t="shared" si="9"/>
        <v/>
      </c>
    </row>
    <row r="264" spans="1:5" x14ac:dyDescent="0.25">
      <c r="A264" s="1">
        <v>263</v>
      </c>
      <c r="B264" s="1" t="str">
        <f>IFERROR(IF(F263&lt;&gt;"",F263,VLOOKUP(MAX(F$2:F263),A$1:B263,2,FALSE)),"")</f>
        <v/>
      </c>
      <c r="C264" s="1" t="str">
        <f t="shared" si="8"/>
        <v/>
      </c>
      <c r="D264" s="1" t="str">
        <f>IFERROR(IF(F264&lt;&gt;"",F264,VLOOKUP(MAX(C$2:C264),A$2:F264,2,FALSE)),"")</f>
        <v>XF</v>
      </c>
      <c r="E264" s="1" t="str">
        <f t="shared" si="9"/>
        <v/>
      </c>
    </row>
    <row r="265" spans="1:5" x14ac:dyDescent="0.25">
      <c r="A265" s="1">
        <v>264</v>
      </c>
      <c r="B265" s="1" t="str">
        <f>IFERROR(IF(F264&lt;&gt;"",F264,VLOOKUP(MAX(F$2:F264),A$1:B264,2,FALSE)),"")</f>
        <v/>
      </c>
      <c r="C265" s="1" t="str">
        <f t="shared" si="8"/>
        <v/>
      </c>
      <c r="D265" s="1" t="str">
        <f>IFERROR(IF(F265&lt;&gt;"",F265,VLOOKUP(MAX(C$2:C265),A$2:F265,2,FALSE)),"")</f>
        <v>XF</v>
      </c>
      <c r="E265" s="1" t="str">
        <f t="shared" si="9"/>
        <v/>
      </c>
    </row>
    <row r="266" spans="1:5" x14ac:dyDescent="0.25">
      <c r="A266" s="1">
        <v>265</v>
      </c>
      <c r="B266" s="1" t="str">
        <f>IFERROR(IF(F265&lt;&gt;"",F265,VLOOKUP(MAX(F$2:F265),A$1:B265,2,FALSE)),"")</f>
        <v/>
      </c>
      <c r="C266" s="1" t="str">
        <f t="shared" si="8"/>
        <v/>
      </c>
      <c r="D266" s="1" t="str">
        <f>IFERROR(IF(F266&lt;&gt;"",F266,VLOOKUP(MAX(C$2:C266),A$2:F266,2,FALSE)),"")</f>
        <v>XF</v>
      </c>
      <c r="E266" s="1" t="str">
        <f t="shared" si="9"/>
        <v/>
      </c>
    </row>
    <row r="267" spans="1:5" x14ac:dyDescent="0.25">
      <c r="A267" s="1">
        <v>266</v>
      </c>
      <c r="B267" s="1" t="str">
        <f>IFERROR(IF(F266&lt;&gt;"",F266,VLOOKUP(MAX(F$2:F266),A$1:B266,2,FALSE)),"")</f>
        <v/>
      </c>
      <c r="C267" s="1" t="str">
        <f t="shared" si="8"/>
        <v/>
      </c>
      <c r="D267" s="1" t="str">
        <f>IFERROR(IF(F267&lt;&gt;"",F267,VLOOKUP(MAX(C$2:C267),A$2:F267,2,FALSE)),"")</f>
        <v>XF</v>
      </c>
      <c r="E267" s="1" t="str">
        <f t="shared" si="9"/>
        <v/>
      </c>
    </row>
    <row r="268" spans="1:5" x14ac:dyDescent="0.25">
      <c r="A268" s="1">
        <v>267</v>
      </c>
      <c r="B268" s="1" t="str">
        <f>IFERROR(IF(F267&lt;&gt;"",F267,VLOOKUP(MAX(F$2:F267),A$1:B267,2,FALSE)),"")</f>
        <v/>
      </c>
      <c r="C268" s="1" t="str">
        <f t="shared" si="8"/>
        <v/>
      </c>
      <c r="D268" s="1" t="str">
        <f>IFERROR(IF(F268&lt;&gt;"",F268,VLOOKUP(MAX(C$2:C268),A$2:F268,2,FALSE)),"")</f>
        <v>XF</v>
      </c>
      <c r="E268" s="1" t="str">
        <f t="shared" si="9"/>
        <v/>
      </c>
    </row>
    <row r="269" spans="1:5" x14ac:dyDescent="0.25">
      <c r="A269" s="1">
        <v>268</v>
      </c>
      <c r="B269" s="1" t="str">
        <f>IFERROR(IF(F268&lt;&gt;"",F268,VLOOKUP(MAX(F$2:F268),A$1:B268,2,FALSE)),"")</f>
        <v/>
      </c>
      <c r="C269" s="1" t="str">
        <f t="shared" si="8"/>
        <v/>
      </c>
      <c r="D269" s="1" t="str">
        <f>IFERROR(IF(F269&lt;&gt;"",F269,VLOOKUP(MAX(C$2:C269),A$2:F269,2,FALSE)),"")</f>
        <v>XF</v>
      </c>
      <c r="E269" s="1" t="str">
        <f t="shared" si="9"/>
        <v/>
      </c>
    </row>
    <row r="270" spans="1:5" x14ac:dyDescent="0.25">
      <c r="A270" s="1">
        <v>269</v>
      </c>
      <c r="B270" s="1" t="str">
        <f>IFERROR(IF(F269&lt;&gt;"",F269,VLOOKUP(MAX(F$2:F269),A$1:B269,2,FALSE)),"")</f>
        <v/>
      </c>
      <c r="C270" s="1" t="str">
        <f t="shared" si="8"/>
        <v/>
      </c>
      <c r="D270" s="1" t="str">
        <f>IFERROR(IF(F270&lt;&gt;"",F270,VLOOKUP(MAX(C$2:C270),A$2:F270,2,FALSE)),"")</f>
        <v>XF</v>
      </c>
      <c r="E270" s="1" t="str">
        <f t="shared" si="9"/>
        <v/>
      </c>
    </row>
    <row r="271" spans="1:5" x14ac:dyDescent="0.25">
      <c r="A271" s="1">
        <v>270</v>
      </c>
      <c r="B271" s="1" t="str">
        <f>IFERROR(IF(F270&lt;&gt;"",F270,VLOOKUP(MAX(F$2:F270),A$1:B270,2,FALSE)),"")</f>
        <v/>
      </c>
      <c r="C271" s="1" t="str">
        <f t="shared" si="8"/>
        <v/>
      </c>
      <c r="D271" s="1" t="str">
        <f>IFERROR(IF(F271&lt;&gt;"",F271,VLOOKUP(MAX(C$2:C271),A$2:F271,2,FALSE)),"")</f>
        <v>XF</v>
      </c>
      <c r="E271" s="1" t="str">
        <f t="shared" si="9"/>
        <v/>
      </c>
    </row>
    <row r="272" spans="1:5" x14ac:dyDescent="0.25">
      <c r="A272" s="1">
        <v>271</v>
      </c>
      <c r="B272" s="1" t="str">
        <f>IFERROR(IF(F271&lt;&gt;"",F271,VLOOKUP(MAX(F$2:F271),A$1:B271,2,FALSE)),"")</f>
        <v/>
      </c>
      <c r="C272" s="1" t="str">
        <f t="shared" si="8"/>
        <v/>
      </c>
      <c r="D272" s="1" t="str">
        <f>IFERROR(IF(F272&lt;&gt;"",F272,VLOOKUP(MAX(C$2:C272),A$2:F272,2,FALSE)),"")</f>
        <v>XF</v>
      </c>
      <c r="E272" s="1" t="str">
        <f t="shared" si="9"/>
        <v/>
      </c>
    </row>
    <row r="273" spans="1:5" x14ac:dyDescent="0.25">
      <c r="A273" s="1">
        <v>272</v>
      </c>
      <c r="B273" s="1" t="str">
        <f>IFERROR(IF(F272&lt;&gt;"",F272,VLOOKUP(MAX(F$2:F272),A$1:B272,2,FALSE)),"")</f>
        <v/>
      </c>
      <c r="C273" s="1" t="str">
        <f t="shared" si="8"/>
        <v/>
      </c>
      <c r="D273" s="1" t="str">
        <f>IFERROR(IF(F273&lt;&gt;"",F273,VLOOKUP(MAX(C$2:C273),A$2:F273,2,FALSE)),"")</f>
        <v>XF</v>
      </c>
      <c r="E273" s="1" t="str">
        <f t="shared" si="9"/>
        <v/>
      </c>
    </row>
    <row r="274" spans="1:5" x14ac:dyDescent="0.25">
      <c r="A274" s="1">
        <v>273</v>
      </c>
      <c r="B274" s="1" t="str">
        <f>IFERROR(IF(F273&lt;&gt;"",F273,VLOOKUP(MAX(F$2:F273),A$1:B273,2,FALSE)),"")</f>
        <v/>
      </c>
      <c r="C274" s="1" t="str">
        <f t="shared" si="8"/>
        <v/>
      </c>
      <c r="D274" s="1" t="str">
        <f>IFERROR(IF(F274&lt;&gt;"",F274,VLOOKUP(MAX(C$2:C274),A$2:F274,2,FALSE)),"")</f>
        <v>XF</v>
      </c>
      <c r="E274" s="1" t="str">
        <f t="shared" si="9"/>
        <v/>
      </c>
    </row>
    <row r="275" spans="1:5" x14ac:dyDescent="0.25">
      <c r="A275" s="1">
        <v>274</v>
      </c>
      <c r="B275" s="1" t="str">
        <f>IFERROR(IF(F274&lt;&gt;"",F274,VLOOKUP(MAX(F$2:F274),A$1:B274,2,FALSE)),"")</f>
        <v/>
      </c>
      <c r="C275" s="1" t="str">
        <f t="shared" si="8"/>
        <v/>
      </c>
      <c r="D275" s="1" t="str">
        <f>IFERROR(IF(F275&lt;&gt;"",F275,VLOOKUP(MAX(C$2:C275),A$2:F275,2,FALSE)),"")</f>
        <v>XF</v>
      </c>
      <c r="E275" s="1" t="str">
        <f t="shared" si="9"/>
        <v/>
      </c>
    </row>
    <row r="276" spans="1:5" x14ac:dyDescent="0.25">
      <c r="A276" s="1">
        <v>275</v>
      </c>
      <c r="B276" s="1" t="str">
        <f>IFERROR(IF(F275&lt;&gt;"",F275,VLOOKUP(MAX(F$2:F275),A$1:B275,2,FALSE)),"")</f>
        <v/>
      </c>
      <c r="C276" s="1" t="str">
        <f t="shared" si="8"/>
        <v/>
      </c>
      <c r="D276" s="1" t="str">
        <f>IFERROR(IF(F276&lt;&gt;"",F276,VLOOKUP(MAX(C$2:C276),A$2:F276,2,FALSE)),"")</f>
        <v>XF</v>
      </c>
      <c r="E276" s="1" t="str">
        <f t="shared" si="9"/>
        <v/>
      </c>
    </row>
    <row r="277" spans="1:5" x14ac:dyDescent="0.25">
      <c r="A277" s="1">
        <v>276</v>
      </c>
      <c r="B277" s="1" t="str">
        <f>IFERROR(IF(F276&lt;&gt;"",F276,VLOOKUP(MAX(F$2:F276),A$1:B276,2,FALSE)),"")</f>
        <v/>
      </c>
      <c r="C277" s="1" t="str">
        <f t="shared" si="8"/>
        <v/>
      </c>
      <c r="D277" s="1" t="str">
        <f>IFERROR(IF(F277&lt;&gt;"",F277,VLOOKUP(MAX(C$2:C277),A$2:F277,2,FALSE)),"")</f>
        <v>XF</v>
      </c>
      <c r="E277" s="1" t="str">
        <f t="shared" si="9"/>
        <v/>
      </c>
    </row>
    <row r="278" spans="1:5" x14ac:dyDescent="0.25">
      <c r="A278" s="1">
        <v>277</v>
      </c>
      <c r="B278" s="1" t="str">
        <f>IFERROR(IF(F277&lt;&gt;"",F277,VLOOKUP(MAX(F$2:F277),A$1:B277,2,FALSE)),"")</f>
        <v/>
      </c>
      <c r="C278" s="1" t="str">
        <f t="shared" si="8"/>
        <v/>
      </c>
      <c r="D278" s="1" t="str">
        <f>IFERROR(IF(F278&lt;&gt;"",F278,VLOOKUP(MAX(C$2:C278),A$2:F278,2,FALSE)),"")</f>
        <v>XF</v>
      </c>
      <c r="E278" s="1" t="str">
        <f t="shared" si="9"/>
        <v/>
      </c>
    </row>
    <row r="279" spans="1:5" x14ac:dyDescent="0.25">
      <c r="A279" s="1">
        <v>278</v>
      </c>
      <c r="B279" s="1" t="str">
        <f>IFERROR(IF(F278&lt;&gt;"",F278,VLOOKUP(MAX(F$2:F278),A$1:B278,2,FALSE)),"")</f>
        <v/>
      </c>
      <c r="C279" s="1" t="str">
        <f t="shared" si="8"/>
        <v/>
      </c>
      <c r="D279" s="1" t="str">
        <f>IFERROR(IF(F279&lt;&gt;"",F279,VLOOKUP(MAX(C$2:C279),A$2:F279,2,FALSE)),"")</f>
        <v>XF</v>
      </c>
      <c r="E279" s="1" t="str">
        <f t="shared" si="9"/>
        <v/>
      </c>
    </row>
    <row r="280" spans="1:5" x14ac:dyDescent="0.25">
      <c r="A280" s="1">
        <v>279</v>
      </c>
      <c r="B280" s="1" t="str">
        <f>IFERROR(IF(F279&lt;&gt;"",F279,VLOOKUP(MAX(F$2:F279),A$1:B279,2,FALSE)),"")</f>
        <v/>
      </c>
      <c r="C280" s="1" t="str">
        <f t="shared" si="8"/>
        <v/>
      </c>
      <c r="D280" s="1" t="str">
        <f>IFERROR(IF(F280&lt;&gt;"",F280,VLOOKUP(MAX(C$2:C280),A$2:F280,2,FALSE)),"")</f>
        <v>XF</v>
      </c>
      <c r="E280" s="1" t="str">
        <f t="shared" si="9"/>
        <v/>
      </c>
    </row>
    <row r="281" spans="1:5" x14ac:dyDescent="0.25">
      <c r="A281" s="1">
        <v>280</v>
      </c>
      <c r="B281" s="1" t="str">
        <f>IFERROR(IF(F280&lt;&gt;"",F280,VLOOKUP(MAX(F$2:F280),A$1:B280,2,FALSE)),"")</f>
        <v/>
      </c>
      <c r="C281" s="1" t="str">
        <f t="shared" si="8"/>
        <v/>
      </c>
      <c r="D281" s="1" t="str">
        <f>IFERROR(IF(F281&lt;&gt;"",F281,VLOOKUP(MAX(C$2:C281),A$2:F281,2,FALSE)),"")</f>
        <v>XF</v>
      </c>
      <c r="E281" s="1" t="str">
        <f t="shared" si="9"/>
        <v/>
      </c>
    </row>
    <row r="282" spans="1:5" x14ac:dyDescent="0.25">
      <c r="A282" s="1">
        <v>281</v>
      </c>
      <c r="B282" s="1" t="str">
        <f>IFERROR(IF(F281&lt;&gt;"",F281,VLOOKUP(MAX(F$2:F281),A$1:B281,2,FALSE)),"")</f>
        <v/>
      </c>
      <c r="C282" s="1" t="str">
        <f t="shared" si="8"/>
        <v/>
      </c>
      <c r="D282" s="1" t="str">
        <f>IFERROR(IF(F282&lt;&gt;"",F282,VLOOKUP(MAX(C$2:C282),A$2:F282,2,FALSE)),"")</f>
        <v>XF</v>
      </c>
      <c r="E282" s="1" t="str">
        <f t="shared" si="9"/>
        <v/>
      </c>
    </row>
    <row r="283" spans="1:5" x14ac:dyDescent="0.25">
      <c r="A283" s="1">
        <v>282</v>
      </c>
      <c r="B283" s="1" t="str">
        <f>IFERROR(IF(F282&lt;&gt;"",F282,VLOOKUP(MAX(F$2:F282),A$1:B282,2,FALSE)),"")</f>
        <v/>
      </c>
      <c r="C283" s="1" t="str">
        <f t="shared" si="8"/>
        <v/>
      </c>
      <c r="D283" s="1" t="str">
        <f>IFERROR(IF(F283&lt;&gt;"",F283,VLOOKUP(MAX(C$2:C283),A$2:F283,2,FALSE)),"")</f>
        <v>XF</v>
      </c>
      <c r="E283" s="1" t="str">
        <f t="shared" si="9"/>
        <v/>
      </c>
    </row>
    <row r="284" spans="1:5" x14ac:dyDescent="0.25">
      <c r="A284" s="1">
        <v>283</v>
      </c>
      <c r="B284" s="1" t="str">
        <f>IFERROR(IF(F283&lt;&gt;"",F283,VLOOKUP(MAX(F$2:F283),A$1:B283,2,FALSE)),"")</f>
        <v/>
      </c>
      <c r="C284" s="1" t="str">
        <f t="shared" si="8"/>
        <v/>
      </c>
      <c r="D284" s="1" t="str">
        <f>IFERROR(IF(F284&lt;&gt;"",F284,VLOOKUP(MAX(C$2:C284),A$2:F284,2,FALSE)),"")</f>
        <v>XF</v>
      </c>
      <c r="E284" s="1" t="str">
        <f t="shared" si="9"/>
        <v/>
      </c>
    </row>
    <row r="285" spans="1:5" x14ac:dyDescent="0.25">
      <c r="A285" s="1">
        <v>284</v>
      </c>
      <c r="B285" s="1" t="str">
        <f>IFERROR(IF(F284&lt;&gt;"",F284,VLOOKUP(MAX(F$2:F284),A$1:B284,2,FALSE)),"")</f>
        <v/>
      </c>
      <c r="C285" s="1" t="str">
        <f t="shared" si="8"/>
        <v/>
      </c>
      <c r="D285" s="1" t="str">
        <f>IFERROR(IF(F285&lt;&gt;"",F285,VLOOKUP(MAX(C$2:C285),A$2:F285,2,FALSE)),"")</f>
        <v>XF</v>
      </c>
      <c r="E285" s="1" t="str">
        <f t="shared" si="9"/>
        <v/>
      </c>
    </row>
    <row r="286" spans="1:5" x14ac:dyDescent="0.25">
      <c r="A286" s="1">
        <v>285</v>
      </c>
      <c r="B286" s="1" t="str">
        <f>IFERROR(IF(F285&lt;&gt;"",F285,VLOOKUP(MAX(F$2:F285),A$1:B285,2,FALSE)),"")</f>
        <v/>
      </c>
      <c r="C286" s="1" t="str">
        <f t="shared" si="8"/>
        <v/>
      </c>
      <c r="D286" s="1" t="str">
        <f>IFERROR(IF(F286&lt;&gt;"",F286,VLOOKUP(MAX(C$2:C286),A$2:F286,2,FALSE)),"")</f>
        <v>XF</v>
      </c>
      <c r="E286" s="1" t="str">
        <f t="shared" si="9"/>
        <v/>
      </c>
    </row>
    <row r="287" spans="1:5" x14ac:dyDescent="0.25">
      <c r="A287" s="1">
        <v>286</v>
      </c>
      <c r="B287" s="1" t="str">
        <f>IFERROR(IF(F286&lt;&gt;"",F286,VLOOKUP(MAX(F$2:F286),A$1:B286,2,FALSE)),"")</f>
        <v/>
      </c>
      <c r="C287" s="1" t="str">
        <f t="shared" si="8"/>
        <v/>
      </c>
      <c r="D287" s="1" t="str">
        <f>IFERROR(IF(F287&lt;&gt;"",F287,VLOOKUP(MAX(C$2:C287),A$2:F287,2,FALSE)),"")</f>
        <v>XF</v>
      </c>
      <c r="E287" s="1" t="str">
        <f t="shared" si="9"/>
        <v/>
      </c>
    </row>
    <row r="288" spans="1:5" x14ac:dyDescent="0.25">
      <c r="A288" s="1">
        <v>287</v>
      </c>
      <c r="B288" s="1" t="str">
        <f>IFERROR(IF(F287&lt;&gt;"",F287,VLOOKUP(MAX(F$2:F287),A$1:B287,2,FALSE)),"")</f>
        <v/>
      </c>
      <c r="C288" s="1" t="str">
        <f t="shared" si="8"/>
        <v/>
      </c>
      <c r="D288" s="1" t="str">
        <f>IFERROR(IF(F288&lt;&gt;"",F288,VLOOKUP(MAX(C$2:C288),A$2:F288,2,FALSE)),"")</f>
        <v>XF</v>
      </c>
      <c r="E288" s="1" t="str">
        <f t="shared" si="9"/>
        <v/>
      </c>
    </row>
    <row r="289" spans="1:5" x14ac:dyDescent="0.25">
      <c r="A289" s="1">
        <v>288</v>
      </c>
      <c r="B289" s="1" t="str">
        <f>IFERROR(IF(F288&lt;&gt;"",F288,VLOOKUP(MAX(F$2:F288),A$1:B288,2,FALSE)),"")</f>
        <v/>
      </c>
      <c r="C289" s="1" t="str">
        <f t="shared" si="8"/>
        <v/>
      </c>
      <c r="D289" s="1" t="str">
        <f>IFERROR(IF(F289&lt;&gt;"",F289,VLOOKUP(MAX(C$2:C289),A$2:F289,2,FALSE)),"")</f>
        <v>XF</v>
      </c>
      <c r="E289" s="1" t="str">
        <f t="shared" si="9"/>
        <v/>
      </c>
    </row>
    <row r="290" spans="1:5" x14ac:dyDescent="0.25">
      <c r="A290" s="1">
        <v>289</v>
      </c>
      <c r="B290" s="1" t="str">
        <f>IFERROR(IF(F289&lt;&gt;"",F289,VLOOKUP(MAX(F$2:F289),A$1:B289,2,FALSE)),"")</f>
        <v/>
      </c>
      <c r="C290" s="1" t="str">
        <f t="shared" si="8"/>
        <v/>
      </c>
      <c r="D290" s="1" t="str">
        <f>IFERROR(IF(F290&lt;&gt;"",F290,VLOOKUP(MAX(C$2:C290),A$2:F290,2,FALSE)),"")</f>
        <v>XF</v>
      </c>
      <c r="E290" s="1" t="str">
        <f t="shared" si="9"/>
        <v/>
      </c>
    </row>
    <row r="291" spans="1:5" x14ac:dyDescent="0.25">
      <c r="A291" s="1">
        <v>290</v>
      </c>
      <c r="B291" s="1" t="str">
        <f>IFERROR(IF(F290&lt;&gt;"",F290,VLOOKUP(MAX(F$2:F290),A$1:B290,2,FALSE)),"")</f>
        <v/>
      </c>
      <c r="C291" s="1" t="str">
        <f t="shared" si="8"/>
        <v/>
      </c>
      <c r="D291" s="1" t="str">
        <f>IFERROR(IF(F291&lt;&gt;"",F291,VLOOKUP(MAX(C$2:C291),A$2:F291,2,FALSE)),"")</f>
        <v>XF</v>
      </c>
      <c r="E291" s="1" t="str">
        <f t="shared" si="9"/>
        <v/>
      </c>
    </row>
    <row r="292" spans="1:5" x14ac:dyDescent="0.25">
      <c r="A292" s="1">
        <v>291</v>
      </c>
      <c r="B292" s="1" t="str">
        <f>IFERROR(IF(F291&lt;&gt;"",F291,VLOOKUP(MAX(F$2:F291),A$1:B291,2,FALSE)),"")</f>
        <v/>
      </c>
      <c r="C292" s="1" t="str">
        <f t="shared" si="8"/>
        <v/>
      </c>
      <c r="D292" s="1" t="str">
        <f>IFERROR(IF(F292&lt;&gt;"",F292,VLOOKUP(MAX(C$2:C292),A$2:F292,2,FALSE)),"")</f>
        <v>XF</v>
      </c>
      <c r="E292" s="1" t="str">
        <f t="shared" si="9"/>
        <v/>
      </c>
    </row>
    <row r="293" spans="1:5" x14ac:dyDescent="0.25">
      <c r="A293" s="1">
        <v>292</v>
      </c>
      <c r="B293" s="1" t="str">
        <f>IFERROR(IF(F292&lt;&gt;"",F292,VLOOKUP(MAX(F$2:F292),A$1:B292,2,FALSE)),"")</f>
        <v/>
      </c>
      <c r="C293" s="1" t="str">
        <f t="shared" si="8"/>
        <v/>
      </c>
      <c r="D293" s="1" t="str">
        <f>IFERROR(IF(F293&lt;&gt;"",F293,VLOOKUP(MAX(C$2:C293),A$2:F293,2,FALSE)),"")</f>
        <v>XF</v>
      </c>
      <c r="E293" s="1" t="str">
        <f t="shared" si="9"/>
        <v/>
      </c>
    </row>
    <row r="294" spans="1:5" x14ac:dyDescent="0.25">
      <c r="A294" s="1">
        <v>293</v>
      </c>
      <c r="B294" s="1" t="str">
        <f>IFERROR(IF(F293&lt;&gt;"",F293,VLOOKUP(MAX(F$2:F293),A$1:B293,2,FALSE)),"")</f>
        <v/>
      </c>
      <c r="C294" s="1" t="str">
        <f t="shared" si="8"/>
        <v/>
      </c>
      <c r="D294" s="1" t="str">
        <f>IFERROR(IF(F294&lt;&gt;"",F294,VLOOKUP(MAX(C$2:C294),A$2:F294,2,FALSE)),"")</f>
        <v>XF</v>
      </c>
      <c r="E294" s="1" t="str">
        <f t="shared" si="9"/>
        <v/>
      </c>
    </row>
    <row r="295" spans="1:5" x14ac:dyDescent="0.25">
      <c r="A295" s="1">
        <v>294</v>
      </c>
      <c r="B295" s="1" t="str">
        <f>IFERROR(IF(F294&lt;&gt;"",F294,VLOOKUP(MAX(F$2:F294),A$1:B294,2,FALSE)),"")</f>
        <v/>
      </c>
      <c r="C295" s="1" t="str">
        <f t="shared" si="8"/>
        <v/>
      </c>
      <c r="D295" s="1" t="str">
        <f>IFERROR(IF(F295&lt;&gt;"",F295,VLOOKUP(MAX(C$2:C295),A$2:F295,2,FALSE)),"")</f>
        <v>XF</v>
      </c>
      <c r="E295" s="1" t="str">
        <f t="shared" si="9"/>
        <v/>
      </c>
    </row>
    <row r="296" spans="1:5" x14ac:dyDescent="0.25">
      <c r="A296" s="1">
        <v>295</v>
      </c>
      <c r="B296" s="1" t="str">
        <f>IFERROR(IF(F295&lt;&gt;"",F295,VLOOKUP(MAX(F$2:F295),A$1:B295,2,FALSE)),"")</f>
        <v/>
      </c>
      <c r="C296" s="1" t="str">
        <f t="shared" si="8"/>
        <v/>
      </c>
      <c r="D296" s="1" t="str">
        <f>IFERROR(IF(F296&lt;&gt;"",F296,VLOOKUP(MAX(C$2:C296),A$2:F296,2,FALSE)),"")</f>
        <v>XF</v>
      </c>
      <c r="E296" s="1" t="str">
        <f t="shared" si="9"/>
        <v/>
      </c>
    </row>
    <row r="297" spans="1:5" x14ac:dyDescent="0.25">
      <c r="A297" s="1">
        <v>296</v>
      </c>
      <c r="B297" s="1" t="str">
        <f>IFERROR(IF(F296&lt;&gt;"",F296,VLOOKUP(MAX(F$2:F296),A$1:B296,2,FALSE)),"")</f>
        <v/>
      </c>
      <c r="C297" s="1" t="str">
        <f t="shared" si="8"/>
        <v/>
      </c>
      <c r="D297" s="1" t="str">
        <f>IFERROR(IF(F297&lt;&gt;"",F297,VLOOKUP(MAX(C$2:C297),A$2:F297,2,FALSE)),"")</f>
        <v>XF</v>
      </c>
      <c r="E297" s="1" t="str">
        <f t="shared" si="9"/>
        <v/>
      </c>
    </row>
    <row r="298" spans="1:5" x14ac:dyDescent="0.25">
      <c r="A298" s="1">
        <v>297</v>
      </c>
      <c r="B298" s="1" t="str">
        <f>IFERROR(IF(F297&lt;&gt;"",F297,VLOOKUP(MAX(F$2:F297),A$1:B297,2,FALSE)),"")</f>
        <v/>
      </c>
      <c r="C298" s="1" t="str">
        <f t="shared" si="8"/>
        <v/>
      </c>
      <c r="D298" s="1" t="str">
        <f>IFERROR(IF(F298&lt;&gt;"",F298,VLOOKUP(MAX(C$2:C298),A$2:F298,2,FALSE)),"")</f>
        <v>XF</v>
      </c>
      <c r="E298" s="1" t="str">
        <f t="shared" si="9"/>
        <v/>
      </c>
    </row>
    <row r="299" spans="1:5" x14ac:dyDescent="0.25">
      <c r="A299" s="1">
        <v>298</v>
      </c>
      <c r="B299" s="1" t="str">
        <f>IFERROR(IF(F298&lt;&gt;"",F298,VLOOKUP(MAX(F$2:F298),A$1:B298,2,FALSE)),"")</f>
        <v/>
      </c>
      <c r="C299" s="1" t="str">
        <f t="shared" si="8"/>
        <v/>
      </c>
      <c r="D299" s="1" t="str">
        <f>IFERROR(IF(F299&lt;&gt;"",F299,VLOOKUP(MAX(C$2:C299),A$2:F299,2,FALSE)),"")</f>
        <v>XF</v>
      </c>
      <c r="E299" s="1" t="str">
        <f t="shared" si="9"/>
        <v/>
      </c>
    </row>
    <row r="300" spans="1:5" x14ac:dyDescent="0.25">
      <c r="A300" s="1">
        <v>299</v>
      </c>
      <c r="B300" s="1" t="str">
        <f>IFERROR(IF(F299&lt;&gt;"",F299,VLOOKUP(MAX(F$2:F299),A$1:B299,2,FALSE)),"")</f>
        <v/>
      </c>
      <c r="C300" s="1" t="str">
        <f t="shared" si="8"/>
        <v/>
      </c>
      <c r="D300" s="1" t="str">
        <f>IFERROR(IF(F300&lt;&gt;"",F300,VLOOKUP(MAX(C$2:C300),A$2:F300,2,FALSE)),"")</f>
        <v>XF</v>
      </c>
      <c r="E300" s="1" t="str">
        <f t="shared" si="9"/>
        <v/>
      </c>
    </row>
    <row r="301" spans="1:5" x14ac:dyDescent="0.25">
      <c r="A301" s="1">
        <v>300</v>
      </c>
      <c r="B301" s="1" t="str">
        <f>IFERROR(IF(F300&lt;&gt;"",F300,VLOOKUP(MAX(F$2:F300),A$1:B300,2,FALSE)),"")</f>
        <v/>
      </c>
      <c r="C301" s="1" t="str">
        <f t="shared" si="8"/>
        <v/>
      </c>
      <c r="D301" s="1" t="str">
        <f>IFERROR(IF(F301&lt;&gt;"",F301,VLOOKUP(MAX(C$2:C301),A$2:F301,2,FALSE)),"")</f>
        <v>XF</v>
      </c>
      <c r="E301" s="1" t="str">
        <f t="shared" si="9"/>
        <v/>
      </c>
    </row>
    <row r="302" spans="1:5" x14ac:dyDescent="0.25">
      <c r="A302" s="1">
        <v>301</v>
      </c>
      <c r="B302" s="1" t="str">
        <f>IFERROR(IF(F301&lt;&gt;"",F301,VLOOKUP(MAX(F$2:F301),A$1:B301,2,FALSE)),"")</f>
        <v/>
      </c>
      <c r="C302" s="1" t="str">
        <f t="shared" si="8"/>
        <v/>
      </c>
      <c r="D302" s="1" t="str">
        <f>IFERROR(IF(F302&lt;&gt;"",F302,VLOOKUP(MAX(C$2:C302),A$2:F302,2,FALSE)),"")</f>
        <v>XF</v>
      </c>
      <c r="E302" s="1" t="str">
        <f t="shared" si="9"/>
        <v/>
      </c>
    </row>
    <row r="303" spans="1:5" x14ac:dyDescent="0.25">
      <c r="A303" s="1">
        <v>302</v>
      </c>
      <c r="B303" s="1" t="str">
        <f>IFERROR(IF(F302&lt;&gt;"",F302,VLOOKUP(MAX(F$2:F302),A$1:B302,2,FALSE)),"")</f>
        <v/>
      </c>
      <c r="C303" s="1" t="str">
        <f t="shared" si="8"/>
        <v/>
      </c>
      <c r="D303" s="1" t="str">
        <f>IFERROR(IF(F303&lt;&gt;"",F303,VLOOKUP(MAX(C$2:C303),A$2:F303,2,FALSE)),"")</f>
        <v>XF</v>
      </c>
      <c r="E303" s="1" t="str">
        <f t="shared" si="9"/>
        <v/>
      </c>
    </row>
    <row r="304" spans="1:5" x14ac:dyDescent="0.25">
      <c r="A304" s="1">
        <v>303</v>
      </c>
      <c r="B304" s="1" t="str">
        <f>IFERROR(IF(F303&lt;&gt;"",F303,VLOOKUP(MAX(F$2:F303),A$1:B303,2,FALSE)),"")</f>
        <v/>
      </c>
      <c r="C304" s="1" t="str">
        <f t="shared" si="8"/>
        <v/>
      </c>
      <c r="D304" s="1" t="str">
        <f>IFERROR(IF(F304&lt;&gt;"",F304,VLOOKUP(MAX(C$2:C304),A$2:F304,2,FALSE)),"")</f>
        <v>XF</v>
      </c>
      <c r="E304" s="1" t="str">
        <f t="shared" si="9"/>
        <v/>
      </c>
    </row>
    <row r="305" spans="1:5" x14ac:dyDescent="0.25">
      <c r="A305" s="1">
        <v>304</v>
      </c>
      <c r="B305" s="1" t="str">
        <f>IFERROR(IF(F304&lt;&gt;"",F304,VLOOKUP(MAX(F$2:F304),A$1:B304,2,FALSE)),"")</f>
        <v/>
      </c>
      <c r="C305" s="1" t="str">
        <f t="shared" si="8"/>
        <v/>
      </c>
      <c r="D305" s="1" t="str">
        <f>IFERROR(IF(F305&lt;&gt;"",F305,VLOOKUP(MAX(C$2:C305),A$2:F305,2,FALSE)),"")</f>
        <v>XF</v>
      </c>
      <c r="E305" s="1" t="str">
        <f t="shared" si="9"/>
        <v/>
      </c>
    </row>
    <row r="306" spans="1:5" x14ac:dyDescent="0.25">
      <c r="A306" s="1">
        <v>305</v>
      </c>
      <c r="B306" s="1" t="str">
        <f>IFERROR(IF(F305&lt;&gt;"",F305,VLOOKUP(MAX(F$2:F305),A$1:B305,2,FALSE)),"")</f>
        <v/>
      </c>
      <c r="C306" s="1" t="str">
        <f t="shared" si="8"/>
        <v/>
      </c>
      <c r="D306" s="1" t="str">
        <f>IFERROR(IF(F306&lt;&gt;"",F306,VLOOKUP(MAX(C$2:C306),A$2:F306,2,FALSE)),"")</f>
        <v>XF</v>
      </c>
      <c r="E306" s="1" t="str">
        <f t="shared" si="9"/>
        <v/>
      </c>
    </row>
    <row r="307" spans="1:5" x14ac:dyDescent="0.25">
      <c r="A307" s="1">
        <v>306</v>
      </c>
      <c r="B307" s="1" t="str">
        <f>IFERROR(IF(F306&lt;&gt;"",F306,VLOOKUP(MAX(F$2:F306),A$1:B306,2,FALSE)),"")</f>
        <v/>
      </c>
      <c r="C307" s="1" t="str">
        <f t="shared" si="8"/>
        <v/>
      </c>
      <c r="D307" s="1" t="str">
        <f>IFERROR(IF(F307&lt;&gt;"",F307,VLOOKUP(MAX(C$2:C307),A$2:F307,2,FALSE)),"")</f>
        <v>XF</v>
      </c>
      <c r="E307" s="1" t="str">
        <f t="shared" si="9"/>
        <v/>
      </c>
    </row>
    <row r="308" spans="1:5" x14ac:dyDescent="0.25">
      <c r="A308" s="1">
        <v>307</v>
      </c>
      <c r="B308" s="1" t="str">
        <f>IFERROR(IF(F307&lt;&gt;"",F307,VLOOKUP(MAX(F$2:F307),A$1:B307,2,FALSE)),"")</f>
        <v/>
      </c>
      <c r="C308" s="1" t="str">
        <f t="shared" si="8"/>
        <v/>
      </c>
      <c r="D308" s="1" t="str">
        <f>IFERROR(IF(F308&lt;&gt;"",F308,VLOOKUP(MAX(C$2:C308),A$2:F308,2,FALSE)),"")</f>
        <v>XF</v>
      </c>
      <c r="E308" s="1" t="str">
        <f t="shared" si="9"/>
        <v/>
      </c>
    </row>
    <row r="309" spans="1:5" x14ac:dyDescent="0.25">
      <c r="A309" s="1">
        <v>308</v>
      </c>
      <c r="B309" s="1" t="str">
        <f>IFERROR(IF(F308&lt;&gt;"",F308,VLOOKUP(MAX(F$2:F308),A$1:B308,2,FALSE)),"")</f>
        <v/>
      </c>
      <c r="C309" s="1" t="str">
        <f t="shared" si="8"/>
        <v/>
      </c>
      <c r="D309" s="1" t="str">
        <f>IFERROR(IF(F309&lt;&gt;"",F309,VLOOKUP(MAX(C$2:C309),A$2:F309,2,FALSE)),"")</f>
        <v>XF</v>
      </c>
      <c r="E309" s="1" t="str">
        <f t="shared" si="9"/>
        <v/>
      </c>
    </row>
    <row r="310" spans="1:5" x14ac:dyDescent="0.25">
      <c r="A310" s="1">
        <v>309</v>
      </c>
      <c r="B310" s="1" t="str">
        <f>IFERROR(IF(F309&lt;&gt;"",F309,VLOOKUP(MAX(F$2:F309),A$1:B309,2,FALSE)),"")</f>
        <v/>
      </c>
      <c r="C310" s="1" t="str">
        <f t="shared" si="8"/>
        <v/>
      </c>
      <c r="D310" s="1" t="str">
        <f>IFERROR(IF(F310&lt;&gt;"",F310,VLOOKUP(MAX(C$2:C310),A$2:F310,2,FALSE)),"")</f>
        <v>XF</v>
      </c>
      <c r="E310" s="1" t="str">
        <f t="shared" si="9"/>
        <v/>
      </c>
    </row>
    <row r="311" spans="1:5" x14ac:dyDescent="0.25">
      <c r="A311" s="1">
        <v>310</v>
      </c>
      <c r="B311" s="1" t="str">
        <f>IFERROR(IF(F310&lt;&gt;"",F310,VLOOKUP(MAX(F$2:F310),A$1:B310,2,FALSE)),"")</f>
        <v/>
      </c>
      <c r="C311" s="1" t="str">
        <f t="shared" si="8"/>
        <v/>
      </c>
      <c r="D311" s="1" t="str">
        <f>IFERROR(IF(F311&lt;&gt;"",F311,VLOOKUP(MAX(C$2:C311),A$2:F311,2,FALSE)),"")</f>
        <v>XF</v>
      </c>
      <c r="E311" s="1" t="str">
        <f t="shared" si="9"/>
        <v/>
      </c>
    </row>
    <row r="312" spans="1:5" x14ac:dyDescent="0.25">
      <c r="A312" s="1">
        <v>311</v>
      </c>
      <c r="B312" s="1" t="str">
        <f>IFERROR(IF(F311&lt;&gt;"",F311,VLOOKUP(MAX(F$2:F311),A$1:B311,2,FALSE)),"")</f>
        <v/>
      </c>
      <c r="C312" s="1" t="str">
        <f t="shared" si="8"/>
        <v/>
      </c>
      <c r="D312" s="1" t="str">
        <f>IFERROR(IF(F312&lt;&gt;"",F312,VLOOKUP(MAX(C$2:C312),A$2:F312,2,FALSE)),"")</f>
        <v>XF</v>
      </c>
      <c r="E312" s="1" t="str">
        <f t="shared" si="9"/>
        <v/>
      </c>
    </row>
    <row r="313" spans="1:5" x14ac:dyDescent="0.25">
      <c r="A313" s="1">
        <v>312</v>
      </c>
      <c r="B313" s="1" t="str">
        <f>IFERROR(IF(F312&lt;&gt;"",F312,VLOOKUP(MAX(F$2:F312),A$1:B312,2,FALSE)),"")</f>
        <v/>
      </c>
      <c r="C313" s="1" t="str">
        <f t="shared" si="8"/>
        <v/>
      </c>
      <c r="D313" s="1" t="str">
        <f>IFERROR(IF(F313&lt;&gt;"",F313,VLOOKUP(MAX(C$2:C313),A$2:F313,2,FALSE)),"")</f>
        <v>XF</v>
      </c>
      <c r="E313" s="1" t="str">
        <f t="shared" si="9"/>
        <v/>
      </c>
    </row>
    <row r="314" spans="1:5" x14ac:dyDescent="0.25">
      <c r="A314" s="1">
        <v>313</v>
      </c>
      <c r="B314" s="1" t="str">
        <f>IFERROR(IF(F313&lt;&gt;"",F313,VLOOKUP(MAX(F$2:F313),A$1:B313,2,FALSE)),"")</f>
        <v/>
      </c>
      <c r="C314" s="1" t="str">
        <f t="shared" si="8"/>
        <v/>
      </c>
      <c r="D314" s="1" t="str">
        <f>IFERROR(IF(F314&lt;&gt;"",F314,VLOOKUP(MAX(C$2:C314),A$2:F314,2,FALSE)),"")</f>
        <v>XF</v>
      </c>
      <c r="E314" s="1" t="str">
        <f t="shared" si="9"/>
        <v/>
      </c>
    </row>
    <row r="315" spans="1:5" x14ac:dyDescent="0.25">
      <c r="A315" s="1">
        <v>314</v>
      </c>
      <c r="B315" s="1" t="str">
        <f>IFERROR(IF(F314&lt;&gt;"",F314,VLOOKUP(MAX(F$2:F314),A$1:B314,2,FALSE)),"")</f>
        <v/>
      </c>
      <c r="C315" s="1" t="str">
        <f t="shared" si="8"/>
        <v/>
      </c>
      <c r="D315" s="1" t="str">
        <f>IFERROR(IF(F315&lt;&gt;"",F315,VLOOKUP(MAX(C$2:C315),A$2:F315,2,FALSE)),"")</f>
        <v>XF</v>
      </c>
      <c r="E315" s="1" t="str">
        <f t="shared" si="9"/>
        <v/>
      </c>
    </row>
    <row r="316" spans="1:5" x14ac:dyDescent="0.25">
      <c r="A316" s="1">
        <v>315</v>
      </c>
      <c r="B316" s="1" t="str">
        <f>IFERROR(IF(F315&lt;&gt;"",F315,VLOOKUP(MAX(F$2:F315),A$1:B315,2,FALSE)),"")</f>
        <v/>
      </c>
      <c r="C316" s="1" t="str">
        <f t="shared" si="8"/>
        <v/>
      </c>
      <c r="D316" s="1" t="str">
        <f>IFERROR(IF(F316&lt;&gt;"",F316,VLOOKUP(MAX(C$2:C316),A$2:F316,2,FALSE)),"")</f>
        <v>XF</v>
      </c>
      <c r="E316" s="1" t="str">
        <f t="shared" si="9"/>
        <v/>
      </c>
    </row>
    <row r="317" spans="1:5" x14ac:dyDescent="0.25">
      <c r="A317" s="1">
        <v>316</v>
      </c>
      <c r="B317" s="1" t="str">
        <f>IFERROR(IF(F316&lt;&gt;"",F316,VLOOKUP(MAX(F$2:F316),A$1:B316,2,FALSE)),"")</f>
        <v/>
      </c>
      <c r="C317" s="1" t="str">
        <f t="shared" si="8"/>
        <v/>
      </c>
      <c r="D317" s="1" t="str">
        <f>IFERROR(IF(F317&lt;&gt;"",F317,VLOOKUP(MAX(C$2:C317),A$2:F317,2,FALSE)),"")</f>
        <v>XF</v>
      </c>
      <c r="E317" s="1" t="str">
        <f t="shared" si="9"/>
        <v/>
      </c>
    </row>
    <row r="318" spans="1:5" x14ac:dyDescent="0.25">
      <c r="A318" s="1">
        <v>317</v>
      </c>
      <c r="B318" s="1" t="str">
        <f>IFERROR(IF(F317&lt;&gt;"",F317,VLOOKUP(MAX(F$2:F317),A$1:B317,2,FALSE)),"")</f>
        <v/>
      </c>
      <c r="C318" s="1" t="str">
        <f t="shared" si="8"/>
        <v/>
      </c>
      <c r="D318" s="1" t="str">
        <f>IFERROR(IF(F318&lt;&gt;"",F318,VLOOKUP(MAX(C$2:C318),A$2:F318,2,FALSE)),"")</f>
        <v>XF</v>
      </c>
      <c r="E318" s="1" t="str">
        <f t="shared" si="9"/>
        <v/>
      </c>
    </row>
    <row r="319" spans="1:5" x14ac:dyDescent="0.25">
      <c r="A319" s="1">
        <v>318</v>
      </c>
      <c r="B319" s="1" t="str">
        <f>IFERROR(IF(F318&lt;&gt;"",F318,VLOOKUP(MAX(F$2:F318),A$1:B318,2,FALSE)),"")</f>
        <v/>
      </c>
      <c r="C319" s="1" t="str">
        <f t="shared" si="8"/>
        <v/>
      </c>
      <c r="D319" s="1" t="str">
        <f>IFERROR(IF(F319&lt;&gt;"",F319,VLOOKUP(MAX(C$2:C319),A$2:F319,2,FALSE)),"")</f>
        <v>XF</v>
      </c>
      <c r="E319" s="1" t="str">
        <f t="shared" si="9"/>
        <v/>
      </c>
    </row>
    <row r="320" spans="1:5" x14ac:dyDescent="0.25">
      <c r="A320" s="1">
        <v>319</v>
      </c>
      <c r="B320" s="1" t="str">
        <f>IFERROR(IF(F319&lt;&gt;"",F319,VLOOKUP(MAX(F$2:F319),A$1:B319,2,FALSE)),"")</f>
        <v/>
      </c>
      <c r="C320" s="1" t="str">
        <f t="shared" si="8"/>
        <v/>
      </c>
      <c r="D320" s="1" t="str">
        <f>IFERROR(IF(F320&lt;&gt;"",F320,VLOOKUP(MAX(C$2:C320),A$2:F320,2,FALSE)),"")</f>
        <v>XF</v>
      </c>
      <c r="E320" s="1" t="str">
        <f t="shared" si="9"/>
        <v/>
      </c>
    </row>
    <row r="321" spans="1:5" x14ac:dyDescent="0.25">
      <c r="A321" s="1">
        <v>320</v>
      </c>
      <c r="B321" s="1" t="str">
        <f>IFERROR(IF(F320&lt;&gt;"",F320,VLOOKUP(MAX(F$2:F320),A$1:B320,2,FALSE)),"")</f>
        <v/>
      </c>
      <c r="C321" s="1" t="str">
        <f t="shared" si="8"/>
        <v/>
      </c>
      <c r="D321" s="1" t="str">
        <f>IFERROR(IF(F321&lt;&gt;"",F321,VLOOKUP(MAX(C$2:C321),A$2:F321,2,FALSE)),"")</f>
        <v>XF</v>
      </c>
      <c r="E321" s="1" t="str">
        <f t="shared" si="9"/>
        <v/>
      </c>
    </row>
    <row r="322" spans="1:5" x14ac:dyDescent="0.25">
      <c r="A322" s="1">
        <v>321</v>
      </c>
      <c r="B322" s="1" t="str">
        <f>IFERROR(IF(F321&lt;&gt;"",F321,VLOOKUP(MAX(F$2:F321),A$1:B321,2,FALSE)),"")</f>
        <v/>
      </c>
      <c r="C322" s="1" t="str">
        <f t="shared" ref="C322:C385" si="10">IF(F322&lt;&gt;"",A322,"")</f>
        <v/>
      </c>
      <c r="D322" s="1" t="str">
        <f>IFERROR(IF(F322&lt;&gt;"",F322,VLOOKUP(MAX(C$2:C322),A$2:F322,2,FALSE)),"")</f>
        <v>XF</v>
      </c>
      <c r="E322" s="1" t="str">
        <f t="shared" si="9"/>
        <v/>
      </c>
    </row>
    <row r="323" spans="1:5" x14ac:dyDescent="0.25">
      <c r="A323" s="1">
        <v>322</v>
      </c>
      <c r="B323" s="1" t="str">
        <f>IFERROR(IF(F322&lt;&gt;"",F322,VLOOKUP(MAX(F$2:F322),A$1:B322,2,FALSE)),"")</f>
        <v/>
      </c>
      <c r="C323" s="1" t="str">
        <f t="shared" si="10"/>
        <v/>
      </c>
      <c r="D323" s="1" t="str">
        <f>IFERROR(IF(F323&lt;&gt;"",F323,VLOOKUP(MAX(C$2:C323),A$2:F323,2,FALSE)),"")</f>
        <v>XF</v>
      </c>
      <c r="E323" s="1" t="str">
        <f t="shared" si="9"/>
        <v/>
      </c>
    </row>
    <row r="324" spans="1:5" x14ac:dyDescent="0.25">
      <c r="A324" s="1">
        <v>323</v>
      </c>
      <c r="B324" s="1" t="str">
        <f>IFERROR(IF(F323&lt;&gt;"",F323,VLOOKUP(MAX(F$2:F323),A$1:B323,2,FALSE)),"")</f>
        <v/>
      </c>
      <c r="C324" s="1" t="str">
        <f t="shared" si="10"/>
        <v/>
      </c>
      <c r="D324" s="1" t="str">
        <f>IFERROR(IF(F324&lt;&gt;"",F324,VLOOKUP(MAX(C$2:C324),A$2:F324,2,FALSE)),"")</f>
        <v>XF</v>
      </c>
      <c r="E324" s="1" t="str">
        <f t="shared" ref="E324:E387" si="11">IF(H324&lt;&gt;"",CONCATENATE(D324,".",H324),"")</f>
        <v/>
      </c>
    </row>
    <row r="325" spans="1:5" x14ac:dyDescent="0.25">
      <c r="A325" s="1">
        <v>324</v>
      </c>
      <c r="B325" s="1" t="str">
        <f>IFERROR(IF(F324&lt;&gt;"",F324,VLOOKUP(MAX(F$2:F324),A$1:B324,2,FALSE)),"")</f>
        <v/>
      </c>
      <c r="C325" s="1" t="str">
        <f t="shared" si="10"/>
        <v/>
      </c>
      <c r="D325" s="1" t="str">
        <f>IFERROR(IF(F325&lt;&gt;"",F325,VLOOKUP(MAX(C$2:C325),A$2:F325,2,FALSE)),"")</f>
        <v>XF</v>
      </c>
      <c r="E325" s="1" t="str">
        <f t="shared" si="11"/>
        <v/>
      </c>
    </row>
    <row r="326" spans="1:5" x14ac:dyDescent="0.25">
      <c r="A326" s="1">
        <v>325</v>
      </c>
      <c r="B326" s="1" t="str">
        <f>IFERROR(IF(F325&lt;&gt;"",F325,VLOOKUP(MAX(F$2:F325),A$1:B325,2,FALSE)),"")</f>
        <v/>
      </c>
      <c r="C326" s="1" t="str">
        <f t="shared" si="10"/>
        <v/>
      </c>
      <c r="D326" s="1" t="str">
        <f>IFERROR(IF(F326&lt;&gt;"",F326,VLOOKUP(MAX(C$2:C326),A$2:F326,2,FALSE)),"")</f>
        <v>XF</v>
      </c>
      <c r="E326" s="1" t="str">
        <f t="shared" si="11"/>
        <v/>
      </c>
    </row>
    <row r="327" spans="1:5" x14ac:dyDescent="0.25">
      <c r="A327" s="1">
        <v>326</v>
      </c>
      <c r="B327" s="1" t="str">
        <f>IFERROR(IF(F326&lt;&gt;"",F326,VLOOKUP(MAX(F$2:F326),A$1:B326,2,FALSE)),"")</f>
        <v/>
      </c>
      <c r="C327" s="1" t="str">
        <f t="shared" si="10"/>
        <v/>
      </c>
      <c r="D327" s="1" t="str">
        <f>IFERROR(IF(F327&lt;&gt;"",F327,VLOOKUP(MAX(C$2:C327),A$2:F327,2,FALSE)),"")</f>
        <v>XF</v>
      </c>
      <c r="E327" s="1" t="str">
        <f t="shared" si="11"/>
        <v/>
      </c>
    </row>
    <row r="328" spans="1:5" x14ac:dyDescent="0.25">
      <c r="A328" s="1">
        <v>327</v>
      </c>
      <c r="B328" s="1" t="str">
        <f>IFERROR(IF(F327&lt;&gt;"",F327,VLOOKUP(MAX(F$2:F327),A$1:B327,2,FALSE)),"")</f>
        <v/>
      </c>
      <c r="C328" s="1" t="str">
        <f t="shared" si="10"/>
        <v/>
      </c>
      <c r="D328" s="1" t="str">
        <f>IFERROR(IF(F328&lt;&gt;"",F328,VLOOKUP(MAX(C$2:C328),A$2:F328,2,FALSE)),"")</f>
        <v>XF</v>
      </c>
      <c r="E328" s="1" t="str">
        <f t="shared" si="11"/>
        <v/>
      </c>
    </row>
    <row r="329" spans="1:5" x14ac:dyDescent="0.25">
      <c r="A329" s="1">
        <v>328</v>
      </c>
      <c r="B329" s="1" t="str">
        <f>IFERROR(IF(F328&lt;&gt;"",F328,VLOOKUP(MAX(F$2:F328),A$1:B328,2,FALSE)),"")</f>
        <v/>
      </c>
      <c r="C329" s="1" t="str">
        <f t="shared" si="10"/>
        <v/>
      </c>
      <c r="D329" s="1" t="str">
        <f>IFERROR(IF(F329&lt;&gt;"",F329,VLOOKUP(MAX(C$2:C329),A$2:F329,2,FALSE)),"")</f>
        <v>XF</v>
      </c>
      <c r="E329" s="1" t="str">
        <f t="shared" si="11"/>
        <v/>
      </c>
    </row>
    <row r="330" spans="1:5" x14ac:dyDescent="0.25">
      <c r="A330" s="1">
        <v>329</v>
      </c>
      <c r="B330" s="1" t="str">
        <f>IFERROR(IF(F329&lt;&gt;"",F329,VLOOKUP(MAX(F$2:F329),A$1:B329,2,FALSE)),"")</f>
        <v/>
      </c>
      <c r="C330" s="1" t="str">
        <f t="shared" si="10"/>
        <v/>
      </c>
      <c r="D330" s="1" t="str">
        <f>IFERROR(IF(F330&lt;&gt;"",F330,VLOOKUP(MAX(C$2:C330),A$2:F330,2,FALSE)),"")</f>
        <v>XF</v>
      </c>
      <c r="E330" s="1" t="str">
        <f t="shared" si="11"/>
        <v/>
      </c>
    </row>
    <row r="331" spans="1:5" x14ac:dyDescent="0.25">
      <c r="A331" s="1">
        <v>330</v>
      </c>
      <c r="B331" s="1" t="str">
        <f>IFERROR(IF(F330&lt;&gt;"",F330,VLOOKUP(MAX(F$2:F330),A$1:B330,2,FALSE)),"")</f>
        <v/>
      </c>
      <c r="C331" s="1" t="str">
        <f t="shared" si="10"/>
        <v/>
      </c>
      <c r="D331" s="1" t="str">
        <f>IFERROR(IF(F331&lt;&gt;"",F331,VLOOKUP(MAX(C$2:C331),A$2:F331,2,FALSE)),"")</f>
        <v>XF</v>
      </c>
      <c r="E331" s="1" t="str">
        <f t="shared" si="11"/>
        <v/>
      </c>
    </row>
    <row r="332" spans="1:5" x14ac:dyDescent="0.25">
      <c r="A332" s="1">
        <v>331</v>
      </c>
      <c r="B332" s="1" t="str">
        <f>IFERROR(IF(F331&lt;&gt;"",F331,VLOOKUP(MAX(F$2:F331),A$1:B331,2,FALSE)),"")</f>
        <v/>
      </c>
      <c r="C332" s="1" t="str">
        <f t="shared" si="10"/>
        <v/>
      </c>
      <c r="D332" s="1" t="str">
        <f>IFERROR(IF(F332&lt;&gt;"",F332,VLOOKUP(MAX(C$2:C332),A$2:F332,2,FALSE)),"")</f>
        <v>XF</v>
      </c>
      <c r="E332" s="1" t="str">
        <f t="shared" si="11"/>
        <v/>
      </c>
    </row>
    <row r="333" spans="1:5" x14ac:dyDescent="0.25">
      <c r="A333" s="1">
        <v>332</v>
      </c>
      <c r="B333" s="1" t="str">
        <f>IFERROR(IF(F332&lt;&gt;"",F332,VLOOKUP(MAX(F$2:F332),A$1:B332,2,FALSE)),"")</f>
        <v/>
      </c>
      <c r="C333" s="1" t="str">
        <f t="shared" si="10"/>
        <v/>
      </c>
      <c r="D333" s="1" t="str">
        <f>IFERROR(IF(F333&lt;&gt;"",F333,VLOOKUP(MAX(C$2:C333),A$2:F333,2,FALSE)),"")</f>
        <v>XF</v>
      </c>
      <c r="E333" s="1" t="str">
        <f t="shared" si="11"/>
        <v/>
      </c>
    </row>
    <row r="334" spans="1:5" x14ac:dyDescent="0.25">
      <c r="A334" s="1">
        <v>333</v>
      </c>
      <c r="B334" s="1" t="str">
        <f>IFERROR(IF(F333&lt;&gt;"",F333,VLOOKUP(MAX(F$2:F333),A$1:B333,2,FALSE)),"")</f>
        <v/>
      </c>
      <c r="C334" s="1" t="str">
        <f t="shared" si="10"/>
        <v/>
      </c>
      <c r="D334" s="1" t="str">
        <f>IFERROR(IF(F334&lt;&gt;"",F334,VLOOKUP(MAX(C$2:C334),A$2:F334,2,FALSE)),"")</f>
        <v>XF</v>
      </c>
      <c r="E334" s="1" t="str">
        <f t="shared" si="11"/>
        <v/>
      </c>
    </row>
    <row r="335" spans="1:5" x14ac:dyDescent="0.25">
      <c r="A335" s="1">
        <v>334</v>
      </c>
      <c r="B335" s="1" t="str">
        <f>IFERROR(IF(F334&lt;&gt;"",F334,VLOOKUP(MAX(F$2:F334),A$1:B334,2,FALSE)),"")</f>
        <v/>
      </c>
      <c r="C335" s="1" t="str">
        <f t="shared" si="10"/>
        <v/>
      </c>
      <c r="D335" s="1" t="str">
        <f>IFERROR(IF(F335&lt;&gt;"",F335,VLOOKUP(MAX(C$2:C335),A$2:F335,2,FALSE)),"")</f>
        <v>XF</v>
      </c>
      <c r="E335" s="1" t="str">
        <f t="shared" si="11"/>
        <v/>
      </c>
    </row>
    <row r="336" spans="1:5" x14ac:dyDescent="0.25">
      <c r="A336" s="1">
        <v>335</v>
      </c>
      <c r="B336" s="1" t="str">
        <f>IFERROR(IF(F335&lt;&gt;"",F335,VLOOKUP(MAX(F$2:F335),A$1:B335,2,FALSE)),"")</f>
        <v/>
      </c>
      <c r="C336" s="1" t="str">
        <f t="shared" si="10"/>
        <v/>
      </c>
      <c r="D336" s="1" t="str">
        <f>IFERROR(IF(F336&lt;&gt;"",F336,VLOOKUP(MAX(C$2:C336),A$2:F336,2,FALSE)),"")</f>
        <v>XF</v>
      </c>
      <c r="E336" s="1" t="str">
        <f t="shared" si="11"/>
        <v/>
      </c>
    </row>
    <row r="337" spans="1:5" x14ac:dyDescent="0.25">
      <c r="A337" s="1">
        <v>336</v>
      </c>
      <c r="B337" s="1" t="str">
        <f>IFERROR(IF(F336&lt;&gt;"",F336,VLOOKUP(MAX(F$2:F336),A$1:B336,2,FALSE)),"")</f>
        <v/>
      </c>
      <c r="C337" s="1" t="str">
        <f t="shared" si="10"/>
        <v/>
      </c>
      <c r="D337" s="1" t="str">
        <f>IFERROR(IF(F337&lt;&gt;"",F337,VLOOKUP(MAX(C$2:C337),A$2:F337,2,FALSE)),"")</f>
        <v>XF</v>
      </c>
      <c r="E337" s="1" t="str">
        <f t="shared" si="11"/>
        <v/>
      </c>
    </row>
    <row r="338" spans="1:5" x14ac:dyDescent="0.25">
      <c r="A338" s="1">
        <v>337</v>
      </c>
      <c r="B338" s="1" t="str">
        <f>IFERROR(IF(F337&lt;&gt;"",F337,VLOOKUP(MAX(F$2:F337),A$1:B337,2,FALSE)),"")</f>
        <v/>
      </c>
      <c r="C338" s="1" t="str">
        <f t="shared" si="10"/>
        <v/>
      </c>
      <c r="D338" s="1" t="str">
        <f>IFERROR(IF(F338&lt;&gt;"",F338,VLOOKUP(MAX(C$2:C338),A$2:F338,2,FALSE)),"")</f>
        <v>XF</v>
      </c>
      <c r="E338" s="1" t="str">
        <f t="shared" si="11"/>
        <v/>
      </c>
    </row>
    <row r="339" spans="1:5" x14ac:dyDescent="0.25">
      <c r="A339" s="1">
        <v>338</v>
      </c>
      <c r="B339" s="1" t="str">
        <f>IFERROR(IF(F338&lt;&gt;"",F338,VLOOKUP(MAX(F$2:F338),A$1:B338,2,FALSE)),"")</f>
        <v/>
      </c>
      <c r="C339" s="1" t="str">
        <f t="shared" si="10"/>
        <v/>
      </c>
      <c r="D339" s="1" t="str">
        <f>IFERROR(IF(F339&lt;&gt;"",F339,VLOOKUP(MAX(C$2:C339),A$2:F339,2,FALSE)),"")</f>
        <v>XF</v>
      </c>
      <c r="E339" s="1" t="str">
        <f t="shared" si="11"/>
        <v/>
      </c>
    </row>
    <row r="340" spans="1:5" x14ac:dyDescent="0.25">
      <c r="A340" s="1">
        <v>339</v>
      </c>
      <c r="B340" s="1" t="str">
        <f>IFERROR(IF(F339&lt;&gt;"",F339,VLOOKUP(MAX(F$2:F339),A$1:B339,2,FALSE)),"")</f>
        <v/>
      </c>
      <c r="C340" s="1" t="str">
        <f t="shared" si="10"/>
        <v/>
      </c>
      <c r="D340" s="1" t="str">
        <f>IFERROR(IF(F340&lt;&gt;"",F340,VLOOKUP(MAX(C$2:C340),A$2:F340,2,FALSE)),"")</f>
        <v>XF</v>
      </c>
      <c r="E340" s="1" t="str">
        <f t="shared" si="11"/>
        <v/>
      </c>
    </row>
    <row r="341" spans="1:5" x14ac:dyDescent="0.25">
      <c r="A341" s="1">
        <v>340</v>
      </c>
      <c r="B341" s="1" t="str">
        <f>IFERROR(IF(F340&lt;&gt;"",F340,VLOOKUP(MAX(F$2:F340),A$1:B340,2,FALSE)),"")</f>
        <v/>
      </c>
      <c r="C341" s="1" t="str">
        <f t="shared" si="10"/>
        <v/>
      </c>
      <c r="D341" s="1" t="str">
        <f>IFERROR(IF(F341&lt;&gt;"",F341,VLOOKUP(MAX(C$2:C341),A$2:F341,2,FALSE)),"")</f>
        <v>XF</v>
      </c>
      <c r="E341" s="1" t="str">
        <f t="shared" si="11"/>
        <v/>
      </c>
    </row>
    <row r="342" spans="1:5" x14ac:dyDescent="0.25">
      <c r="A342" s="1">
        <v>341</v>
      </c>
      <c r="B342" s="1" t="str">
        <f>IFERROR(IF(F341&lt;&gt;"",F341,VLOOKUP(MAX(F$2:F341),A$1:B341,2,FALSE)),"")</f>
        <v/>
      </c>
      <c r="C342" s="1" t="str">
        <f t="shared" si="10"/>
        <v/>
      </c>
      <c r="D342" s="1" t="str">
        <f>IFERROR(IF(F342&lt;&gt;"",F342,VLOOKUP(MAX(C$2:C342),A$2:F342,2,FALSE)),"")</f>
        <v>XF</v>
      </c>
      <c r="E342" s="1" t="str">
        <f t="shared" si="11"/>
        <v/>
      </c>
    </row>
    <row r="343" spans="1:5" x14ac:dyDescent="0.25">
      <c r="A343" s="1">
        <v>342</v>
      </c>
      <c r="B343" s="1" t="str">
        <f>IFERROR(IF(F342&lt;&gt;"",F342,VLOOKUP(MAX(F$2:F342),A$1:B342,2,FALSE)),"")</f>
        <v/>
      </c>
      <c r="C343" s="1" t="str">
        <f t="shared" si="10"/>
        <v/>
      </c>
      <c r="D343" s="1" t="str">
        <f>IFERROR(IF(F343&lt;&gt;"",F343,VLOOKUP(MAX(C$2:C343),A$2:F343,2,FALSE)),"")</f>
        <v>XF</v>
      </c>
      <c r="E343" s="1" t="str">
        <f t="shared" si="11"/>
        <v/>
      </c>
    </row>
    <row r="344" spans="1:5" x14ac:dyDescent="0.25">
      <c r="A344" s="1">
        <v>343</v>
      </c>
      <c r="B344" s="1" t="str">
        <f>IFERROR(IF(F343&lt;&gt;"",F343,VLOOKUP(MAX(F$2:F343),A$1:B343,2,FALSE)),"")</f>
        <v/>
      </c>
      <c r="C344" s="1" t="str">
        <f t="shared" si="10"/>
        <v/>
      </c>
      <c r="D344" s="1" t="str">
        <f>IFERROR(IF(F344&lt;&gt;"",F344,VLOOKUP(MAX(C$2:C344),A$2:F344,2,FALSE)),"")</f>
        <v>XF</v>
      </c>
      <c r="E344" s="1" t="str">
        <f t="shared" si="11"/>
        <v/>
      </c>
    </row>
    <row r="345" spans="1:5" x14ac:dyDescent="0.25">
      <c r="A345" s="1">
        <v>344</v>
      </c>
      <c r="B345" s="1" t="str">
        <f>IFERROR(IF(F344&lt;&gt;"",F344,VLOOKUP(MAX(F$2:F344),A$1:B344,2,FALSE)),"")</f>
        <v/>
      </c>
      <c r="C345" s="1" t="str">
        <f t="shared" si="10"/>
        <v/>
      </c>
      <c r="D345" s="1" t="str">
        <f>IFERROR(IF(F345&lt;&gt;"",F345,VLOOKUP(MAX(C$2:C345),A$2:F345,2,FALSE)),"")</f>
        <v>XF</v>
      </c>
      <c r="E345" s="1" t="str">
        <f t="shared" si="11"/>
        <v/>
      </c>
    </row>
    <row r="346" spans="1:5" x14ac:dyDescent="0.25">
      <c r="A346" s="1">
        <v>345</v>
      </c>
      <c r="B346" s="1" t="str">
        <f>IFERROR(IF(F345&lt;&gt;"",F345,VLOOKUP(MAX(F$2:F345),A$1:B345,2,FALSE)),"")</f>
        <v/>
      </c>
      <c r="C346" s="1" t="str">
        <f t="shared" si="10"/>
        <v/>
      </c>
      <c r="D346" s="1" t="str">
        <f>IFERROR(IF(F346&lt;&gt;"",F346,VLOOKUP(MAX(C$2:C346),A$2:F346,2,FALSE)),"")</f>
        <v>XF</v>
      </c>
      <c r="E346" s="1" t="str">
        <f t="shared" si="11"/>
        <v/>
      </c>
    </row>
    <row r="347" spans="1:5" x14ac:dyDescent="0.25">
      <c r="A347" s="1">
        <v>346</v>
      </c>
      <c r="B347" s="1" t="str">
        <f>IFERROR(IF(F346&lt;&gt;"",F346,VLOOKUP(MAX(F$2:F346),A$1:B346,2,FALSE)),"")</f>
        <v/>
      </c>
      <c r="C347" s="1" t="str">
        <f t="shared" si="10"/>
        <v/>
      </c>
      <c r="D347" s="1" t="str">
        <f>IFERROR(IF(F347&lt;&gt;"",F347,VLOOKUP(MAX(C$2:C347),A$2:F347,2,FALSE)),"")</f>
        <v>XF</v>
      </c>
      <c r="E347" s="1" t="str">
        <f t="shared" si="11"/>
        <v/>
      </c>
    </row>
    <row r="348" spans="1:5" x14ac:dyDescent="0.25">
      <c r="A348" s="1">
        <v>347</v>
      </c>
      <c r="B348" s="1" t="str">
        <f>IFERROR(IF(F347&lt;&gt;"",F347,VLOOKUP(MAX(F$2:F347),A$1:B347,2,FALSE)),"")</f>
        <v/>
      </c>
      <c r="C348" s="1" t="str">
        <f t="shared" si="10"/>
        <v/>
      </c>
      <c r="D348" s="1" t="str">
        <f>IFERROR(IF(F348&lt;&gt;"",F348,VLOOKUP(MAX(C$2:C348),A$2:F348,2,FALSE)),"")</f>
        <v>XF</v>
      </c>
      <c r="E348" s="1" t="str">
        <f t="shared" si="11"/>
        <v/>
      </c>
    </row>
    <row r="349" spans="1:5" x14ac:dyDescent="0.25">
      <c r="A349" s="1">
        <v>348</v>
      </c>
      <c r="B349" s="1" t="str">
        <f>IFERROR(IF(F348&lt;&gt;"",F348,VLOOKUP(MAX(F$2:F348),A$1:B348,2,FALSE)),"")</f>
        <v/>
      </c>
      <c r="C349" s="1" t="str">
        <f t="shared" si="10"/>
        <v/>
      </c>
      <c r="D349" s="1" t="str">
        <f>IFERROR(IF(F349&lt;&gt;"",F349,VLOOKUP(MAX(C$2:C349),A$2:F349,2,FALSE)),"")</f>
        <v>XF</v>
      </c>
      <c r="E349" s="1" t="str">
        <f t="shared" si="11"/>
        <v/>
      </c>
    </row>
    <row r="350" spans="1:5" x14ac:dyDescent="0.25">
      <c r="A350" s="1">
        <v>349</v>
      </c>
      <c r="B350" s="1" t="str">
        <f>IFERROR(IF(F349&lt;&gt;"",F349,VLOOKUP(MAX(F$2:F349),A$1:B349,2,FALSE)),"")</f>
        <v/>
      </c>
      <c r="C350" s="1" t="str">
        <f t="shared" si="10"/>
        <v/>
      </c>
      <c r="D350" s="1" t="str">
        <f>IFERROR(IF(F350&lt;&gt;"",F350,VLOOKUP(MAX(C$2:C350),A$2:F350,2,FALSE)),"")</f>
        <v>XF</v>
      </c>
      <c r="E350" s="1" t="str">
        <f t="shared" si="11"/>
        <v/>
      </c>
    </row>
    <row r="351" spans="1:5" x14ac:dyDescent="0.25">
      <c r="A351" s="1">
        <v>350</v>
      </c>
      <c r="B351" s="1" t="str">
        <f>IFERROR(IF(F350&lt;&gt;"",F350,VLOOKUP(MAX(F$2:F350),A$1:B350,2,FALSE)),"")</f>
        <v/>
      </c>
      <c r="C351" s="1" t="str">
        <f t="shared" si="10"/>
        <v/>
      </c>
      <c r="D351" s="1" t="str">
        <f>IFERROR(IF(F351&lt;&gt;"",F351,VLOOKUP(MAX(C$2:C351),A$2:F351,2,FALSE)),"")</f>
        <v>XF</v>
      </c>
      <c r="E351" s="1" t="str">
        <f t="shared" si="11"/>
        <v/>
      </c>
    </row>
    <row r="352" spans="1:5" x14ac:dyDescent="0.25">
      <c r="A352" s="1">
        <v>351</v>
      </c>
      <c r="B352" s="1" t="str">
        <f>IFERROR(IF(F351&lt;&gt;"",F351,VLOOKUP(MAX(F$2:F351),A$1:B351,2,FALSE)),"")</f>
        <v/>
      </c>
      <c r="C352" s="1" t="str">
        <f t="shared" si="10"/>
        <v/>
      </c>
      <c r="D352" s="1" t="str">
        <f>IFERROR(IF(F352&lt;&gt;"",F352,VLOOKUP(MAX(C$2:C352),A$2:F352,2,FALSE)),"")</f>
        <v>XF</v>
      </c>
      <c r="E352" s="1" t="str">
        <f t="shared" si="11"/>
        <v/>
      </c>
    </row>
    <row r="353" spans="1:5" x14ac:dyDescent="0.25">
      <c r="A353" s="1">
        <v>352</v>
      </c>
      <c r="B353" s="1" t="str">
        <f>IFERROR(IF(F352&lt;&gt;"",F352,VLOOKUP(MAX(F$2:F352),A$1:B352,2,FALSE)),"")</f>
        <v/>
      </c>
      <c r="C353" s="1" t="str">
        <f t="shared" si="10"/>
        <v/>
      </c>
      <c r="D353" s="1" t="str">
        <f>IFERROR(IF(F353&lt;&gt;"",F353,VLOOKUP(MAX(C$2:C353),A$2:F353,2,FALSE)),"")</f>
        <v>XF</v>
      </c>
      <c r="E353" s="1" t="str">
        <f t="shared" si="11"/>
        <v/>
      </c>
    </row>
    <row r="354" spans="1:5" x14ac:dyDescent="0.25">
      <c r="A354" s="1">
        <v>353</v>
      </c>
      <c r="B354" s="1" t="str">
        <f>IFERROR(IF(F353&lt;&gt;"",F353,VLOOKUP(MAX(F$2:F353),A$1:B353,2,FALSE)),"")</f>
        <v/>
      </c>
      <c r="C354" s="1" t="str">
        <f t="shared" si="10"/>
        <v/>
      </c>
      <c r="D354" s="1" t="str">
        <f>IFERROR(IF(F354&lt;&gt;"",F354,VLOOKUP(MAX(C$2:C354),A$2:F354,2,FALSE)),"")</f>
        <v>XF</v>
      </c>
      <c r="E354" s="1" t="str">
        <f t="shared" si="11"/>
        <v/>
      </c>
    </row>
    <row r="355" spans="1:5" x14ac:dyDescent="0.25">
      <c r="A355" s="1">
        <v>354</v>
      </c>
      <c r="B355" s="1" t="str">
        <f>IFERROR(IF(F354&lt;&gt;"",F354,VLOOKUP(MAX(F$2:F354),A$1:B354,2,FALSE)),"")</f>
        <v/>
      </c>
      <c r="C355" s="1" t="str">
        <f t="shared" si="10"/>
        <v/>
      </c>
      <c r="D355" s="1" t="str">
        <f>IFERROR(IF(F355&lt;&gt;"",F355,VLOOKUP(MAX(C$2:C355),A$2:F355,2,FALSE)),"")</f>
        <v>XF</v>
      </c>
      <c r="E355" s="1" t="str">
        <f t="shared" si="11"/>
        <v/>
      </c>
    </row>
    <row r="356" spans="1:5" x14ac:dyDescent="0.25">
      <c r="A356" s="1">
        <v>355</v>
      </c>
      <c r="B356" s="1" t="str">
        <f>IFERROR(IF(F355&lt;&gt;"",F355,VLOOKUP(MAX(F$2:F355),A$1:B355,2,FALSE)),"")</f>
        <v/>
      </c>
      <c r="C356" s="1" t="str">
        <f t="shared" si="10"/>
        <v/>
      </c>
      <c r="D356" s="1" t="str">
        <f>IFERROR(IF(F356&lt;&gt;"",F356,VLOOKUP(MAX(C$2:C356),A$2:F356,2,FALSE)),"")</f>
        <v>XF</v>
      </c>
      <c r="E356" s="1" t="str">
        <f t="shared" si="11"/>
        <v/>
      </c>
    </row>
    <row r="357" spans="1:5" x14ac:dyDescent="0.25">
      <c r="A357" s="1">
        <v>356</v>
      </c>
      <c r="B357" s="1" t="str">
        <f>IFERROR(IF(F356&lt;&gt;"",F356,VLOOKUP(MAX(F$2:F356),A$1:B356,2,FALSE)),"")</f>
        <v/>
      </c>
      <c r="C357" s="1" t="str">
        <f t="shared" si="10"/>
        <v/>
      </c>
      <c r="D357" s="1" t="str">
        <f>IFERROR(IF(F357&lt;&gt;"",F357,VLOOKUP(MAX(C$2:C357),A$2:F357,2,FALSE)),"")</f>
        <v>XF</v>
      </c>
      <c r="E357" s="1" t="str">
        <f t="shared" si="11"/>
        <v/>
      </c>
    </row>
    <row r="358" spans="1:5" x14ac:dyDescent="0.25">
      <c r="A358" s="1">
        <v>357</v>
      </c>
      <c r="B358" s="1" t="str">
        <f>IFERROR(IF(F357&lt;&gt;"",F357,VLOOKUP(MAX(F$2:F357),A$1:B357,2,FALSE)),"")</f>
        <v/>
      </c>
      <c r="C358" s="1" t="str">
        <f t="shared" si="10"/>
        <v/>
      </c>
      <c r="D358" s="1" t="str">
        <f>IFERROR(IF(F358&lt;&gt;"",F358,VLOOKUP(MAX(C$2:C358),A$2:F358,2,FALSE)),"")</f>
        <v>XF</v>
      </c>
      <c r="E358" s="1" t="str">
        <f t="shared" si="11"/>
        <v/>
      </c>
    </row>
    <row r="359" spans="1:5" x14ac:dyDescent="0.25">
      <c r="A359" s="1">
        <v>358</v>
      </c>
      <c r="B359" s="1" t="str">
        <f>IFERROR(IF(F358&lt;&gt;"",F358,VLOOKUP(MAX(F$2:F358),A$1:B358,2,FALSE)),"")</f>
        <v/>
      </c>
      <c r="C359" s="1" t="str">
        <f t="shared" si="10"/>
        <v/>
      </c>
      <c r="D359" s="1" t="str">
        <f>IFERROR(IF(F359&lt;&gt;"",F359,VLOOKUP(MAX(C$2:C359),A$2:F359,2,FALSE)),"")</f>
        <v>XF</v>
      </c>
      <c r="E359" s="1" t="str">
        <f t="shared" si="11"/>
        <v/>
      </c>
    </row>
    <row r="360" spans="1:5" x14ac:dyDescent="0.25">
      <c r="A360" s="1">
        <v>359</v>
      </c>
      <c r="B360" s="1" t="str">
        <f>IFERROR(IF(F359&lt;&gt;"",F359,VLOOKUP(MAX(F$2:F359),A$1:B359,2,FALSE)),"")</f>
        <v/>
      </c>
      <c r="C360" s="1" t="str">
        <f t="shared" si="10"/>
        <v/>
      </c>
      <c r="D360" s="1" t="str">
        <f>IFERROR(IF(F360&lt;&gt;"",F360,VLOOKUP(MAX(C$2:C360),A$2:F360,2,FALSE)),"")</f>
        <v>XF</v>
      </c>
      <c r="E360" s="1" t="str">
        <f t="shared" si="11"/>
        <v/>
      </c>
    </row>
    <row r="361" spans="1:5" x14ac:dyDescent="0.25">
      <c r="A361" s="1">
        <v>360</v>
      </c>
      <c r="B361" s="1" t="str">
        <f>IFERROR(IF(F360&lt;&gt;"",F360,VLOOKUP(MAX(F$2:F360),A$1:B360,2,FALSE)),"")</f>
        <v/>
      </c>
      <c r="C361" s="1" t="str">
        <f t="shared" si="10"/>
        <v/>
      </c>
      <c r="D361" s="1" t="str">
        <f>IFERROR(IF(F361&lt;&gt;"",F361,VLOOKUP(MAX(C$2:C361),A$2:F361,2,FALSE)),"")</f>
        <v>XF</v>
      </c>
      <c r="E361" s="1" t="str">
        <f t="shared" si="11"/>
        <v/>
      </c>
    </row>
    <row r="362" spans="1:5" x14ac:dyDescent="0.25">
      <c r="A362" s="1">
        <v>361</v>
      </c>
      <c r="B362" s="1" t="str">
        <f>IFERROR(IF(F361&lt;&gt;"",F361,VLOOKUP(MAX(F$2:F361),A$1:B361,2,FALSE)),"")</f>
        <v/>
      </c>
      <c r="C362" s="1" t="str">
        <f t="shared" si="10"/>
        <v/>
      </c>
      <c r="D362" s="1" t="str">
        <f>IFERROR(IF(F362&lt;&gt;"",F362,VLOOKUP(MAX(C$2:C362),A$2:F362,2,FALSE)),"")</f>
        <v>XF</v>
      </c>
      <c r="E362" s="1" t="str">
        <f t="shared" si="11"/>
        <v/>
      </c>
    </row>
    <row r="363" spans="1:5" x14ac:dyDescent="0.25">
      <c r="A363" s="1">
        <v>362</v>
      </c>
      <c r="B363" s="1" t="str">
        <f>IFERROR(IF(F362&lt;&gt;"",F362,VLOOKUP(MAX(F$2:F362),A$1:B362,2,FALSE)),"")</f>
        <v/>
      </c>
      <c r="C363" s="1" t="str">
        <f t="shared" si="10"/>
        <v/>
      </c>
      <c r="D363" s="1" t="str">
        <f>IFERROR(IF(F363&lt;&gt;"",F363,VLOOKUP(MAX(C$2:C363),A$2:F363,2,FALSE)),"")</f>
        <v>XF</v>
      </c>
      <c r="E363" s="1" t="str">
        <f t="shared" si="11"/>
        <v/>
      </c>
    </row>
    <row r="364" spans="1:5" x14ac:dyDescent="0.25">
      <c r="A364" s="1">
        <v>363</v>
      </c>
      <c r="B364" s="1" t="str">
        <f>IFERROR(IF(F363&lt;&gt;"",F363,VLOOKUP(MAX(F$2:F363),A$1:B363,2,FALSE)),"")</f>
        <v/>
      </c>
      <c r="C364" s="1" t="str">
        <f t="shared" si="10"/>
        <v/>
      </c>
      <c r="D364" s="1" t="str">
        <f>IFERROR(IF(F364&lt;&gt;"",F364,VLOOKUP(MAX(C$2:C364),A$2:F364,2,FALSE)),"")</f>
        <v>XF</v>
      </c>
      <c r="E364" s="1" t="str">
        <f t="shared" si="11"/>
        <v/>
      </c>
    </row>
    <row r="365" spans="1:5" x14ac:dyDescent="0.25">
      <c r="A365" s="1">
        <v>364</v>
      </c>
      <c r="B365" s="1" t="str">
        <f>IFERROR(IF(F364&lt;&gt;"",F364,VLOOKUP(MAX(F$2:F364),A$1:B364,2,FALSE)),"")</f>
        <v/>
      </c>
      <c r="C365" s="1" t="str">
        <f t="shared" si="10"/>
        <v/>
      </c>
      <c r="D365" s="1" t="str">
        <f>IFERROR(IF(F365&lt;&gt;"",F365,VLOOKUP(MAX(C$2:C365),A$2:F365,2,FALSE)),"")</f>
        <v>XF</v>
      </c>
      <c r="E365" s="1" t="str">
        <f t="shared" si="11"/>
        <v/>
      </c>
    </row>
    <row r="366" spans="1:5" x14ac:dyDescent="0.25">
      <c r="A366" s="1">
        <v>365</v>
      </c>
      <c r="B366" s="1" t="str">
        <f>IFERROR(IF(F365&lt;&gt;"",F365,VLOOKUP(MAX(F$2:F365),A$1:B365,2,FALSE)),"")</f>
        <v/>
      </c>
      <c r="C366" s="1" t="str">
        <f t="shared" si="10"/>
        <v/>
      </c>
      <c r="D366" s="1" t="str">
        <f>IFERROR(IF(F366&lt;&gt;"",F366,VLOOKUP(MAX(C$2:C366),A$2:F366,2,FALSE)),"")</f>
        <v>XF</v>
      </c>
      <c r="E366" s="1" t="str">
        <f t="shared" si="11"/>
        <v/>
      </c>
    </row>
    <row r="367" spans="1:5" x14ac:dyDescent="0.25">
      <c r="A367" s="1">
        <v>366</v>
      </c>
      <c r="B367" s="1" t="str">
        <f>IFERROR(IF(F366&lt;&gt;"",F366,VLOOKUP(MAX(F$2:F366),A$1:B366,2,FALSE)),"")</f>
        <v/>
      </c>
      <c r="C367" s="1" t="str">
        <f t="shared" si="10"/>
        <v/>
      </c>
      <c r="D367" s="1" t="str">
        <f>IFERROR(IF(F367&lt;&gt;"",F367,VLOOKUP(MAX(C$2:C367),A$2:F367,2,FALSE)),"")</f>
        <v>XF</v>
      </c>
      <c r="E367" s="1" t="str">
        <f t="shared" si="11"/>
        <v/>
      </c>
    </row>
    <row r="368" spans="1:5" x14ac:dyDescent="0.25">
      <c r="A368" s="1">
        <v>367</v>
      </c>
      <c r="B368" s="1" t="str">
        <f>IFERROR(IF(F367&lt;&gt;"",F367,VLOOKUP(MAX(F$2:F367),A$1:B367,2,FALSE)),"")</f>
        <v/>
      </c>
      <c r="C368" s="1" t="str">
        <f t="shared" si="10"/>
        <v/>
      </c>
      <c r="D368" s="1" t="str">
        <f>IFERROR(IF(F368&lt;&gt;"",F368,VLOOKUP(MAX(C$2:C368),A$2:F368,2,FALSE)),"")</f>
        <v>XF</v>
      </c>
      <c r="E368" s="1" t="str">
        <f t="shared" si="11"/>
        <v/>
      </c>
    </row>
    <row r="369" spans="1:5" x14ac:dyDescent="0.25">
      <c r="A369" s="1">
        <v>368</v>
      </c>
      <c r="B369" s="1" t="str">
        <f>IFERROR(IF(F368&lt;&gt;"",F368,VLOOKUP(MAX(F$2:F368),A$1:B368,2,FALSE)),"")</f>
        <v/>
      </c>
      <c r="C369" s="1" t="str">
        <f t="shared" si="10"/>
        <v/>
      </c>
      <c r="D369" s="1" t="str">
        <f>IFERROR(IF(F369&lt;&gt;"",F369,VLOOKUP(MAX(C$2:C369),A$2:F369,2,FALSE)),"")</f>
        <v>XF</v>
      </c>
      <c r="E369" s="1" t="str">
        <f t="shared" si="11"/>
        <v/>
      </c>
    </row>
    <row r="370" spans="1:5" x14ac:dyDescent="0.25">
      <c r="A370" s="1">
        <v>369</v>
      </c>
      <c r="B370" s="1" t="str">
        <f>IFERROR(IF(F369&lt;&gt;"",F369,VLOOKUP(MAX(F$2:F369),A$1:B369,2,FALSE)),"")</f>
        <v/>
      </c>
      <c r="C370" s="1" t="str">
        <f t="shared" si="10"/>
        <v/>
      </c>
      <c r="D370" s="1" t="str">
        <f>IFERROR(IF(F370&lt;&gt;"",F370,VLOOKUP(MAX(C$2:C370),A$2:F370,2,FALSE)),"")</f>
        <v>XF</v>
      </c>
      <c r="E370" s="1" t="str">
        <f t="shared" si="11"/>
        <v/>
      </c>
    </row>
    <row r="371" spans="1:5" x14ac:dyDescent="0.25">
      <c r="A371" s="1">
        <v>370</v>
      </c>
      <c r="B371" s="1" t="str">
        <f>IFERROR(IF(F370&lt;&gt;"",F370,VLOOKUP(MAX(F$2:F370),A$1:B370,2,FALSE)),"")</f>
        <v/>
      </c>
      <c r="C371" s="1" t="str">
        <f t="shared" si="10"/>
        <v/>
      </c>
      <c r="D371" s="1" t="str">
        <f>IFERROR(IF(F371&lt;&gt;"",F371,VLOOKUP(MAX(C$2:C371),A$2:F371,2,FALSE)),"")</f>
        <v>XF</v>
      </c>
      <c r="E371" s="1" t="str">
        <f t="shared" si="11"/>
        <v/>
      </c>
    </row>
    <row r="372" spans="1:5" x14ac:dyDescent="0.25">
      <c r="A372" s="1">
        <v>371</v>
      </c>
      <c r="B372" s="1" t="str">
        <f>IFERROR(IF(F371&lt;&gt;"",F371,VLOOKUP(MAX(F$2:F371),A$1:B371,2,FALSE)),"")</f>
        <v/>
      </c>
      <c r="C372" s="1" t="str">
        <f t="shared" si="10"/>
        <v/>
      </c>
      <c r="D372" s="1" t="str">
        <f>IFERROR(IF(F372&lt;&gt;"",F372,VLOOKUP(MAX(C$2:C372),A$2:F372,2,FALSE)),"")</f>
        <v>XF</v>
      </c>
      <c r="E372" s="1" t="str">
        <f t="shared" si="11"/>
        <v/>
      </c>
    </row>
    <row r="373" spans="1:5" x14ac:dyDescent="0.25">
      <c r="A373" s="1">
        <v>372</v>
      </c>
      <c r="B373" s="1" t="str">
        <f>IFERROR(IF(F372&lt;&gt;"",F372,VLOOKUP(MAX(F$2:F372),A$1:B372,2,FALSE)),"")</f>
        <v/>
      </c>
      <c r="C373" s="1" t="str">
        <f t="shared" si="10"/>
        <v/>
      </c>
      <c r="D373" s="1" t="str">
        <f>IFERROR(IF(F373&lt;&gt;"",F373,VLOOKUP(MAX(C$2:C373),A$2:F373,2,FALSE)),"")</f>
        <v>XF</v>
      </c>
      <c r="E373" s="1" t="str">
        <f t="shared" si="11"/>
        <v/>
      </c>
    </row>
    <row r="374" spans="1:5" x14ac:dyDescent="0.25">
      <c r="A374" s="1">
        <v>373</v>
      </c>
      <c r="B374" s="1" t="str">
        <f>IFERROR(IF(F373&lt;&gt;"",F373,VLOOKUP(MAX(F$2:F373),A$1:B373,2,FALSE)),"")</f>
        <v/>
      </c>
      <c r="C374" s="1" t="str">
        <f t="shared" si="10"/>
        <v/>
      </c>
      <c r="D374" s="1" t="str">
        <f>IFERROR(IF(F374&lt;&gt;"",F374,VLOOKUP(MAX(C$2:C374),A$2:F374,2,FALSE)),"")</f>
        <v>XF</v>
      </c>
      <c r="E374" s="1" t="str">
        <f t="shared" si="11"/>
        <v/>
      </c>
    </row>
    <row r="375" spans="1:5" x14ac:dyDescent="0.25">
      <c r="A375" s="1">
        <v>374</v>
      </c>
      <c r="B375" s="1" t="str">
        <f>IFERROR(IF(F374&lt;&gt;"",F374,VLOOKUP(MAX(F$2:F374),A$1:B374,2,FALSE)),"")</f>
        <v/>
      </c>
      <c r="C375" s="1" t="str">
        <f t="shared" si="10"/>
        <v/>
      </c>
      <c r="D375" s="1" t="str">
        <f>IFERROR(IF(F375&lt;&gt;"",F375,VLOOKUP(MAX(C$2:C375),A$2:F375,2,FALSE)),"")</f>
        <v>XF</v>
      </c>
      <c r="E375" s="1" t="str">
        <f t="shared" si="11"/>
        <v/>
      </c>
    </row>
    <row r="376" spans="1:5" x14ac:dyDescent="0.25">
      <c r="A376" s="1">
        <v>375</v>
      </c>
      <c r="B376" s="1" t="str">
        <f>IFERROR(IF(F375&lt;&gt;"",F375,VLOOKUP(MAX(F$2:F375),A$1:B375,2,FALSE)),"")</f>
        <v/>
      </c>
      <c r="C376" s="1" t="str">
        <f t="shared" si="10"/>
        <v/>
      </c>
      <c r="D376" s="1" t="str">
        <f>IFERROR(IF(F376&lt;&gt;"",F376,VLOOKUP(MAX(C$2:C376),A$2:F376,2,FALSE)),"")</f>
        <v>XF</v>
      </c>
      <c r="E376" s="1" t="str">
        <f t="shared" si="11"/>
        <v/>
      </c>
    </row>
    <row r="377" spans="1:5" x14ac:dyDescent="0.25">
      <c r="A377" s="1">
        <v>376</v>
      </c>
      <c r="B377" s="1" t="str">
        <f>IFERROR(IF(F376&lt;&gt;"",F376,VLOOKUP(MAX(F$2:F376),A$1:B376,2,FALSE)),"")</f>
        <v/>
      </c>
      <c r="C377" s="1" t="str">
        <f t="shared" si="10"/>
        <v/>
      </c>
      <c r="D377" s="1" t="str">
        <f>IFERROR(IF(F377&lt;&gt;"",F377,VLOOKUP(MAX(C$2:C377),A$2:F377,2,FALSE)),"")</f>
        <v>XF</v>
      </c>
      <c r="E377" s="1" t="str">
        <f t="shared" si="11"/>
        <v/>
      </c>
    </row>
    <row r="378" spans="1:5" x14ac:dyDescent="0.25">
      <c r="A378" s="1">
        <v>377</v>
      </c>
      <c r="B378" s="1" t="str">
        <f>IFERROR(IF(F377&lt;&gt;"",F377,VLOOKUP(MAX(F$2:F377),A$1:B377,2,FALSE)),"")</f>
        <v/>
      </c>
      <c r="C378" s="1" t="str">
        <f t="shared" si="10"/>
        <v/>
      </c>
      <c r="D378" s="1" t="str">
        <f>IFERROR(IF(F378&lt;&gt;"",F378,VLOOKUP(MAX(C$2:C378),A$2:F378,2,FALSE)),"")</f>
        <v>XF</v>
      </c>
      <c r="E378" s="1" t="str">
        <f t="shared" si="11"/>
        <v/>
      </c>
    </row>
    <row r="379" spans="1:5" x14ac:dyDescent="0.25">
      <c r="A379" s="1">
        <v>378</v>
      </c>
      <c r="B379" s="1" t="str">
        <f>IFERROR(IF(F378&lt;&gt;"",F378,VLOOKUP(MAX(F$2:F378),A$1:B378,2,FALSE)),"")</f>
        <v/>
      </c>
      <c r="C379" s="1" t="str">
        <f t="shared" si="10"/>
        <v/>
      </c>
      <c r="D379" s="1" t="str">
        <f>IFERROR(IF(F379&lt;&gt;"",F379,VLOOKUP(MAX(C$2:C379),A$2:F379,2,FALSE)),"")</f>
        <v>XF</v>
      </c>
      <c r="E379" s="1" t="str">
        <f t="shared" si="11"/>
        <v/>
      </c>
    </row>
    <row r="380" spans="1:5" x14ac:dyDescent="0.25">
      <c r="A380" s="1">
        <v>379</v>
      </c>
      <c r="B380" s="1" t="str">
        <f>IFERROR(IF(F379&lt;&gt;"",F379,VLOOKUP(MAX(F$2:F379),A$1:B379,2,FALSE)),"")</f>
        <v/>
      </c>
      <c r="C380" s="1" t="str">
        <f t="shared" si="10"/>
        <v/>
      </c>
      <c r="D380" s="1" t="str">
        <f>IFERROR(IF(F380&lt;&gt;"",F380,VLOOKUP(MAX(C$2:C380),A$2:F380,2,FALSE)),"")</f>
        <v>XF</v>
      </c>
      <c r="E380" s="1" t="str">
        <f t="shared" si="11"/>
        <v/>
      </c>
    </row>
    <row r="381" spans="1:5" x14ac:dyDescent="0.25">
      <c r="A381" s="1">
        <v>380</v>
      </c>
      <c r="B381" s="1" t="str">
        <f>IFERROR(IF(F380&lt;&gt;"",F380,VLOOKUP(MAX(F$2:F380),A$1:B380,2,FALSE)),"")</f>
        <v/>
      </c>
      <c r="C381" s="1" t="str">
        <f t="shared" si="10"/>
        <v/>
      </c>
      <c r="D381" s="1" t="str">
        <f>IFERROR(IF(F381&lt;&gt;"",F381,VLOOKUP(MAX(C$2:C381),A$2:F381,2,FALSE)),"")</f>
        <v>XF</v>
      </c>
      <c r="E381" s="1" t="str">
        <f t="shared" si="11"/>
        <v/>
      </c>
    </row>
    <row r="382" spans="1:5" x14ac:dyDescent="0.25">
      <c r="A382" s="1">
        <v>381</v>
      </c>
      <c r="B382" s="1" t="str">
        <f>IFERROR(IF(F381&lt;&gt;"",F381,VLOOKUP(MAX(F$2:F381),A$1:B381,2,FALSE)),"")</f>
        <v/>
      </c>
      <c r="C382" s="1" t="str">
        <f t="shared" si="10"/>
        <v/>
      </c>
      <c r="D382" s="1" t="str">
        <f>IFERROR(IF(F382&lt;&gt;"",F382,VLOOKUP(MAX(C$2:C382),A$2:F382,2,FALSE)),"")</f>
        <v>XF</v>
      </c>
      <c r="E382" s="1" t="str">
        <f t="shared" si="11"/>
        <v/>
      </c>
    </row>
    <row r="383" spans="1:5" x14ac:dyDescent="0.25">
      <c r="A383" s="1">
        <v>382</v>
      </c>
      <c r="B383" s="1" t="str">
        <f>IFERROR(IF(F382&lt;&gt;"",F382,VLOOKUP(MAX(F$2:F382),A$1:B382,2,FALSE)),"")</f>
        <v/>
      </c>
      <c r="C383" s="1" t="str">
        <f t="shared" si="10"/>
        <v/>
      </c>
      <c r="D383" s="1" t="str">
        <f>IFERROR(IF(F383&lt;&gt;"",F383,VLOOKUP(MAX(C$2:C383),A$2:F383,2,FALSE)),"")</f>
        <v>XF</v>
      </c>
      <c r="E383" s="1" t="str">
        <f t="shared" si="11"/>
        <v/>
      </c>
    </row>
    <row r="384" spans="1:5" x14ac:dyDescent="0.25">
      <c r="A384" s="1">
        <v>383</v>
      </c>
      <c r="B384" s="1" t="str">
        <f>IFERROR(IF(F383&lt;&gt;"",F383,VLOOKUP(MAX(F$2:F383),A$1:B383,2,FALSE)),"")</f>
        <v/>
      </c>
      <c r="C384" s="1" t="str">
        <f t="shared" si="10"/>
        <v/>
      </c>
      <c r="D384" s="1" t="str">
        <f>IFERROR(IF(F384&lt;&gt;"",F384,VLOOKUP(MAX(C$2:C384),A$2:F384,2,FALSE)),"")</f>
        <v>XF</v>
      </c>
      <c r="E384" s="1" t="str">
        <f t="shared" si="11"/>
        <v/>
      </c>
    </row>
    <row r="385" spans="1:5" x14ac:dyDescent="0.25">
      <c r="A385" s="1">
        <v>384</v>
      </c>
      <c r="B385" s="1" t="str">
        <f>IFERROR(IF(F384&lt;&gt;"",F384,VLOOKUP(MAX(F$2:F384),A$1:B384,2,FALSE)),"")</f>
        <v/>
      </c>
      <c r="C385" s="1" t="str">
        <f t="shared" si="10"/>
        <v/>
      </c>
      <c r="D385" s="1" t="str">
        <f>IFERROR(IF(F385&lt;&gt;"",F385,VLOOKUP(MAX(C$2:C385),A$2:F385,2,FALSE)),"")</f>
        <v>XF</v>
      </c>
      <c r="E385" s="1" t="str">
        <f t="shared" si="11"/>
        <v/>
      </c>
    </row>
    <row r="386" spans="1:5" x14ac:dyDescent="0.25">
      <c r="A386" s="1">
        <v>385</v>
      </c>
      <c r="B386" s="1" t="str">
        <f>IFERROR(IF(F385&lt;&gt;"",F385,VLOOKUP(MAX(F$2:F385),A$1:B385,2,FALSE)),"")</f>
        <v/>
      </c>
      <c r="C386" s="1" t="str">
        <f t="shared" ref="C386:C449" si="12">IF(F386&lt;&gt;"",A386,"")</f>
        <v/>
      </c>
      <c r="D386" s="1" t="str">
        <f>IFERROR(IF(F386&lt;&gt;"",F386,VLOOKUP(MAX(C$2:C386),A$2:F386,2,FALSE)),"")</f>
        <v>XF</v>
      </c>
      <c r="E386" s="1" t="str">
        <f t="shared" si="11"/>
        <v/>
      </c>
    </row>
    <row r="387" spans="1:5" x14ac:dyDescent="0.25">
      <c r="A387" s="1">
        <v>386</v>
      </c>
      <c r="B387" s="1" t="str">
        <f>IFERROR(IF(F386&lt;&gt;"",F386,VLOOKUP(MAX(F$2:F386),A$1:B386,2,FALSE)),"")</f>
        <v/>
      </c>
      <c r="C387" s="1" t="str">
        <f t="shared" si="12"/>
        <v/>
      </c>
      <c r="D387" s="1" t="str">
        <f>IFERROR(IF(F387&lt;&gt;"",F387,VLOOKUP(MAX(C$2:C387),A$2:F387,2,FALSE)),"")</f>
        <v>XF</v>
      </c>
      <c r="E387" s="1" t="str">
        <f t="shared" si="11"/>
        <v/>
      </c>
    </row>
    <row r="388" spans="1:5" x14ac:dyDescent="0.25">
      <c r="A388" s="1">
        <v>387</v>
      </c>
      <c r="B388" s="1" t="str">
        <f>IFERROR(IF(F387&lt;&gt;"",F387,VLOOKUP(MAX(F$2:F387),A$1:B387,2,FALSE)),"")</f>
        <v/>
      </c>
      <c r="C388" s="1" t="str">
        <f t="shared" si="12"/>
        <v/>
      </c>
      <c r="D388" s="1" t="str">
        <f>IFERROR(IF(F388&lt;&gt;"",F388,VLOOKUP(MAX(C$2:C388),A$2:F388,2,FALSE)),"")</f>
        <v>XF</v>
      </c>
      <c r="E388" s="1" t="str">
        <f t="shared" ref="E388:E451" si="13">IF(H388&lt;&gt;"",CONCATENATE(D388,".",H388),"")</f>
        <v/>
      </c>
    </row>
    <row r="389" spans="1:5" x14ac:dyDescent="0.25">
      <c r="A389" s="1">
        <v>388</v>
      </c>
      <c r="B389" s="1" t="str">
        <f>IFERROR(IF(F388&lt;&gt;"",F388,VLOOKUP(MAX(F$2:F388),A$1:B388,2,FALSE)),"")</f>
        <v/>
      </c>
      <c r="C389" s="1" t="str">
        <f t="shared" si="12"/>
        <v/>
      </c>
      <c r="D389" s="1" t="str">
        <f>IFERROR(IF(F389&lt;&gt;"",F389,VLOOKUP(MAX(C$2:C389),A$2:F389,2,FALSE)),"")</f>
        <v>XF</v>
      </c>
      <c r="E389" s="1" t="str">
        <f t="shared" si="13"/>
        <v/>
      </c>
    </row>
    <row r="390" spans="1:5" x14ac:dyDescent="0.25">
      <c r="A390" s="1">
        <v>389</v>
      </c>
      <c r="B390" s="1" t="str">
        <f>IFERROR(IF(F389&lt;&gt;"",F389,VLOOKUP(MAX(F$2:F389),A$1:B389,2,FALSE)),"")</f>
        <v/>
      </c>
      <c r="C390" s="1" t="str">
        <f t="shared" si="12"/>
        <v/>
      </c>
      <c r="D390" s="1" t="str">
        <f>IFERROR(IF(F390&lt;&gt;"",F390,VLOOKUP(MAX(C$2:C390),A$2:F390,2,FALSE)),"")</f>
        <v>XF</v>
      </c>
      <c r="E390" s="1" t="str">
        <f t="shared" si="13"/>
        <v/>
      </c>
    </row>
    <row r="391" spans="1:5" x14ac:dyDescent="0.25">
      <c r="A391" s="1">
        <v>390</v>
      </c>
      <c r="B391" s="1" t="str">
        <f>IFERROR(IF(F390&lt;&gt;"",F390,VLOOKUP(MAX(F$2:F390),A$1:B390,2,FALSE)),"")</f>
        <v/>
      </c>
      <c r="C391" s="1" t="str">
        <f t="shared" si="12"/>
        <v/>
      </c>
      <c r="D391" s="1" t="str">
        <f>IFERROR(IF(F391&lt;&gt;"",F391,VLOOKUP(MAX(C$2:C391),A$2:F391,2,FALSE)),"")</f>
        <v>XF</v>
      </c>
      <c r="E391" s="1" t="str">
        <f t="shared" si="13"/>
        <v/>
      </c>
    </row>
    <row r="392" spans="1:5" x14ac:dyDescent="0.25">
      <c r="A392" s="1">
        <v>391</v>
      </c>
      <c r="B392" s="1" t="str">
        <f>IFERROR(IF(F391&lt;&gt;"",F391,VLOOKUP(MAX(F$2:F391),A$1:B391,2,FALSE)),"")</f>
        <v/>
      </c>
      <c r="C392" s="1" t="str">
        <f t="shared" si="12"/>
        <v/>
      </c>
      <c r="D392" s="1" t="str">
        <f>IFERROR(IF(F392&lt;&gt;"",F392,VLOOKUP(MAX(C$2:C392),A$2:F392,2,FALSE)),"")</f>
        <v>XF</v>
      </c>
      <c r="E392" s="1" t="str">
        <f t="shared" si="13"/>
        <v/>
      </c>
    </row>
    <row r="393" spans="1:5" x14ac:dyDescent="0.25">
      <c r="A393" s="1">
        <v>392</v>
      </c>
      <c r="B393" s="1" t="str">
        <f>IFERROR(IF(F392&lt;&gt;"",F392,VLOOKUP(MAX(F$2:F392),A$1:B392,2,FALSE)),"")</f>
        <v/>
      </c>
      <c r="C393" s="1" t="str">
        <f t="shared" si="12"/>
        <v/>
      </c>
      <c r="D393" s="1" t="str">
        <f>IFERROR(IF(F393&lt;&gt;"",F393,VLOOKUP(MAX(C$2:C393),A$2:F393,2,FALSE)),"")</f>
        <v>XF</v>
      </c>
      <c r="E393" s="1" t="str">
        <f t="shared" si="13"/>
        <v/>
      </c>
    </row>
    <row r="394" spans="1:5" x14ac:dyDescent="0.25">
      <c r="A394" s="1">
        <v>393</v>
      </c>
      <c r="B394" s="1" t="str">
        <f>IFERROR(IF(F393&lt;&gt;"",F393,VLOOKUP(MAX(F$2:F393),A$1:B393,2,FALSE)),"")</f>
        <v/>
      </c>
      <c r="C394" s="1" t="str">
        <f t="shared" si="12"/>
        <v/>
      </c>
      <c r="D394" s="1" t="str">
        <f>IFERROR(IF(F394&lt;&gt;"",F394,VLOOKUP(MAX(C$2:C394),A$2:F394,2,FALSE)),"")</f>
        <v>XF</v>
      </c>
      <c r="E394" s="1" t="str">
        <f t="shared" si="13"/>
        <v/>
      </c>
    </row>
    <row r="395" spans="1:5" x14ac:dyDescent="0.25">
      <c r="A395" s="1">
        <v>394</v>
      </c>
      <c r="B395" s="1" t="str">
        <f>IFERROR(IF(F394&lt;&gt;"",F394,VLOOKUP(MAX(F$2:F394),A$1:B394,2,FALSE)),"")</f>
        <v/>
      </c>
      <c r="C395" s="1" t="str">
        <f t="shared" si="12"/>
        <v/>
      </c>
      <c r="D395" s="1" t="str">
        <f>IFERROR(IF(F395&lt;&gt;"",F395,VLOOKUP(MAX(C$2:C395),A$2:F395,2,FALSE)),"")</f>
        <v>XF</v>
      </c>
      <c r="E395" s="1" t="str">
        <f t="shared" si="13"/>
        <v/>
      </c>
    </row>
    <row r="396" spans="1:5" x14ac:dyDescent="0.25">
      <c r="A396" s="1">
        <v>395</v>
      </c>
      <c r="B396" s="1" t="str">
        <f>IFERROR(IF(F395&lt;&gt;"",F395,VLOOKUP(MAX(F$2:F395),A$1:B395,2,FALSE)),"")</f>
        <v/>
      </c>
      <c r="C396" s="1" t="str">
        <f t="shared" si="12"/>
        <v/>
      </c>
      <c r="D396" s="1" t="str">
        <f>IFERROR(IF(F396&lt;&gt;"",F396,VLOOKUP(MAX(C$2:C396),A$2:F396,2,FALSE)),"")</f>
        <v>XF</v>
      </c>
      <c r="E396" s="1" t="str">
        <f t="shared" si="13"/>
        <v/>
      </c>
    </row>
    <row r="397" spans="1:5" x14ac:dyDescent="0.25">
      <c r="A397" s="1">
        <v>396</v>
      </c>
      <c r="B397" s="1" t="str">
        <f>IFERROR(IF(F396&lt;&gt;"",F396,VLOOKUP(MAX(F$2:F396),A$1:B396,2,FALSE)),"")</f>
        <v/>
      </c>
      <c r="C397" s="1" t="str">
        <f t="shared" si="12"/>
        <v/>
      </c>
      <c r="D397" s="1" t="str">
        <f>IFERROR(IF(F397&lt;&gt;"",F397,VLOOKUP(MAX(C$2:C397),A$2:F397,2,FALSE)),"")</f>
        <v>XF</v>
      </c>
      <c r="E397" s="1" t="str">
        <f t="shared" si="13"/>
        <v/>
      </c>
    </row>
    <row r="398" spans="1:5" x14ac:dyDescent="0.25">
      <c r="A398" s="1">
        <v>397</v>
      </c>
      <c r="B398" s="1" t="str">
        <f>IFERROR(IF(F397&lt;&gt;"",F397,VLOOKUP(MAX(F$2:F397),A$1:B397,2,FALSE)),"")</f>
        <v/>
      </c>
      <c r="C398" s="1" t="str">
        <f t="shared" si="12"/>
        <v/>
      </c>
      <c r="D398" s="1" t="str">
        <f>IFERROR(IF(F398&lt;&gt;"",F398,VLOOKUP(MAX(C$2:C398),A$2:F398,2,FALSE)),"")</f>
        <v>XF</v>
      </c>
      <c r="E398" s="1" t="str">
        <f t="shared" si="13"/>
        <v/>
      </c>
    </row>
    <row r="399" spans="1:5" x14ac:dyDescent="0.25">
      <c r="A399" s="1">
        <v>398</v>
      </c>
      <c r="B399" s="1" t="str">
        <f>IFERROR(IF(F398&lt;&gt;"",F398,VLOOKUP(MAX(F$2:F398),A$1:B398,2,FALSE)),"")</f>
        <v/>
      </c>
      <c r="C399" s="1" t="str">
        <f t="shared" si="12"/>
        <v/>
      </c>
      <c r="D399" s="1" t="str">
        <f>IFERROR(IF(F399&lt;&gt;"",F399,VLOOKUP(MAX(C$2:C399),A$2:F399,2,FALSE)),"")</f>
        <v>XF</v>
      </c>
      <c r="E399" s="1" t="str">
        <f t="shared" si="13"/>
        <v/>
      </c>
    </row>
    <row r="400" spans="1:5" x14ac:dyDescent="0.25">
      <c r="A400" s="1">
        <v>399</v>
      </c>
      <c r="B400" s="1" t="str">
        <f>IFERROR(IF(F399&lt;&gt;"",F399,VLOOKUP(MAX(F$2:F399),A$1:B399,2,FALSE)),"")</f>
        <v/>
      </c>
      <c r="C400" s="1" t="str">
        <f t="shared" si="12"/>
        <v/>
      </c>
      <c r="D400" s="1" t="str">
        <f>IFERROR(IF(F400&lt;&gt;"",F400,VLOOKUP(MAX(C$2:C400),A$2:F400,2,FALSE)),"")</f>
        <v>XF</v>
      </c>
      <c r="E400" s="1" t="str">
        <f t="shared" si="13"/>
        <v/>
      </c>
    </row>
    <row r="401" spans="1:5" x14ac:dyDescent="0.25">
      <c r="A401" s="1">
        <v>400</v>
      </c>
      <c r="B401" s="1" t="str">
        <f>IFERROR(IF(F400&lt;&gt;"",F400,VLOOKUP(MAX(F$2:F400),A$1:B400,2,FALSE)),"")</f>
        <v/>
      </c>
      <c r="C401" s="1" t="str">
        <f t="shared" si="12"/>
        <v/>
      </c>
      <c r="D401" s="1" t="str">
        <f>IFERROR(IF(F401&lt;&gt;"",F401,VLOOKUP(MAX(C$2:C401),A$2:F401,2,FALSE)),"")</f>
        <v>XF</v>
      </c>
      <c r="E401" s="1" t="str">
        <f t="shared" si="13"/>
        <v/>
      </c>
    </row>
    <row r="402" spans="1:5" x14ac:dyDescent="0.25">
      <c r="A402" s="1">
        <v>401</v>
      </c>
      <c r="B402" s="1" t="str">
        <f>IFERROR(IF(F401&lt;&gt;"",F401,VLOOKUP(MAX(F$2:F401),A$1:B401,2,FALSE)),"")</f>
        <v/>
      </c>
      <c r="C402" s="1" t="str">
        <f t="shared" si="12"/>
        <v/>
      </c>
      <c r="D402" s="1" t="str">
        <f>IFERROR(IF(F402&lt;&gt;"",F402,VLOOKUP(MAX(C$2:C402),A$2:F402,2,FALSE)),"")</f>
        <v>XF</v>
      </c>
      <c r="E402" s="1" t="str">
        <f t="shared" si="13"/>
        <v/>
      </c>
    </row>
    <row r="403" spans="1:5" x14ac:dyDescent="0.25">
      <c r="A403" s="1">
        <v>402</v>
      </c>
      <c r="B403" s="1" t="str">
        <f>IFERROR(IF(F402&lt;&gt;"",F402,VLOOKUP(MAX(F$2:F402),A$1:B402,2,FALSE)),"")</f>
        <v/>
      </c>
      <c r="C403" s="1" t="str">
        <f t="shared" si="12"/>
        <v/>
      </c>
      <c r="D403" s="1" t="str">
        <f>IFERROR(IF(F403&lt;&gt;"",F403,VLOOKUP(MAX(C$2:C403),A$2:F403,2,FALSE)),"")</f>
        <v>XF</v>
      </c>
      <c r="E403" s="1" t="str">
        <f t="shared" si="13"/>
        <v/>
      </c>
    </row>
    <row r="404" spans="1:5" x14ac:dyDescent="0.25">
      <c r="A404" s="1">
        <v>403</v>
      </c>
      <c r="B404" s="1" t="str">
        <f>IFERROR(IF(F403&lt;&gt;"",F403,VLOOKUP(MAX(F$2:F403),A$1:B403,2,FALSE)),"")</f>
        <v/>
      </c>
      <c r="C404" s="1" t="str">
        <f t="shared" si="12"/>
        <v/>
      </c>
      <c r="D404" s="1" t="str">
        <f>IFERROR(IF(F404&lt;&gt;"",F404,VLOOKUP(MAX(C$2:C404),A$2:F404,2,FALSE)),"")</f>
        <v>XF</v>
      </c>
      <c r="E404" s="1" t="str">
        <f t="shared" si="13"/>
        <v/>
      </c>
    </row>
    <row r="405" spans="1:5" x14ac:dyDescent="0.25">
      <c r="A405" s="1">
        <v>404</v>
      </c>
      <c r="B405" s="1" t="str">
        <f>IFERROR(IF(F404&lt;&gt;"",F404,VLOOKUP(MAX(F$2:F404),A$1:B404,2,FALSE)),"")</f>
        <v/>
      </c>
      <c r="C405" s="1" t="str">
        <f t="shared" si="12"/>
        <v/>
      </c>
      <c r="D405" s="1" t="str">
        <f>IFERROR(IF(F405&lt;&gt;"",F405,VLOOKUP(MAX(C$2:C405),A$2:F405,2,FALSE)),"")</f>
        <v>XF</v>
      </c>
      <c r="E405" s="1" t="str">
        <f t="shared" si="13"/>
        <v/>
      </c>
    </row>
    <row r="406" spans="1:5" x14ac:dyDescent="0.25">
      <c r="A406" s="1">
        <v>405</v>
      </c>
      <c r="B406" s="1" t="str">
        <f>IFERROR(IF(F405&lt;&gt;"",F405,VLOOKUP(MAX(F$2:F405),A$1:B405,2,FALSE)),"")</f>
        <v/>
      </c>
      <c r="C406" s="1" t="str">
        <f t="shared" si="12"/>
        <v/>
      </c>
      <c r="D406" s="1" t="str">
        <f>IFERROR(IF(F406&lt;&gt;"",F406,VLOOKUP(MAX(C$2:C406),A$2:F406,2,FALSE)),"")</f>
        <v>XF</v>
      </c>
      <c r="E406" s="1" t="str">
        <f t="shared" si="13"/>
        <v/>
      </c>
    </row>
    <row r="407" spans="1:5" x14ac:dyDescent="0.25">
      <c r="A407" s="1">
        <v>406</v>
      </c>
      <c r="B407" s="1" t="str">
        <f>IFERROR(IF(F406&lt;&gt;"",F406,VLOOKUP(MAX(F$2:F406),A$1:B406,2,FALSE)),"")</f>
        <v/>
      </c>
      <c r="C407" s="1" t="str">
        <f t="shared" si="12"/>
        <v/>
      </c>
      <c r="D407" s="1" t="str">
        <f>IFERROR(IF(F407&lt;&gt;"",F407,VLOOKUP(MAX(C$2:C407),A$2:F407,2,FALSE)),"")</f>
        <v>XF</v>
      </c>
      <c r="E407" s="1" t="str">
        <f t="shared" si="13"/>
        <v/>
      </c>
    </row>
    <row r="408" spans="1:5" x14ac:dyDescent="0.25">
      <c r="A408" s="1">
        <v>407</v>
      </c>
      <c r="B408" s="1" t="str">
        <f>IFERROR(IF(F407&lt;&gt;"",F407,VLOOKUP(MAX(F$2:F407),A$1:B407,2,FALSE)),"")</f>
        <v/>
      </c>
      <c r="C408" s="1" t="str">
        <f t="shared" si="12"/>
        <v/>
      </c>
      <c r="D408" s="1" t="str">
        <f>IFERROR(IF(F408&lt;&gt;"",F408,VLOOKUP(MAX(C$2:C408),A$2:F408,2,FALSE)),"")</f>
        <v>XF</v>
      </c>
      <c r="E408" s="1" t="str">
        <f t="shared" si="13"/>
        <v/>
      </c>
    </row>
    <row r="409" spans="1:5" x14ac:dyDescent="0.25">
      <c r="A409" s="1">
        <v>408</v>
      </c>
      <c r="B409" s="1" t="str">
        <f>IFERROR(IF(F408&lt;&gt;"",F408,VLOOKUP(MAX(F$2:F408),A$1:B408,2,FALSE)),"")</f>
        <v/>
      </c>
      <c r="C409" s="1" t="str">
        <f t="shared" si="12"/>
        <v/>
      </c>
      <c r="D409" s="1" t="str">
        <f>IFERROR(IF(F409&lt;&gt;"",F409,VLOOKUP(MAX(C$2:C409),A$2:F409,2,FALSE)),"")</f>
        <v>XF</v>
      </c>
      <c r="E409" s="1" t="str">
        <f t="shared" si="13"/>
        <v/>
      </c>
    </row>
    <row r="410" spans="1:5" x14ac:dyDescent="0.25">
      <c r="A410" s="1">
        <v>409</v>
      </c>
      <c r="B410" s="1" t="str">
        <f>IFERROR(IF(F409&lt;&gt;"",F409,VLOOKUP(MAX(F$2:F409),A$1:B409,2,FALSE)),"")</f>
        <v/>
      </c>
      <c r="C410" s="1" t="str">
        <f t="shared" si="12"/>
        <v/>
      </c>
      <c r="D410" s="1" t="str">
        <f>IFERROR(IF(F410&lt;&gt;"",F410,VLOOKUP(MAX(C$2:C410),A$2:F410,2,FALSE)),"")</f>
        <v>XF</v>
      </c>
      <c r="E410" s="1" t="str">
        <f t="shared" si="13"/>
        <v/>
      </c>
    </row>
    <row r="411" spans="1:5" x14ac:dyDescent="0.25">
      <c r="A411" s="1">
        <v>410</v>
      </c>
      <c r="B411" s="1" t="str">
        <f>IFERROR(IF(F410&lt;&gt;"",F410,VLOOKUP(MAX(F$2:F410),A$1:B410,2,FALSE)),"")</f>
        <v/>
      </c>
      <c r="C411" s="1" t="str">
        <f t="shared" si="12"/>
        <v/>
      </c>
      <c r="D411" s="1" t="str">
        <f>IFERROR(IF(F411&lt;&gt;"",F411,VLOOKUP(MAX(C$2:C411),A$2:F411,2,FALSE)),"")</f>
        <v>XF</v>
      </c>
      <c r="E411" s="1" t="str">
        <f t="shared" si="13"/>
        <v/>
      </c>
    </row>
    <row r="412" spans="1:5" x14ac:dyDescent="0.25">
      <c r="A412" s="1">
        <v>411</v>
      </c>
      <c r="B412" s="1" t="str">
        <f>IFERROR(IF(F411&lt;&gt;"",F411,VLOOKUP(MAX(F$2:F411),A$1:B411,2,FALSE)),"")</f>
        <v/>
      </c>
      <c r="C412" s="1" t="str">
        <f t="shared" si="12"/>
        <v/>
      </c>
      <c r="D412" s="1" t="str">
        <f>IFERROR(IF(F412&lt;&gt;"",F412,VLOOKUP(MAX(C$2:C412),A$2:F412,2,FALSE)),"")</f>
        <v>XF</v>
      </c>
      <c r="E412" s="1" t="str">
        <f t="shared" si="13"/>
        <v/>
      </c>
    </row>
    <row r="413" spans="1:5" x14ac:dyDescent="0.25">
      <c r="A413" s="1">
        <v>412</v>
      </c>
      <c r="B413" s="1" t="str">
        <f>IFERROR(IF(F412&lt;&gt;"",F412,VLOOKUP(MAX(F$2:F412),A$1:B412,2,FALSE)),"")</f>
        <v/>
      </c>
      <c r="C413" s="1" t="str">
        <f t="shared" si="12"/>
        <v/>
      </c>
      <c r="D413" s="1" t="str">
        <f>IFERROR(IF(F413&lt;&gt;"",F413,VLOOKUP(MAX(C$2:C413),A$2:F413,2,FALSE)),"")</f>
        <v>XF</v>
      </c>
      <c r="E413" s="1" t="str">
        <f t="shared" si="13"/>
        <v/>
      </c>
    </row>
    <row r="414" spans="1:5" x14ac:dyDescent="0.25">
      <c r="A414" s="1">
        <v>413</v>
      </c>
      <c r="B414" s="1" t="str">
        <f>IFERROR(IF(F413&lt;&gt;"",F413,VLOOKUP(MAX(F$2:F413),A$1:B413,2,FALSE)),"")</f>
        <v/>
      </c>
      <c r="C414" s="1" t="str">
        <f t="shared" si="12"/>
        <v/>
      </c>
      <c r="D414" s="1" t="str">
        <f>IFERROR(IF(F414&lt;&gt;"",F414,VLOOKUP(MAX(C$2:C414),A$2:F414,2,FALSE)),"")</f>
        <v>XF</v>
      </c>
      <c r="E414" s="1" t="str">
        <f t="shared" si="13"/>
        <v/>
      </c>
    </row>
    <row r="415" spans="1:5" x14ac:dyDescent="0.25">
      <c r="A415" s="1">
        <v>414</v>
      </c>
      <c r="B415" s="1" t="str">
        <f>IFERROR(IF(F414&lt;&gt;"",F414,VLOOKUP(MAX(F$2:F414),A$1:B414,2,FALSE)),"")</f>
        <v/>
      </c>
      <c r="C415" s="1" t="str">
        <f t="shared" si="12"/>
        <v/>
      </c>
      <c r="D415" s="1" t="str">
        <f>IFERROR(IF(F415&lt;&gt;"",F415,VLOOKUP(MAX(C$2:C415),A$2:F415,2,FALSE)),"")</f>
        <v>XF</v>
      </c>
      <c r="E415" s="1" t="str">
        <f t="shared" si="13"/>
        <v/>
      </c>
    </row>
    <row r="416" spans="1:5" x14ac:dyDescent="0.25">
      <c r="A416" s="1">
        <v>415</v>
      </c>
      <c r="B416" s="1" t="str">
        <f>IFERROR(IF(F415&lt;&gt;"",F415,VLOOKUP(MAX(F$2:F415),A$1:B415,2,FALSE)),"")</f>
        <v/>
      </c>
      <c r="C416" s="1" t="str">
        <f t="shared" si="12"/>
        <v/>
      </c>
      <c r="D416" s="1" t="str">
        <f>IFERROR(IF(F416&lt;&gt;"",F416,VLOOKUP(MAX(C$2:C416),A$2:F416,2,FALSE)),"")</f>
        <v>XF</v>
      </c>
      <c r="E416" s="1" t="str">
        <f t="shared" si="13"/>
        <v/>
      </c>
    </row>
    <row r="417" spans="1:5" x14ac:dyDescent="0.25">
      <c r="A417" s="1">
        <v>416</v>
      </c>
      <c r="B417" s="1" t="str">
        <f>IFERROR(IF(F416&lt;&gt;"",F416,VLOOKUP(MAX(F$2:F416),A$1:B416,2,FALSE)),"")</f>
        <v/>
      </c>
      <c r="C417" s="1" t="str">
        <f t="shared" si="12"/>
        <v/>
      </c>
      <c r="D417" s="1" t="str">
        <f>IFERROR(IF(F417&lt;&gt;"",F417,VLOOKUP(MAX(C$2:C417),A$2:F417,2,FALSE)),"")</f>
        <v>XF</v>
      </c>
      <c r="E417" s="1" t="str">
        <f t="shared" si="13"/>
        <v/>
      </c>
    </row>
    <row r="418" spans="1:5" x14ac:dyDescent="0.25">
      <c r="A418" s="1">
        <v>417</v>
      </c>
      <c r="B418" s="1" t="str">
        <f>IFERROR(IF(F417&lt;&gt;"",F417,VLOOKUP(MAX(F$2:F417),A$1:B417,2,FALSE)),"")</f>
        <v/>
      </c>
      <c r="C418" s="1" t="str">
        <f t="shared" si="12"/>
        <v/>
      </c>
      <c r="D418" s="1" t="str">
        <f>IFERROR(IF(F418&lt;&gt;"",F418,VLOOKUP(MAX(C$2:C418),A$2:F418,2,FALSE)),"")</f>
        <v>XF</v>
      </c>
      <c r="E418" s="1" t="str">
        <f t="shared" si="13"/>
        <v/>
      </c>
    </row>
    <row r="419" spans="1:5" x14ac:dyDescent="0.25">
      <c r="A419" s="1">
        <v>418</v>
      </c>
      <c r="B419" s="1" t="str">
        <f>IFERROR(IF(F418&lt;&gt;"",F418,VLOOKUP(MAX(F$2:F418),A$1:B418,2,FALSE)),"")</f>
        <v/>
      </c>
      <c r="C419" s="1" t="str">
        <f t="shared" si="12"/>
        <v/>
      </c>
      <c r="D419" s="1" t="str">
        <f>IFERROR(IF(F419&lt;&gt;"",F419,VLOOKUP(MAX(C$2:C419),A$2:F419,2,FALSE)),"")</f>
        <v>XF</v>
      </c>
      <c r="E419" s="1" t="str">
        <f t="shared" si="13"/>
        <v/>
      </c>
    </row>
    <row r="420" spans="1:5" x14ac:dyDescent="0.25">
      <c r="A420" s="1">
        <v>419</v>
      </c>
      <c r="B420" s="1" t="str">
        <f>IFERROR(IF(F419&lt;&gt;"",F419,VLOOKUP(MAX(F$2:F419),A$1:B419,2,FALSE)),"")</f>
        <v/>
      </c>
      <c r="C420" s="1" t="str">
        <f t="shared" si="12"/>
        <v/>
      </c>
      <c r="D420" s="1" t="str">
        <f>IFERROR(IF(F420&lt;&gt;"",F420,VLOOKUP(MAX(C$2:C420),A$2:F420,2,FALSE)),"")</f>
        <v>XF</v>
      </c>
      <c r="E420" s="1" t="str">
        <f t="shared" si="13"/>
        <v/>
      </c>
    </row>
    <row r="421" spans="1:5" x14ac:dyDescent="0.25">
      <c r="A421" s="1">
        <v>420</v>
      </c>
      <c r="B421" s="1" t="str">
        <f>IFERROR(IF(F420&lt;&gt;"",F420,VLOOKUP(MAX(F$2:F420),A$1:B420,2,FALSE)),"")</f>
        <v/>
      </c>
      <c r="C421" s="1" t="str">
        <f t="shared" si="12"/>
        <v/>
      </c>
      <c r="D421" s="1" t="str">
        <f>IFERROR(IF(F421&lt;&gt;"",F421,VLOOKUP(MAX(C$2:C421),A$2:F421,2,FALSE)),"")</f>
        <v>XF</v>
      </c>
      <c r="E421" s="1" t="str">
        <f t="shared" si="13"/>
        <v/>
      </c>
    </row>
    <row r="422" spans="1:5" x14ac:dyDescent="0.25">
      <c r="A422" s="1">
        <v>421</v>
      </c>
      <c r="B422" s="1" t="str">
        <f>IFERROR(IF(F421&lt;&gt;"",F421,VLOOKUP(MAX(F$2:F421),A$1:B421,2,FALSE)),"")</f>
        <v/>
      </c>
      <c r="C422" s="1" t="str">
        <f t="shared" si="12"/>
        <v/>
      </c>
      <c r="D422" s="1" t="str">
        <f>IFERROR(IF(F422&lt;&gt;"",F422,VLOOKUP(MAX(C$2:C422),A$2:F422,2,FALSE)),"")</f>
        <v>XF</v>
      </c>
      <c r="E422" s="1" t="str">
        <f t="shared" si="13"/>
        <v/>
      </c>
    </row>
    <row r="423" spans="1:5" x14ac:dyDescent="0.25">
      <c r="A423" s="1">
        <v>422</v>
      </c>
      <c r="B423" s="1" t="str">
        <f>IFERROR(IF(F422&lt;&gt;"",F422,VLOOKUP(MAX(F$2:F422),A$1:B422,2,FALSE)),"")</f>
        <v/>
      </c>
      <c r="C423" s="1" t="str">
        <f t="shared" si="12"/>
        <v/>
      </c>
      <c r="D423" s="1" t="str">
        <f>IFERROR(IF(F423&lt;&gt;"",F423,VLOOKUP(MAX(C$2:C423),A$2:F423,2,FALSE)),"")</f>
        <v>XF</v>
      </c>
      <c r="E423" s="1" t="str">
        <f t="shared" si="13"/>
        <v/>
      </c>
    </row>
    <row r="424" spans="1:5" x14ac:dyDescent="0.25">
      <c r="A424" s="1">
        <v>423</v>
      </c>
      <c r="B424" s="1" t="str">
        <f>IFERROR(IF(F423&lt;&gt;"",F423,VLOOKUP(MAX(F$2:F423),A$1:B423,2,FALSE)),"")</f>
        <v/>
      </c>
      <c r="C424" s="1" t="str">
        <f t="shared" si="12"/>
        <v/>
      </c>
      <c r="D424" s="1" t="str">
        <f>IFERROR(IF(F424&lt;&gt;"",F424,VLOOKUP(MAX(C$2:C424),A$2:F424,2,FALSE)),"")</f>
        <v>XF</v>
      </c>
      <c r="E424" s="1" t="str">
        <f t="shared" si="13"/>
        <v/>
      </c>
    </row>
    <row r="425" spans="1:5" x14ac:dyDescent="0.25">
      <c r="A425" s="1">
        <v>424</v>
      </c>
      <c r="B425" s="1" t="str">
        <f>IFERROR(IF(F424&lt;&gt;"",F424,VLOOKUP(MAX(F$2:F424),A$1:B424,2,FALSE)),"")</f>
        <v/>
      </c>
      <c r="C425" s="1" t="str">
        <f t="shared" si="12"/>
        <v/>
      </c>
      <c r="D425" s="1" t="str">
        <f>IFERROR(IF(F425&lt;&gt;"",F425,VLOOKUP(MAX(C$2:C425),A$2:F425,2,FALSE)),"")</f>
        <v>XF</v>
      </c>
      <c r="E425" s="1" t="str">
        <f t="shared" si="13"/>
        <v/>
      </c>
    </row>
    <row r="426" spans="1:5" x14ac:dyDescent="0.25">
      <c r="A426" s="1">
        <v>425</v>
      </c>
      <c r="B426" s="1" t="str">
        <f>IFERROR(IF(F425&lt;&gt;"",F425,VLOOKUP(MAX(F$2:F425),A$1:B425,2,FALSE)),"")</f>
        <v/>
      </c>
      <c r="C426" s="1" t="str">
        <f t="shared" si="12"/>
        <v/>
      </c>
      <c r="D426" s="1" t="str">
        <f>IFERROR(IF(F426&lt;&gt;"",F426,VLOOKUP(MAX(C$2:C426),A$2:F426,2,FALSE)),"")</f>
        <v>XF</v>
      </c>
      <c r="E426" s="1" t="str">
        <f t="shared" si="13"/>
        <v/>
      </c>
    </row>
    <row r="427" spans="1:5" x14ac:dyDescent="0.25">
      <c r="A427" s="1">
        <v>426</v>
      </c>
      <c r="B427" s="1" t="str">
        <f>IFERROR(IF(F426&lt;&gt;"",F426,VLOOKUP(MAX(F$2:F426),A$1:B426,2,FALSE)),"")</f>
        <v/>
      </c>
      <c r="C427" s="1" t="str">
        <f t="shared" si="12"/>
        <v/>
      </c>
      <c r="D427" s="1" t="str">
        <f>IFERROR(IF(F427&lt;&gt;"",F427,VLOOKUP(MAX(C$2:C427),A$2:F427,2,FALSE)),"")</f>
        <v>XF</v>
      </c>
      <c r="E427" s="1" t="str">
        <f t="shared" si="13"/>
        <v/>
      </c>
    </row>
    <row r="428" spans="1:5" x14ac:dyDescent="0.25">
      <c r="A428" s="1">
        <v>427</v>
      </c>
      <c r="B428" s="1" t="str">
        <f>IFERROR(IF(F427&lt;&gt;"",F427,VLOOKUP(MAX(F$2:F427),A$1:B427,2,FALSE)),"")</f>
        <v/>
      </c>
      <c r="C428" s="1" t="str">
        <f t="shared" si="12"/>
        <v/>
      </c>
      <c r="D428" s="1" t="str">
        <f>IFERROR(IF(F428&lt;&gt;"",F428,VLOOKUP(MAX(C$2:C428),A$2:F428,2,FALSE)),"")</f>
        <v>XF</v>
      </c>
      <c r="E428" s="1" t="str">
        <f t="shared" si="13"/>
        <v/>
      </c>
    </row>
    <row r="429" spans="1:5" x14ac:dyDescent="0.25">
      <c r="A429" s="1">
        <v>428</v>
      </c>
      <c r="B429" s="1" t="str">
        <f>IFERROR(IF(F428&lt;&gt;"",F428,VLOOKUP(MAX(F$2:F428),A$1:B428,2,FALSE)),"")</f>
        <v/>
      </c>
      <c r="C429" s="1" t="str">
        <f t="shared" si="12"/>
        <v/>
      </c>
      <c r="D429" s="1" t="str">
        <f>IFERROR(IF(F429&lt;&gt;"",F429,VLOOKUP(MAX(C$2:C429),A$2:F429,2,FALSE)),"")</f>
        <v>XF</v>
      </c>
      <c r="E429" s="1" t="str">
        <f t="shared" si="13"/>
        <v/>
      </c>
    </row>
    <row r="430" spans="1:5" x14ac:dyDescent="0.25">
      <c r="A430" s="1">
        <v>429</v>
      </c>
      <c r="B430" s="1" t="str">
        <f>IFERROR(IF(F429&lt;&gt;"",F429,VLOOKUP(MAX(F$2:F429),A$1:B429,2,FALSE)),"")</f>
        <v/>
      </c>
      <c r="C430" s="1" t="str">
        <f t="shared" si="12"/>
        <v/>
      </c>
      <c r="D430" s="1" t="str">
        <f>IFERROR(IF(F430&lt;&gt;"",F430,VLOOKUP(MAX(C$2:C430),A$2:F430,2,FALSE)),"")</f>
        <v>XF</v>
      </c>
      <c r="E430" s="1" t="str">
        <f t="shared" si="13"/>
        <v/>
      </c>
    </row>
    <row r="431" spans="1:5" x14ac:dyDescent="0.25">
      <c r="A431" s="1">
        <v>430</v>
      </c>
      <c r="B431" s="1" t="str">
        <f>IFERROR(IF(F430&lt;&gt;"",F430,VLOOKUP(MAX(F$2:F430),A$1:B430,2,FALSE)),"")</f>
        <v/>
      </c>
      <c r="C431" s="1" t="str">
        <f t="shared" si="12"/>
        <v/>
      </c>
      <c r="D431" s="1" t="str">
        <f>IFERROR(IF(F431&lt;&gt;"",F431,VLOOKUP(MAX(C$2:C431),A$2:F431,2,FALSE)),"")</f>
        <v>XF</v>
      </c>
      <c r="E431" s="1" t="str">
        <f t="shared" si="13"/>
        <v/>
      </c>
    </row>
    <row r="432" spans="1:5" x14ac:dyDescent="0.25">
      <c r="A432" s="1">
        <v>431</v>
      </c>
      <c r="B432" s="1" t="str">
        <f>IFERROR(IF(F431&lt;&gt;"",F431,VLOOKUP(MAX(F$2:F431),A$1:B431,2,FALSE)),"")</f>
        <v/>
      </c>
      <c r="C432" s="1" t="str">
        <f t="shared" si="12"/>
        <v/>
      </c>
      <c r="D432" s="1" t="str">
        <f>IFERROR(IF(F432&lt;&gt;"",F432,VLOOKUP(MAX(C$2:C432),A$2:F432,2,FALSE)),"")</f>
        <v>XF</v>
      </c>
      <c r="E432" s="1" t="str">
        <f t="shared" si="13"/>
        <v/>
      </c>
    </row>
    <row r="433" spans="1:5" x14ac:dyDescent="0.25">
      <c r="A433" s="1">
        <v>432</v>
      </c>
      <c r="B433" s="1" t="str">
        <f>IFERROR(IF(F432&lt;&gt;"",F432,VLOOKUP(MAX(F$2:F432),A$1:B432,2,FALSE)),"")</f>
        <v/>
      </c>
      <c r="C433" s="1" t="str">
        <f t="shared" si="12"/>
        <v/>
      </c>
      <c r="D433" s="1" t="str">
        <f>IFERROR(IF(F433&lt;&gt;"",F433,VLOOKUP(MAX(C$2:C433),A$2:F433,2,FALSE)),"")</f>
        <v>XF</v>
      </c>
      <c r="E433" s="1" t="str">
        <f t="shared" si="13"/>
        <v/>
      </c>
    </row>
    <row r="434" spans="1:5" x14ac:dyDescent="0.25">
      <c r="A434" s="1">
        <v>433</v>
      </c>
      <c r="B434" s="1" t="str">
        <f>IFERROR(IF(F433&lt;&gt;"",F433,VLOOKUP(MAX(F$2:F433),A$1:B433,2,FALSE)),"")</f>
        <v/>
      </c>
      <c r="C434" s="1" t="str">
        <f t="shared" si="12"/>
        <v/>
      </c>
      <c r="D434" s="1" t="str">
        <f>IFERROR(IF(F434&lt;&gt;"",F434,VLOOKUP(MAX(C$2:C434),A$2:F434,2,FALSE)),"")</f>
        <v>XF</v>
      </c>
      <c r="E434" s="1" t="str">
        <f t="shared" si="13"/>
        <v/>
      </c>
    </row>
    <row r="435" spans="1:5" x14ac:dyDescent="0.25">
      <c r="A435" s="1">
        <v>434</v>
      </c>
      <c r="B435" s="1" t="str">
        <f>IFERROR(IF(F434&lt;&gt;"",F434,VLOOKUP(MAX(F$2:F434),A$1:B434,2,FALSE)),"")</f>
        <v/>
      </c>
      <c r="C435" s="1" t="str">
        <f t="shared" si="12"/>
        <v/>
      </c>
      <c r="D435" s="1" t="str">
        <f>IFERROR(IF(F435&lt;&gt;"",F435,VLOOKUP(MAX(C$2:C435),A$2:F435,2,FALSE)),"")</f>
        <v>XF</v>
      </c>
      <c r="E435" s="1" t="str">
        <f t="shared" si="13"/>
        <v/>
      </c>
    </row>
    <row r="436" spans="1:5" x14ac:dyDescent="0.25">
      <c r="A436" s="1">
        <v>435</v>
      </c>
      <c r="B436" s="1" t="str">
        <f>IFERROR(IF(F435&lt;&gt;"",F435,VLOOKUP(MAX(F$2:F435),A$1:B435,2,FALSE)),"")</f>
        <v/>
      </c>
      <c r="C436" s="1" t="str">
        <f t="shared" si="12"/>
        <v/>
      </c>
      <c r="D436" s="1" t="str">
        <f>IFERROR(IF(F436&lt;&gt;"",F436,VLOOKUP(MAX(C$2:C436),A$2:F436,2,FALSE)),"")</f>
        <v>XF</v>
      </c>
      <c r="E436" s="1" t="str">
        <f t="shared" si="13"/>
        <v/>
      </c>
    </row>
    <row r="437" spans="1:5" x14ac:dyDescent="0.25">
      <c r="A437" s="1">
        <v>436</v>
      </c>
      <c r="B437" s="1" t="str">
        <f>IFERROR(IF(F436&lt;&gt;"",F436,VLOOKUP(MAX(F$2:F436),A$1:B436,2,FALSE)),"")</f>
        <v/>
      </c>
      <c r="C437" s="1" t="str">
        <f t="shared" si="12"/>
        <v/>
      </c>
      <c r="D437" s="1" t="str">
        <f>IFERROR(IF(F437&lt;&gt;"",F437,VLOOKUP(MAX(C$2:C437),A$2:F437,2,FALSE)),"")</f>
        <v>XF</v>
      </c>
      <c r="E437" s="1" t="str">
        <f t="shared" si="13"/>
        <v/>
      </c>
    </row>
    <row r="438" spans="1:5" x14ac:dyDescent="0.25">
      <c r="A438" s="1">
        <v>437</v>
      </c>
      <c r="B438" s="1" t="str">
        <f>IFERROR(IF(F437&lt;&gt;"",F437,VLOOKUP(MAX(F$2:F437),A$1:B437,2,FALSE)),"")</f>
        <v/>
      </c>
      <c r="C438" s="1" t="str">
        <f t="shared" si="12"/>
        <v/>
      </c>
      <c r="D438" s="1" t="str">
        <f>IFERROR(IF(F438&lt;&gt;"",F438,VLOOKUP(MAX(C$2:C438),A$2:F438,2,FALSE)),"")</f>
        <v>XF</v>
      </c>
      <c r="E438" s="1" t="str">
        <f t="shared" si="13"/>
        <v/>
      </c>
    </row>
    <row r="439" spans="1:5" x14ac:dyDescent="0.25">
      <c r="A439" s="1">
        <v>438</v>
      </c>
      <c r="B439" s="1" t="str">
        <f>IFERROR(IF(F438&lt;&gt;"",F438,VLOOKUP(MAX(F$2:F438),A$1:B438,2,FALSE)),"")</f>
        <v/>
      </c>
      <c r="C439" s="1" t="str">
        <f t="shared" si="12"/>
        <v/>
      </c>
      <c r="D439" s="1" t="str">
        <f>IFERROR(IF(F439&lt;&gt;"",F439,VLOOKUP(MAX(C$2:C439),A$2:F439,2,FALSE)),"")</f>
        <v>XF</v>
      </c>
      <c r="E439" s="1" t="str">
        <f t="shared" si="13"/>
        <v/>
      </c>
    </row>
    <row r="440" spans="1:5" x14ac:dyDescent="0.25">
      <c r="A440" s="1">
        <v>439</v>
      </c>
      <c r="B440" s="1" t="str">
        <f>IFERROR(IF(F439&lt;&gt;"",F439,VLOOKUP(MAX(F$2:F439),A$1:B439,2,FALSE)),"")</f>
        <v/>
      </c>
      <c r="C440" s="1" t="str">
        <f t="shared" si="12"/>
        <v/>
      </c>
      <c r="D440" s="1" t="str">
        <f>IFERROR(IF(F440&lt;&gt;"",F440,VLOOKUP(MAX(C$2:C440),A$2:F440,2,FALSE)),"")</f>
        <v>XF</v>
      </c>
      <c r="E440" s="1" t="str">
        <f t="shared" si="13"/>
        <v/>
      </c>
    </row>
    <row r="441" spans="1:5" x14ac:dyDescent="0.25">
      <c r="A441" s="1">
        <v>440</v>
      </c>
      <c r="B441" s="1" t="str">
        <f>IFERROR(IF(F440&lt;&gt;"",F440,VLOOKUP(MAX(F$2:F440),A$1:B440,2,FALSE)),"")</f>
        <v/>
      </c>
      <c r="C441" s="1" t="str">
        <f t="shared" si="12"/>
        <v/>
      </c>
      <c r="D441" s="1" t="str">
        <f>IFERROR(IF(F441&lt;&gt;"",F441,VLOOKUP(MAX(C$2:C441),A$2:F441,2,FALSE)),"")</f>
        <v>XF</v>
      </c>
      <c r="E441" s="1" t="str">
        <f t="shared" si="13"/>
        <v/>
      </c>
    </row>
    <row r="442" spans="1:5" x14ac:dyDescent="0.25">
      <c r="A442" s="1">
        <v>441</v>
      </c>
      <c r="B442" s="1" t="str">
        <f>IFERROR(IF(F441&lt;&gt;"",F441,VLOOKUP(MAX(F$2:F441),A$1:B441,2,FALSE)),"")</f>
        <v/>
      </c>
      <c r="C442" s="1" t="str">
        <f t="shared" si="12"/>
        <v/>
      </c>
      <c r="D442" s="1" t="str">
        <f>IFERROR(IF(F442&lt;&gt;"",F442,VLOOKUP(MAX(C$2:C442),A$2:F442,2,FALSE)),"")</f>
        <v>XF</v>
      </c>
      <c r="E442" s="1" t="str">
        <f t="shared" si="13"/>
        <v/>
      </c>
    </row>
    <row r="443" spans="1:5" x14ac:dyDescent="0.25">
      <c r="A443" s="1">
        <v>442</v>
      </c>
      <c r="B443" s="1" t="str">
        <f>IFERROR(IF(F442&lt;&gt;"",F442,VLOOKUP(MAX(F$2:F442),A$1:B442,2,FALSE)),"")</f>
        <v/>
      </c>
      <c r="C443" s="1" t="str">
        <f t="shared" si="12"/>
        <v/>
      </c>
      <c r="D443" s="1" t="str">
        <f>IFERROR(IF(F443&lt;&gt;"",F443,VLOOKUP(MAX(C$2:C443),A$2:F443,2,FALSE)),"")</f>
        <v>XF</v>
      </c>
      <c r="E443" s="1" t="str">
        <f t="shared" si="13"/>
        <v/>
      </c>
    </row>
    <row r="444" spans="1:5" x14ac:dyDescent="0.25">
      <c r="A444" s="1">
        <v>443</v>
      </c>
      <c r="B444" s="1" t="str">
        <f>IFERROR(IF(F443&lt;&gt;"",F443,VLOOKUP(MAX(F$2:F443),A$1:B443,2,FALSE)),"")</f>
        <v/>
      </c>
      <c r="C444" s="1" t="str">
        <f t="shared" si="12"/>
        <v/>
      </c>
      <c r="D444" s="1" t="str">
        <f>IFERROR(IF(F444&lt;&gt;"",F444,VLOOKUP(MAX(C$2:C444),A$2:F444,2,FALSE)),"")</f>
        <v>XF</v>
      </c>
      <c r="E444" s="1" t="str">
        <f t="shared" si="13"/>
        <v/>
      </c>
    </row>
    <row r="445" spans="1:5" x14ac:dyDescent="0.25">
      <c r="A445" s="1">
        <v>444</v>
      </c>
      <c r="B445" s="1" t="str">
        <f>IFERROR(IF(F444&lt;&gt;"",F444,VLOOKUP(MAX(F$2:F444),A$1:B444,2,FALSE)),"")</f>
        <v/>
      </c>
      <c r="C445" s="1" t="str">
        <f t="shared" si="12"/>
        <v/>
      </c>
      <c r="D445" s="1" t="str">
        <f>IFERROR(IF(F445&lt;&gt;"",F445,VLOOKUP(MAX(C$2:C445),A$2:F445,2,FALSE)),"")</f>
        <v>XF</v>
      </c>
      <c r="E445" s="1" t="str">
        <f t="shared" si="13"/>
        <v/>
      </c>
    </row>
    <row r="446" spans="1:5" x14ac:dyDescent="0.25">
      <c r="A446" s="1">
        <v>445</v>
      </c>
      <c r="B446" s="1" t="str">
        <f>IFERROR(IF(F445&lt;&gt;"",F445,VLOOKUP(MAX(F$2:F445),A$1:B445,2,FALSE)),"")</f>
        <v/>
      </c>
      <c r="C446" s="1" t="str">
        <f t="shared" si="12"/>
        <v/>
      </c>
      <c r="D446" s="1" t="str">
        <f>IFERROR(IF(F446&lt;&gt;"",F446,VLOOKUP(MAX(C$2:C446),A$2:F446,2,FALSE)),"")</f>
        <v>XF</v>
      </c>
      <c r="E446" s="1" t="str">
        <f t="shared" si="13"/>
        <v/>
      </c>
    </row>
    <row r="447" spans="1:5" x14ac:dyDescent="0.25">
      <c r="A447" s="1">
        <v>446</v>
      </c>
      <c r="B447" s="1" t="str">
        <f>IFERROR(IF(F446&lt;&gt;"",F446,VLOOKUP(MAX(F$2:F446),A$1:B446,2,FALSE)),"")</f>
        <v/>
      </c>
      <c r="C447" s="1" t="str">
        <f t="shared" si="12"/>
        <v/>
      </c>
      <c r="D447" s="1" t="str">
        <f>IFERROR(IF(F447&lt;&gt;"",F447,VLOOKUP(MAX(C$2:C447),A$2:F447,2,FALSE)),"")</f>
        <v>XF</v>
      </c>
      <c r="E447" s="1" t="str">
        <f t="shared" si="13"/>
        <v/>
      </c>
    </row>
    <row r="448" spans="1:5" x14ac:dyDescent="0.25">
      <c r="A448" s="1">
        <v>447</v>
      </c>
      <c r="B448" s="1" t="str">
        <f>IFERROR(IF(F447&lt;&gt;"",F447,VLOOKUP(MAX(F$2:F447),A$1:B447,2,FALSE)),"")</f>
        <v/>
      </c>
      <c r="C448" s="1" t="str">
        <f t="shared" si="12"/>
        <v/>
      </c>
      <c r="D448" s="1" t="str">
        <f>IFERROR(IF(F448&lt;&gt;"",F448,VLOOKUP(MAX(C$2:C448),A$2:F448,2,FALSE)),"")</f>
        <v>XF</v>
      </c>
      <c r="E448" s="1" t="str">
        <f t="shared" si="13"/>
        <v/>
      </c>
    </row>
    <row r="449" spans="1:5" x14ac:dyDescent="0.25">
      <c r="A449" s="1">
        <v>448</v>
      </c>
      <c r="B449" s="1" t="str">
        <f>IFERROR(IF(F448&lt;&gt;"",F448,VLOOKUP(MAX(F$2:F448),A$1:B448,2,FALSE)),"")</f>
        <v/>
      </c>
      <c r="C449" s="1" t="str">
        <f t="shared" si="12"/>
        <v/>
      </c>
      <c r="D449" s="1" t="str">
        <f>IFERROR(IF(F449&lt;&gt;"",F449,VLOOKUP(MAX(C$2:C449),A$2:F449,2,FALSE)),"")</f>
        <v>XF</v>
      </c>
      <c r="E449" s="1" t="str">
        <f t="shared" si="13"/>
        <v/>
      </c>
    </row>
    <row r="450" spans="1:5" x14ac:dyDescent="0.25">
      <c r="A450" s="1">
        <v>449</v>
      </c>
      <c r="B450" s="1" t="str">
        <f>IFERROR(IF(F449&lt;&gt;"",F449,VLOOKUP(MAX(F$2:F449),A$1:B449,2,FALSE)),"")</f>
        <v/>
      </c>
      <c r="C450" s="1" t="str">
        <f t="shared" ref="C450:C513" si="14">IF(F450&lt;&gt;"",A450,"")</f>
        <v/>
      </c>
      <c r="D450" s="1" t="str">
        <f>IFERROR(IF(F450&lt;&gt;"",F450,VLOOKUP(MAX(C$2:C450),A$2:F450,2,FALSE)),"")</f>
        <v>XF</v>
      </c>
      <c r="E450" s="1" t="str">
        <f t="shared" si="13"/>
        <v/>
      </c>
    </row>
    <row r="451" spans="1:5" x14ac:dyDescent="0.25">
      <c r="A451" s="1">
        <v>450</v>
      </c>
      <c r="B451" s="1" t="str">
        <f>IFERROR(IF(F450&lt;&gt;"",F450,VLOOKUP(MAX(F$2:F450),A$1:B450,2,FALSE)),"")</f>
        <v/>
      </c>
      <c r="C451" s="1" t="str">
        <f t="shared" si="14"/>
        <v/>
      </c>
      <c r="D451" s="1" t="str">
        <f>IFERROR(IF(F451&lt;&gt;"",F451,VLOOKUP(MAX(C$2:C451),A$2:F451,2,FALSE)),"")</f>
        <v>XF</v>
      </c>
      <c r="E451" s="1" t="str">
        <f t="shared" si="13"/>
        <v/>
      </c>
    </row>
    <row r="452" spans="1:5" x14ac:dyDescent="0.25">
      <c r="A452" s="1">
        <v>451</v>
      </c>
      <c r="B452" s="1" t="str">
        <f>IFERROR(IF(F451&lt;&gt;"",F451,VLOOKUP(MAX(F$2:F451),A$1:B451,2,FALSE)),"")</f>
        <v/>
      </c>
      <c r="C452" s="1" t="str">
        <f t="shared" si="14"/>
        <v/>
      </c>
      <c r="D452" s="1" t="str">
        <f>IFERROR(IF(F452&lt;&gt;"",F452,VLOOKUP(MAX(C$2:C452),A$2:F452,2,FALSE)),"")</f>
        <v>XF</v>
      </c>
      <c r="E452" s="1" t="str">
        <f t="shared" ref="E452:E515" si="15">IF(H452&lt;&gt;"",CONCATENATE(D452,".",H452),"")</f>
        <v/>
      </c>
    </row>
    <row r="453" spans="1:5" x14ac:dyDescent="0.25">
      <c r="A453" s="1">
        <v>452</v>
      </c>
      <c r="B453" s="1" t="str">
        <f>IFERROR(IF(F452&lt;&gt;"",F452,VLOOKUP(MAX(F$2:F452),A$1:B452,2,FALSE)),"")</f>
        <v/>
      </c>
      <c r="C453" s="1" t="str">
        <f t="shared" si="14"/>
        <v/>
      </c>
      <c r="D453" s="1" t="str">
        <f>IFERROR(IF(F453&lt;&gt;"",F453,VLOOKUP(MAX(C$2:C453),A$2:F453,2,FALSE)),"")</f>
        <v>XF</v>
      </c>
      <c r="E453" s="1" t="str">
        <f t="shared" si="15"/>
        <v/>
      </c>
    </row>
    <row r="454" spans="1:5" x14ac:dyDescent="0.25">
      <c r="A454" s="1">
        <v>453</v>
      </c>
      <c r="B454" s="1" t="str">
        <f>IFERROR(IF(F453&lt;&gt;"",F453,VLOOKUP(MAX(F$2:F453),A$1:B453,2,FALSE)),"")</f>
        <v/>
      </c>
      <c r="C454" s="1" t="str">
        <f t="shared" si="14"/>
        <v/>
      </c>
      <c r="D454" s="1" t="str">
        <f>IFERROR(IF(F454&lt;&gt;"",F454,VLOOKUP(MAX(C$2:C454),A$2:F454,2,FALSE)),"")</f>
        <v>XF</v>
      </c>
      <c r="E454" s="1" t="str">
        <f t="shared" si="15"/>
        <v/>
      </c>
    </row>
    <row r="455" spans="1:5" x14ac:dyDescent="0.25">
      <c r="A455" s="1">
        <v>454</v>
      </c>
      <c r="B455" s="1" t="str">
        <f>IFERROR(IF(F454&lt;&gt;"",F454,VLOOKUP(MAX(F$2:F454),A$1:B454,2,FALSE)),"")</f>
        <v/>
      </c>
      <c r="C455" s="1" t="str">
        <f t="shared" si="14"/>
        <v/>
      </c>
      <c r="D455" s="1" t="str">
        <f>IFERROR(IF(F455&lt;&gt;"",F455,VLOOKUP(MAX(C$2:C455),A$2:F455,2,FALSE)),"")</f>
        <v>XF</v>
      </c>
      <c r="E455" s="1" t="str">
        <f t="shared" si="15"/>
        <v/>
      </c>
    </row>
    <row r="456" spans="1:5" x14ac:dyDescent="0.25">
      <c r="A456" s="1">
        <v>455</v>
      </c>
      <c r="B456" s="1" t="str">
        <f>IFERROR(IF(F455&lt;&gt;"",F455,VLOOKUP(MAX(F$2:F455),A$1:B455,2,FALSE)),"")</f>
        <v/>
      </c>
      <c r="C456" s="1" t="str">
        <f t="shared" si="14"/>
        <v/>
      </c>
      <c r="D456" s="1" t="str">
        <f>IFERROR(IF(F456&lt;&gt;"",F456,VLOOKUP(MAX(C$2:C456),A$2:F456,2,FALSE)),"")</f>
        <v>XF</v>
      </c>
      <c r="E456" s="1" t="str">
        <f t="shared" si="15"/>
        <v/>
      </c>
    </row>
    <row r="457" spans="1:5" x14ac:dyDescent="0.25">
      <c r="A457" s="1">
        <v>456</v>
      </c>
      <c r="B457" s="1" t="str">
        <f>IFERROR(IF(F456&lt;&gt;"",F456,VLOOKUP(MAX(F$2:F456),A$1:B456,2,FALSE)),"")</f>
        <v/>
      </c>
      <c r="C457" s="1" t="str">
        <f t="shared" si="14"/>
        <v/>
      </c>
      <c r="D457" s="1" t="str">
        <f>IFERROR(IF(F457&lt;&gt;"",F457,VLOOKUP(MAX(C$2:C457),A$2:F457,2,FALSE)),"")</f>
        <v>XF</v>
      </c>
      <c r="E457" s="1" t="str">
        <f t="shared" si="15"/>
        <v/>
      </c>
    </row>
    <row r="458" spans="1:5" x14ac:dyDescent="0.25">
      <c r="A458" s="1">
        <v>457</v>
      </c>
      <c r="B458" s="1" t="str">
        <f>IFERROR(IF(F457&lt;&gt;"",F457,VLOOKUP(MAX(F$2:F457),A$1:B457,2,FALSE)),"")</f>
        <v/>
      </c>
      <c r="C458" s="1" t="str">
        <f t="shared" si="14"/>
        <v/>
      </c>
      <c r="D458" s="1" t="str">
        <f>IFERROR(IF(F458&lt;&gt;"",F458,VLOOKUP(MAX(C$2:C458),A$2:F458,2,FALSE)),"")</f>
        <v>XF</v>
      </c>
      <c r="E458" s="1" t="str">
        <f t="shared" si="15"/>
        <v/>
      </c>
    </row>
    <row r="459" spans="1:5" x14ac:dyDescent="0.25">
      <c r="A459" s="1">
        <v>458</v>
      </c>
      <c r="B459" s="1" t="str">
        <f>IFERROR(IF(F458&lt;&gt;"",F458,VLOOKUP(MAX(F$2:F458),A$1:B458,2,FALSE)),"")</f>
        <v/>
      </c>
      <c r="C459" s="1" t="str">
        <f t="shared" si="14"/>
        <v/>
      </c>
      <c r="D459" s="1" t="str">
        <f>IFERROR(IF(F459&lt;&gt;"",F459,VLOOKUP(MAX(C$2:C459),A$2:F459,2,FALSE)),"")</f>
        <v>XF</v>
      </c>
      <c r="E459" s="1" t="str">
        <f t="shared" si="15"/>
        <v/>
      </c>
    </row>
    <row r="460" spans="1:5" x14ac:dyDescent="0.25">
      <c r="A460" s="1">
        <v>459</v>
      </c>
      <c r="B460" s="1" t="str">
        <f>IFERROR(IF(F459&lt;&gt;"",F459,VLOOKUP(MAX(F$2:F459),A$1:B459,2,FALSE)),"")</f>
        <v/>
      </c>
      <c r="C460" s="1" t="str">
        <f t="shared" si="14"/>
        <v/>
      </c>
      <c r="D460" s="1" t="str">
        <f>IFERROR(IF(F460&lt;&gt;"",F460,VLOOKUP(MAX(C$2:C460),A$2:F460,2,FALSE)),"")</f>
        <v>XF</v>
      </c>
      <c r="E460" s="1" t="str">
        <f t="shared" si="15"/>
        <v/>
      </c>
    </row>
    <row r="461" spans="1:5" x14ac:dyDescent="0.25">
      <c r="A461" s="1">
        <v>460</v>
      </c>
      <c r="B461" s="1" t="str">
        <f>IFERROR(IF(F460&lt;&gt;"",F460,VLOOKUP(MAX(F$2:F460),A$1:B460,2,FALSE)),"")</f>
        <v/>
      </c>
      <c r="C461" s="1" t="str">
        <f t="shared" si="14"/>
        <v/>
      </c>
      <c r="D461" s="1" t="str">
        <f>IFERROR(IF(F461&lt;&gt;"",F461,VLOOKUP(MAX(C$2:C461),A$2:F461,2,FALSE)),"")</f>
        <v>XF</v>
      </c>
      <c r="E461" s="1" t="str">
        <f t="shared" si="15"/>
        <v/>
      </c>
    </row>
    <row r="462" spans="1:5" x14ac:dyDescent="0.25">
      <c r="A462" s="1">
        <v>461</v>
      </c>
      <c r="B462" s="1" t="str">
        <f>IFERROR(IF(F461&lt;&gt;"",F461,VLOOKUP(MAX(F$2:F461),A$1:B461,2,FALSE)),"")</f>
        <v/>
      </c>
      <c r="C462" s="1" t="str">
        <f t="shared" si="14"/>
        <v/>
      </c>
      <c r="D462" s="1" t="str">
        <f>IFERROR(IF(F462&lt;&gt;"",F462,VLOOKUP(MAX(C$2:C462),A$2:F462,2,FALSE)),"")</f>
        <v>XF</v>
      </c>
      <c r="E462" s="1" t="str">
        <f t="shared" si="15"/>
        <v/>
      </c>
    </row>
    <row r="463" spans="1:5" x14ac:dyDescent="0.25">
      <c r="A463" s="1">
        <v>462</v>
      </c>
      <c r="B463" s="1" t="str">
        <f>IFERROR(IF(F462&lt;&gt;"",F462,VLOOKUP(MAX(F$2:F462),A$1:B462,2,FALSE)),"")</f>
        <v/>
      </c>
      <c r="C463" s="1" t="str">
        <f t="shared" si="14"/>
        <v/>
      </c>
      <c r="D463" s="1" t="str">
        <f>IFERROR(IF(F463&lt;&gt;"",F463,VLOOKUP(MAX(C$2:C463),A$2:F463,2,FALSE)),"")</f>
        <v>XF</v>
      </c>
      <c r="E463" s="1" t="str">
        <f t="shared" si="15"/>
        <v/>
      </c>
    </row>
    <row r="464" spans="1:5" x14ac:dyDescent="0.25">
      <c r="A464" s="1">
        <v>463</v>
      </c>
      <c r="B464" s="1" t="str">
        <f>IFERROR(IF(F463&lt;&gt;"",F463,VLOOKUP(MAX(F$2:F463),A$1:B463,2,FALSE)),"")</f>
        <v/>
      </c>
      <c r="C464" s="1" t="str">
        <f t="shared" si="14"/>
        <v/>
      </c>
      <c r="D464" s="1" t="str">
        <f>IFERROR(IF(F464&lt;&gt;"",F464,VLOOKUP(MAX(C$2:C464),A$2:F464,2,FALSE)),"")</f>
        <v>XF</v>
      </c>
      <c r="E464" s="1" t="str">
        <f t="shared" si="15"/>
        <v/>
      </c>
    </row>
    <row r="465" spans="1:5" x14ac:dyDescent="0.25">
      <c r="A465" s="1">
        <v>464</v>
      </c>
      <c r="B465" s="1" t="str">
        <f>IFERROR(IF(F464&lt;&gt;"",F464,VLOOKUP(MAX(F$2:F464),A$1:B464,2,FALSE)),"")</f>
        <v/>
      </c>
      <c r="C465" s="1" t="str">
        <f t="shared" si="14"/>
        <v/>
      </c>
      <c r="D465" s="1" t="str">
        <f>IFERROR(IF(F465&lt;&gt;"",F465,VLOOKUP(MAX(C$2:C465),A$2:F465,2,FALSE)),"")</f>
        <v>XF</v>
      </c>
      <c r="E465" s="1" t="str">
        <f t="shared" si="15"/>
        <v/>
      </c>
    </row>
    <row r="466" spans="1:5" x14ac:dyDescent="0.25">
      <c r="A466" s="1">
        <v>465</v>
      </c>
      <c r="B466" s="1" t="str">
        <f>IFERROR(IF(F465&lt;&gt;"",F465,VLOOKUP(MAX(F$2:F465),A$1:B465,2,FALSE)),"")</f>
        <v/>
      </c>
      <c r="C466" s="1" t="str">
        <f t="shared" si="14"/>
        <v/>
      </c>
      <c r="D466" s="1" t="str">
        <f>IFERROR(IF(F466&lt;&gt;"",F466,VLOOKUP(MAX(C$2:C466),A$2:F466,2,FALSE)),"")</f>
        <v>XF</v>
      </c>
      <c r="E466" s="1" t="str">
        <f t="shared" si="15"/>
        <v/>
      </c>
    </row>
    <row r="467" spans="1:5" x14ac:dyDescent="0.25">
      <c r="A467" s="1">
        <v>466</v>
      </c>
      <c r="B467" s="1" t="str">
        <f>IFERROR(IF(F466&lt;&gt;"",F466,VLOOKUP(MAX(F$2:F466),A$1:B466,2,FALSE)),"")</f>
        <v/>
      </c>
      <c r="C467" s="1" t="str">
        <f t="shared" si="14"/>
        <v/>
      </c>
      <c r="D467" s="1" t="str">
        <f>IFERROR(IF(F467&lt;&gt;"",F467,VLOOKUP(MAX(C$2:C467),A$2:F467,2,FALSE)),"")</f>
        <v>XF</v>
      </c>
      <c r="E467" s="1" t="str">
        <f t="shared" si="15"/>
        <v/>
      </c>
    </row>
    <row r="468" spans="1:5" x14ac:dyDescent="0.25">
      <c r="A468" s="1">
        <v>467</v>
      </c>
      <c r="B468" s="1" t="str">
        <f>IFERROR(IF(F467&lt;&gt;"",F467,VLOOKUP(MAX(F$2:F467),A$1:B467,2,FALSE)),"")</f>
        <v/>
      </c>
      <c r="C468" s="1" t="str">
        <f t="shared" si="14"/>
        <v/>
      </c>
      <c r="D468" s="1" t="str">
        <f>IFERROR(IF(F468&lt;&gt;"",F468,VLOOKUP(MAX(C$2:C468),A$2:F468,2,FALSE)),"")</f>
        <v>XF</v>
      </c>
      <c r="E468" s="1" t="str">
        <f t="shared" si="15"/>
        <v/>
      </c>
    </row>
    <row r="469" spans="1:5" x14ac:dyDescent="0.25">
      <c r="A469" s="1">
        <v>468</v>
      </c>
      <c r="B469" s="1" t="str">
        <f>IFERROR(IF(F468&lt;&gt;"",F468,VLOOKUP(MAX(F$2:F468),A$1:B468,2,FALSE)),"")</f>
        <v/>
      </c>
      <c r="C469" s="1" t="str">
        <f t="shared" si="14"/>
        <v/>
      </c>
      <c r="D469" s="1" t="str">
        <f>IFERROR(IF(F469&lt;&gt;"",F469,VLOOKUP(MAX(C$2:C469),A$2:F469,2,FALSE)),"")</f>
        <v>XF</v>
      </c>
      <c r="E469" s="1" t="str">
        <f t="shared" si="15"/>
        <v/>
      </c>
    </row>
    <row r="470" spans="1:5" x14ac:dyDescent="0.25">
      <c r="A470" s="1">
        <v>469</v>
      </c>
      <c r="B470" s="1" t="str">
        <f>IFERROR(IF(F469&lt;&gt;"",F469,VLOOKUP(MAX(F$2:F469),A$1:B469,2,FALSE)),"")</f>
        <v/>
      </c>
      <c r="C470" s="1" t="str">
        <f t="shared" si="14"/>
        <v/>
      </c>
      <c r="D470" s="1" t="str">
        <f>IFERROR(IF(F470&lt;&gt;"",F470,VLOOKUP(MAX(C$2:C470),A$2:F470,2,FALSE)),"")</f>
        <v>XF</v>
      </c>
      <c r="E470" s="1" t="str">
        <f t="shared" si="15"/>
        <v/>
      </c>
    </row>
    <row r="471" spans="1:5" x14ac:dyDescent="0.25">
      <c r="A471" s="1">
        <v>470</v>
      </c>
      <c r="B471" s="1" t="str">
        <f>IFERROR(IF(F470&lt;&gt;"",F470,VLOOKUP(MAX(F$2:F470),A$1:B470,2,FALSE)),"")</f>
        <v/>
      </c>
      <c r="C471" s="1" t="str">
        <f t="shared" si="14"/>
        <v/>
      </c>
      <c r="D471" s="1" t="str">
        <f>IFERROR(IF(F471&lt;&gt;"",F471,VLOOKUP(MAX(C$2:C471),A$2:F471,2,FALSE)),"")</f>
        <v>XF</v>
      </c>
      <c r="E471" s="1" t="str">
        <f t="shared" si="15"/>
        <v/>
      </c>
    </row>
    <row r="472" spans="1:5" x14ac:dyDescent="0.25">
      <c r="A472" s="1">
        <v>471</v>
      </c>
      <c r="B472" s="1" t="str">
        <f>IFERROR(IF(F471&lt;&gt;"",F471,VLOOKUP(MAX(F$2:F471),A$1:B471,2,FALSE)),"")</f>
        <v/>
      </c>
      <c r="C472" s="1" t="str">
        <f t="shared" si="14"/>
        <v/>
      </c>
      <c r="D472" s="1" t="str">
        <f>IFERROR(IF(F472&lt;&gt;"",F472,VLOOKUP(MAX(C$2:C472),A$2:F472,2,FALSE)),"")</f>
        <v>XF</v>
      </c>
      <c r="E472" s="1" t="str">
        <f t="shared" si="15"/>
        <v/>
      </c>
    </row>
    <row r="473" spans="1:5" x14ac:dyDescent="0.25">
      <c r="A473" s="1">
        <v>472</v>
      </c>
      <c r="B473" s="1" t="str">
        <f>IFERROR(IF(F472&lt;&gt;"",F472,VLOOKUP(MAX(F$2:F472),A$1:B472,2,FALSE)),"")</f>
        <v/>
      </c>
      <c r="C473" s="1" t="str">
        <f t="shared" si="14"/>
        <v/>
      </c>
      <c r="D473" s="1" t="str">
        <f>IFERROR(IF(F473&lt;&gt;"",F473,VLOOKUP(MAX(C$2:C473),A$2:F473,2,FALSE)),"")</f>
        <v>XF</v>
      </c>
      <c r="E473" s="1" t="str">
        <f t="shared" si="15"/>
        <v/>
      </c>
    </row>
    <row r="474" spans="1:5" x14ac:dyDescent="0.25">
      <c r="A474" s="1">
        <v>473</v>
      </c>
      <c r="B474" s="1" t="str">
        <f>IFERROR(IF(F473&lt;&gt;"",F473,VLOOKUP(MAX(F$2:F473),A$1:B473,2,FALSE)),"")</f>
        <v/>
      </c>
      <c r="C474" s="1" t="str">
        <f t="shared" si="14"/>
        <v/>
      </c>
      <c r="D474" s="1" t="str">
        <f>IFERROR(IF(F474&lt;&gt;"",F474,VLOOKUP(MAX(C$2:C474),A$2:F474,2,FALSE)),"")</f>
        <v>XF</v>
      </c>
      <c r="E474" s="1" t="str">
        <f t="shared" si="15"/>
        <v/>
      </c>
    </row>
    <row r="475" spans="1:5" x14ac:dyDescent="0.25">
      <c r="A475" s="1">
        <v>474</v>
      </c>
      <c r="B475" s="1" t="str">
        <f>IFERROR(IF(F474&lt;&gt;"",F474,VLOOKUP(MAX(F$2:F474),A$1:B474,2,FALSE)),"")</f>
        <v/>
      </c>
      <c r="C475" s="1" t="str">
        <f t="shared" si="14"/>
        <v/>
      </c>
      <c r="D475" s="1" t="str">
        <f>IFERROR(IF(F475&lt;&gt;"",F475,VLOOKUP(MAX(C$2:C475),A$2:F475,2,FALSE)),"")</f>
        <v>XF</v>
      </c>
      <c r="E475" s="1" t="str">
        <f t="shared" si="15"/>
        <v/>
      </c>
    </row>
    <row r="476" spans="1:5" x14ac:dyDescent="0.25">
      <c r="A476" s="1">
        <v>475</v>
      </c>
      <c r="B476" s="1" t="str">
        <f>IFERROR(IF(F475&lt;&gt;"",F475,VLOOKUP(MAX(F$2:F475),A$1:B475,2,FALSE)),"")</f>
        <v/>
      </c>
      <c r="C476" s="1" t="str">
        <f t="shared" si="14"/>
        <v/>
      </c>
      <c r="D476" s="1" t="str">
        <f>IFERROR(IF(F476&lt;&gt;"",F476,VLOOKUP(MAX(C$2:C476),A$2:F476,2,FALSE)),"")</f>
        <v>XF</v>
      </c>
      <c r="E476" s="1" t="str">
        <f t="shared" si="15"/>
        <v/>
      </c>
    </row>
    <row r="477" spans="1:5" x14ac:dyDescent="0.25">
      <c r="A477" s="1">
        <v>476</v>
      </c>
      <c r="B477" s="1" t="str">
        <f>IFERROR(IF(F476&lt;&gt;"",F476,VLOOKUP(MAX(F$2:F476),A$1:B476,2,FALSE)),"")</f>
        <v/>
      </c>
      <c r="C477" s="1" t="str">
        <f t="shared" si="14"/>
        <v/>
      </c>
      <c r="D477" s="1" t="str">
        <f>IFERROR(IF(F477&lt;&gt;"",F477,VLOOKUP(MAX(C$2:C477),A$2:F477,2,FALSE)),"")</f>
        <v>XF</v>
      </c>
      <c r="E477" s="1" t="str">
        <f t="shared" si="15"/>
        <v/>
      </c>
    </row>
    <row r="478" spans="1:5" x14ac:dyDescent="0.25">
      <c r="A478" s="1">
        <v>477</v>
      </c>
      <c r="B478" s="1" t="str">
        <f>IFERROR(IF(F477&lt;&gt;"",F477,VLOOKUP(MAX(F$2:F477),A$1:B477,2,FALSE)),"")</f>
        <v/>
      </c>
      <c r="C478" s="1" t="str">
        <f t="shared" si="14"/>
        <v/>
      </c>
      <c r="D478" s="1" t="str">
        <f>IFERROR(IF(F478&lt;&gt;"",F478,VLOOKUP(MAX(C$2:C478),A$2:F478,2,FALSE)),"")</f>
        <v>XF</v>
      </c>
      <c r="E478" s="1" t="str">
        <f t="shared" si="15"/>
        <v/>
      </c>
    </row>
    <row r="479" spans="1:5" x14ac:dyDescent="0.25">
      <c r="A479" s="1">
        <v>478</v>
      </c>
      <c r="B479" s="1" t="str">
        <f>IFERROR(IF(F478&lt;&gt;"",F478,VLOOKUP(MAX(F$2:F478),A$1:B478,2,FALSE)),"")</f>
        <v/>
      </c>
      <c r="C479" s="1" t="str">
        <f t="shared" si="14"/>
        <v/>
      </c>
      <c r="D479" s="1" t="str">
        <f>IFERROR(IF(F479&lt;&gt;"",F479,VLOOKUP(MAX(C$2:C479),A$2:F479,2,FALSE)),"")</f>
        <v>XF</v>
      </c>
      <c r="E479" s="1" t="str">
        <f t="shared" si="15"/>
        <v/>
      </c>
    </row>
    <row r="480" spans="1:5" x14ac:dyDescent="0.25">
      <c r="A480" s="1">
        <v>479</v>
      </c>
      <c r="B480" s="1" t="str">
        <f>IFERROR(IF(F479&lt;&gt;"",F479,VLOOKUP(MAX(F$2:F479),A$1:B479,2,FALSE)),"")</f>
        <v/>
      </c>
      <c r="C480" s="1" t="str">
        <f t="shared" si="14"/>
        <v/>
      </c>
      <c r="D480" s="1" t="str">
        <f>IFERROR(IF(F480&lt;&gt;"",F480,VLOOKUP(MAX(C$2:C480),A$2:F480,2,FALSE)),"")</f>
        <v>XF</v>
      </c>
      <c r="E480" s="1" t="str">
        <f t="shared" si="15"/>
        <v/>
      </c>
    </row>
    <row r="481" spans="1:5" x14ac:dyDescent="0.25">
      <c r="A481" s="1">
        <v>480</v>
      </c>
      <c r="B481" s="1" t="str">
        <f>IFERROR(IF(F480&lt;&gt;"",F480,VLOOKUP(MAX(F$2:F480),A$1:B480,2,FALSE)),"")</f>
        <v/>
      </c>
      <c r="C481" s="1" t="str">
        <f t="shared" si="14"/>
        <v/>
      </c>
      <c r="D481" s="1" t="str">
        <f>IFERROR(IF(F481&lt;&gt;"",F481,VLOOKUP(MAX(C$2:C481),A$2:F481,2,FALSE)),"")</f>
        <v>XF</v>
      </c>
      <c r="E481" s="1" t="str">
        <f t="shared" si="15"/>
        <v/>
      </c>
    </row>
    <row r="482" spans="1:5" x14ac:dyDescent="0.25">
      <c r="A482" s="1">
        <v>481</v>
      </c>
      <c r="B482" s="1" t="str">
        <f>IFERROR(IF(F481&lt;&gt;"",F481,VLOOKUP(MAX(F$2:F481),A$1:B481,2,FALSE)),"")</f>
        <v/>
      </c>
      <c r="C482" s="1" t="str">
        <f t="shared" si="14"/>
        <v/>
      </c>
      <c r="D482" s="1" t="str">
        <f>IFERROR(IF(F482&lt;&gt;"",F482,VLOOKUP(MAX(C$2:C482),A$2:F482,2,FALSE)),"")</f>
        <v>XF</v>
      </c>
      <c r="E482" s="1" t="str">
        <f t="shared" si="15"/>
        <v/>
      </c>
    </row>
    <row r="483" spans="1:5" x14ac:dyDescent="0.25">
      <c r="A483" s="1">
        <v>482</v>
      </c>
      <c r="B483" s="1" t="str">
        <f>IFERROR(IF(F482&lt;&gt;"",F482,VLOOKUP(MAX(F$2:F482),A$1:B482,2,FALSE)),"")</f>
        <v/>
      </c>
      <c r="C483" s="1" t="str">
        <f t="shared" si="14"/>
        <v/>
      </c>
      <c r="D483" s="1" t="str">
        <f>IFERROR(IF(F483&lt;&gt;"",F483,VLOOKUP(MAX(C$2:C483),A$2:F483,2,FALSE)),"")</f>
        <v>XF</v>
      </c>
      <c r="E483" s="1" t="str">
        <f t="shared" si="15"/>
        <v/>
      </c>
    </row>
    <row r="484" spans="1:5" x14ac:dyDescent="0.25">
      <c r="A484" s="1">
        <v>483</v>
      </c>
      <c r="B484" s="1" t="str">
        <f>IFERROR(IF(F483&lt;&gt;"",F483,VLOOKUP(MAX(F$2:F483),A$1:B483,2,FALSE)),"")</f>
        <v/>
      </c>
      <c r="C484" s="1" t="str">
        <f t="shared" si="14"/>
        <v/>
      </c>
      <c r="D484" s="1" t="str">
        <f>IFERROR(IF(F484&lt;&gt;"",F484,VLOOKUP(MAX(C$2:C484),A$2:F484,2,FALSE)),"")</f>
        <v>XF</v>
      </c>
      <c r="E484" s="1" t="str">
        <f t="shared" si="15"/>
        <v/>
      </c>
    </row>
    <row r="485" spans="1:5" x14ac:dyDescent="0.25">
      <c r="A485" s="1">
        <v>484</v>
      </c>
      <c r="B485" s="1" t="str">
        <f>IFERROR(IF(F484&lt;&gt;"",F484,VLOOKUP(MAX(F$2:F484),A$1:B484,2,FALSE)),"")</f>
        <v/>
      </c>
      <c r="C485" s="1" t="str">
        <f t="shared" si="14"/>
        <v/>
      </c>
      <c r="D485" s="1" t="str">
        <f>IFERROR(IF(F485&lt;&gt;"",F485,VLOOKUP(MAX(C$2:C485),A$2:F485,2,FALSE)),"")</f>
        <v>XF</v>
      </c>
      <c r="E485" s="1" t="str">
        <f t="shared" si="15"/>
        <v/>
      </c>
    </row>
    <row r="486" spans="1:5" x14ac:dyDescent="0.25">
      <c r="A486" s="1">
        <v>485</v>
      </c>
      <c r="B486" s="1" t="str">
        <f>IFERROR(IF(F485&lt;&gt;"",F485,VLOOKUP(MAX(F$2:F485),A$1:B485,2,FALSE)),"")</f>
        <v/>
      </c>
      <c r="C486" s="1" t="str">
        <f t="shared" si="14"/>
        <v/>
      </c>
      <c r="D486" s="1" t="str">
        <f>IFERROR(IF(F486&lt;&gt;"",F486,VLOOKUP(MAX(C$2:C486),A$2:F486,2,FALSE)),"")</f>
        <v>XF</v>
      </c>
      <c r="E486" s="1" t="str">
        <f t="shared" si="15"/>
        <v/>
      </c>
    </row>
    <row r="487" spans="1:5" x14ac:dyDescent="0.25">
      <c r="A487" s="1">
        <v>486</v>
      </c>
      <c r="B487" s="1" t="str">
        <f>IFERROR(IF(F486&lt;&gt;"",F486,VLOOKUP(MAX(F$2:F486),A$1:B486,2,FALSE)),"")</f>
        <v/>
      </c>
      <c r="C487" s="1" t="str">
        <f t="shared" si="14"/>
        <v/>
      </c>
      <c r="D487" s="1" t="str">
        <f>IFERROR(IF(F487&lt;&gt;"",F487,VLOOKUP(MAX(C$2:C487),A$2:F487,2,FALSE)),"")</f>
        <v>XF</v>
      </c>
      <c r="E487" s="1" t="str">
        <f t="shared" si="15"/>
        <v/>
      </c>
    </row>
    <row r="488" spans="1:5" x14ac:dyDescent="0.25">
      <c r="A488" s="1">
        <v>487</v>
      </c>
      <c r="B488" s="1" t="str">
        <f>IFERROR(IF(F487&lt;&gt;"",F487,VLOOKUP(MAX(F$2:F487),A$1:B487,2,FALSE)),"")</f>
        <v/>
      </c>
      <c r="C488" s="1" t="str">
        <f t="shared" si="14"/>
        <v/>
      </c>
      <c r="D488" s="1" t="str">
        <f>IFERROR(IF(F488&lt;&gt;"",F488,VLOOKUP(MAX(C$2:C488),A$2:F488,2,FALSE)),"")</f>
        <v>XF</v>
      </c>
      <c r="E488" s="1" t="str">
        <f t="shared" si="15"/>
        <v/>
      </c>
    </row>
    <row r="489" spans="1:5" x14ac:dyDescent="0.25">
      <c r="A489" s="1">
        <v>488</v>
      </c>
      <c r="B489" s="1" t="str">
        <f>IFERROR(IF(F488&lt;&gt;"",F488,VLOOKUP(MAX(F$2:F488),A$1:B488,2,FALSE)),"")</f>
        <v/>
      </c>
      <c r="C489" s="1" t="str">
        <f t="shared" si="14"/>
        <v/>
      </c>
      <c r="D489" s="1" t="str">
        <f>IFERROR(IF(F489&lt;&gt;"",F489,VLOOKUP(MAX(C$2:C489),A$2:F489,2,FALSE)),"")</f>
        <v>XF</v>
      </c>
      <c r="E489" s="1" t="str">
        <f t="shared" si="15"/>
        <v/>
      </c>
    </row>
    <row r="490" spans="1:5" x14ac:dyDescent="0.25">
      <c r="A490" s="1">
        <v>489</v>
      </c>
      <c r="B490" s="1" t="str">
        <f>IFERROR(IF(F489&lt;&gt;"",F489,VLOOKUP(MAX(F$2:F489),A$1:B489,2,FALSE)),"")</f>
        <v/>
      </c>
      <c r="C490" s="1" t="str">
        <f t="shared" si="14"/>
        <v/>
      </c>
      <c r="D490" s="1" t="str">
        <f>IFERROR(IF(F490&lt;&gt;"",F490,VLOOKUP(MAX(C$2:C490),A$2:F490,2,FALSE)),"")</f>
        <v>XF</v>
      </c>
      <c r="E490" s="1" t="str">
        <f t="shared" si="15"/>
        <v/>
      </c>
    </row>
    <row r="491" spans="1:5" x14ac:dyDescent="0.25">
      <c r="A491" s="1">
        <v>490</v>
      </c>
      <c r="B491" s="1" t="str">
        <f>IFERROR(IF(F490&lt;&gt;"",F490,VLOOKUP(MAX(F$2:F490),A$1:B490,2,FALSE)),"")</f>
        <v/>
      </c>
      <c r="C491" s="1" t="str">
        <f t="shared" si="14"/>
        <v/>
      </c>
      <c r="D491" s="1" t="str">
        <f>IFERROR(IF(F491&lt;&gt;"",F491,VLOOKUP(MAX(C$2:C491),A$2:F491,2,FALSE)),"")</f>
        <v>XF</v>
      </c>
      <c r="E491" s="1" t="str">
        <f t="shared" si="15"/>
        <v/>
      </c>
    </row>
    <row r="492" spans="1:5" x14ac:dyDescent="0.25">
      <c r="A492" s="1">
        <v>491</v>
      </c>
      <c r="B492" s="1" t="str">
        <f>IFERROR(IF(F491&lt;&gt;"",F491,VLOOKUP(MAX(F$2:F491),A$1:B491,2,FALSE)),"")</f>
        <v/>
      </c>
      <c r="C492" s="1" t="str">
        <f t="shared" si="14"/>
        <v/>
      </c>
      <c r="D492" s="1" t="str">
        <f>IFERROR(IF(F492&lt;&gt;"",F492,VLOOKUP(MAX(C$2:C492),A$2:F492,2,FALSE)),"")</f>
        <v>XF</v>
      </c>
      <c r="E492" s="1" t="str">
        <f t="shared" si="15"/>
        <v/>
      </c>
    </row>
    <row r="493" spans="1:5" x14ac:dyDescent="0.25">
      <c r="A493" s="1">
        <v>492</v>
      </c>
      <c r="B493" s="1" t="str">
        <f>IFERROR(IF(F492&lt;&gt;"",F492,VLOOKUP(MAX(F$2:F492),A$1:B492,2,FALSE)),"")</f>
        <v/>
      </c>
      <c r="C493" s="1" t="str">
        <f t="shared" si="14"/>
        <v/>
      </c>
      <c r="D493" s="1" t="str">
        <f>IFERROR(IF(F493&lt;&gt;"",F493,VLOOKUP(MAX(C$2:C493),A$2:F493,2,FALSE)),"")</f>
        <v>XF</v>
      </c>
      <c r="E493" s="1" t="str">
        <f t="shared" si="15"/>
        <v/>
      </c>
    </row>
    <row r="494" spans="1:5" x14ac:dyDescent="0.25">
      <c r="A494" s="1">
        <v>493</v>
      </c>
      <c r="B494" s="1" t="str">
        <f>IFERROR(IF(F493&lt;&gt;"",F493,VLOOKUP(MAX(F$2:F493),A$1:B493,2,FALSE)),"")</f>
        <v/>
      </c>
      <c r="C494" s="1" t="str">
        <f t="shared" si="14"/>
        <v/>
      </c>
      <c r="D494" s="1" t="str">
        <f>IFERROR(IF(F494&lt;&gt;"",F494,VLOOKUP(MAX(C$2:C494),A$2:F494,2,FALSE)),"")</f>
        <v>XF</v>
      </c>
      <c r="E494" s="1" t="str">
        <f t="shared" si="15"/>
        <v/>
      </c>
    </row>
    <row r="495" spans="1:5" x14ac:dyDescent="0.25">
      <c r="A495" s="1">
        <v>494</v>
      </c>
      <c r="B495" s="1" t="str">
        <f>IFERROR(IF(F494&lt;&gt;"",F494,VLOOKUP(MAX(F$2:F494),A$1:B494,2,FALSE)),"")</f>
        <v/>
      </c>
      <c r="C495" s="1" t="str">
        <f t="shared" si="14"/>
        <v/>
      </c>
      <c r="D495" s="1" t="str">
        <f>IFERROR(IF(F495&lt;&gt;"",F495,VLOOKUP(MAX(C$2:C495),A$2:F495,2,FALSE)),"")</f>
        <v>XF</v>
      </c>
      <c r="E495" s="1" t="str">
        <f t="shared" si="15"/>
        <v/>
      </c>
    </row>
    <row r="496" spans="1:5" x14ac:dyDescent="0.25">
      <c r="A496" s="1">
        <v>495</v>
      </c>
      <c r="B496" s="1" t="str">
        <f>IFERROR(IF(F495&lt;&gt;"",F495,VLOOKUP(MAX(F$2:F495),A$1:B495,2,FALSE)),"")</f>
        <v/>
      </c>
      <c r="C496" s="1" t="str">
        <f t="shared" si="14"/>
        <v/>
      </c>
      <c r="D496" s="1" t="str">
        <f>IFERROR(IF(F496&lt;&gt;"",F496,VLOOKUP(MAX(C$2:C496),A$2:F496,2,FALSE)),"")</f>
        <v>XF</v>
      </c>
      <c r="E496" s="1" t="str">
        <f t="shared" si="15"/>
        <v/>
      </c>
    </row>
    <row r="497" spans="1:5" x14ac:dyDescent="0.25">
      <c r="A497" s="1">
        <v>496</v>
      </c>
      <c r="B497" s="1" t="str">
        <f>IFERROR(IF(F496&lt;&gt;"",F496,VLOOKUP(MAX(F$2:F496),A$1:B496,2,FALSE)),"")</f>
        <v/>
      </c>
      <c r="C497" s="1" t="str">
        <f t="shared" si="14"/>
        <v/>
      </c>
      <c r="D497" s="1" t="str">
        <f>IFERROR(IF(F497&lt;&gt;"",F497,VLOOKUP(MAX(C$2:C497),A$2:F497,2,FALSE)),"")</f>
        <v>XF</v>
      </c>
      <c r="E497" s="1" t="str">
        <f t="shared" si="15"/>
        <v/>
      </c>
    </row>
    <row r="498" spans="1:5" x14ac:dyDescent="0.25">
      <c r="A498" s="1">
        <v>497</v>
      </c>
      <c r="B498" s="1" t="str">
        <f>IFERROR(IF(F497&lt;&gt;"",F497,VLOOKUP(MAX(F$2:F497),A$1:B497,2,FALSE)),"")</f>
        <v/>
      </c>
      <c r="C498" s="1" t="str">
        <f t="shared" si="14"/>
        <v/>
      </c>
      <c r="D498" s="1" t="str">
        <f>IFERROR(IF(F498&lt;&gt;"",F498,VLOOKUP(MAX(C$2:C498),A$2:F498,2,FALSE)),"")</f>
        <v>XF</v>
      </c>
      <c r="E498" s="1" t="str">
        <f t="shared" si="15"/>
        <v/>
      </c>
    </row>
    <row r="499" spans="1:5" x14ac:dyDescent="0.25">
      <c r="A499" s="1">
        <v>498</v>
      </c>
      <c r="B499" s="1" t="str">
        <f>IFERROR(IF(F498&lt;&gt;"",F498,VLOOKUP(MAX(F$2:F498),A$1:B498,2,FALSE)),"")</f>
        <v/>
      </c>
      <c r="C499" s="1" t="str">
        <f t="shared" si="14"/>
        <v/>
      </c>
      <c r="D499" s="1" t="str">
        <f>IFERROR(IF(F499&lt;&gt;"",F499,VLOOKUP(MAX(C$2:C499),A$2:F499,2,FALSE)),"")</f>
        <v>XF</v>
      </c>
      <c r="E499" s="1" t="str">
        <f t="shared" si="15"/>
        <v/>
      </c>
    </row>
    <row r="500" spans="1:5" x14ac:dyDescent="0.25">
      <c r="A500" s="1">
        <v>499</v>
      </c>
      <c r="B500" s="1" t="str">
        <f>IFERROR(IF(F499&lt;&gt;"",F499,VLOOKUP(MAX(F$2:F499),A$1:B499,2,FALSE)),"")</f>
        <v/>
      </c>
      <c r="C500" s="1" t="str">
        <f t="shared" si="14"/>
        <v/>
      </c>
      <c r="D500" s="1" t="str">
        <f>IFERROR(IF(F500&lt;&gt;"",F500,VLOOKUP(MAX(C$2:C500),A$2:F500,2,FALSE)),"")</f>
        <v>XF</v>
      </c>
      <c r="E500" s="1" t="str">
        <f t="shared" si="15"/>
        <v/>
      </c>
    </row>
    <row r="501" spans="1:5" x14ac:dyDescent="0.25">
      <c r="A501" s="1">
        <v>500</v>
      </c>
      <c r="B501" s="1" t="str">
        <f>IFERROR(IF(F500&lt;&gt;"",F500,VLOOKUP(MAX(F$2:F500),A$1:B500,2,FALSE)),"")</f>
        <v/>
      </c>
      <c r="C501" s="1" t="str">
        <f t="shared" si="14"/>
        <v/>
      </c>
      <c r="D501" s="1" t="str">
        <f>IFERROR(IF(F501&lt;&gt;"",F501,VLOOKUP(MAX(C$2:C501),A$2:F501,2,FALSE)),"")</f>
        <v>XF</v>
      </c>
      <c r="E501" s="1" t="str">
        <f t="shared" si="15"/>
        <v/>
      </c>
    </row>
    <row r="502" spans="1:5" x14ac:dyDescent="0.25">
      <c r="A502" s="1">
        <v>501</v>
      </c>
      <c r="B502" s="1" t="str">
        <f>IFERROR(IF(F501&lt;&gt;"",F501,VLOOKUP(MAX(F$2:F501),A$1:B501,2,FALSE)),"")</f>
        <v/>
      </c>
      <c r="C502" s="1" t="str">
        <f t="shared" si="14"/>
        <v/>
      </c>
      <c r="D502" s="1" t="str">
        <f>IFERROR(IF(F502&lt;&gt;"",F502,VLOOKUP(MAX(C$2:C502),A$2:F502,2,FALSE)),"")</f>
        <v>XF</v>
      </c>
      <c r="E502" s="1" t="str">
        <f t="shared" si="15"/>
        <v/>
      </c>
    </row>
    <row r="503" spans="1:5" x14ac:dyDescent="0.25">
      <c r="A503" s="1">
        <v>502</v>
      </c>
      <c r="B503" s="1" t="str">
        <f>IFERROR(IF(F502&lt;&gt;"",F502,VLOOKUP(MAX(F$2:F502),A$1:B502,2,FALSE)),"")</f>
        <v/>
      </c>
      <c r="C503" s="1" t="str">
        <f t="shared" si="14"/>
        <v/>
      </c>
      <c r="D503" s="1" t="str">
        <f>IFERROR(IF(F503&lt;&gt;"",F503,VLOOKUP(MAX(C$2:C503),A$2:F503,2,FALSE)),"")</f>
        <v>XF</v>
      </c>
      <c r="E503" s="1" t="str">
        <f t="shared" si="15"/>
        <v/>
      </c>
    </row>
    <row r="504" spans="1:5" x14ac:dyDescent="0.25">
      <c r="A504" s="1">
        <v>503</v>
      </c>
      <c r="B504" s="1" t="str">
        <f>IFERROR(IF(F503&lt;&gt;"",F503,VLOOKUP(MAX(F$2:F503),A$1:B503,2,FALSE)),"")</f>
        <v/>
      </c>
      <c r="C504" s="1" t="str">
        <f t="shared" si="14"/>
        <v/>
      </c>
      <c r="D504" s="1" t="str">
        <f>IFERROR(IF(F504&lt;&gt;"",F504,VLOOKUP(MAX(C$2:C504),A$2:F504,2,FALSE)),"")</f>
        <v>XF</v>
      </c>
      <c r="E504" s="1" t="str">
        <f t="shared" si="15"/>
        <v/>
      </c>
    </row>
    <row r="505" spans="1:5" x14ac:dyDescent="0.25">
      <c r="A505" s="1">
        <v>504</v>
      </c>
      <c r="B505" s="1" t="str">
        <f>IFERROR(IF(F504&lt;&gt;"",F504,VLOOKUP(MAX(F$2:F504),A$1:B504,2,FALSE)),"")</f>
        <v/>
      </c>
      <c r="C505" s="1" t="str">
        <f t="shared" si="14"/>
        <v/>
      </c>
      <c r="D505" s="1" t="str">
        <f>IFERROR(IF(F505&lt;&gt;"",F505,VLOOKUP(MAX(C$2:C505),A$2:F505,2,FALSE)),"")</f>
        <v>XF</v>
      </c>
      <c r="E505" s="1" t="str">
        <f t="shared" si="15"/>
        <v/>
      </c>
    </row>
    <row r="506" spans="1:5" x14ac:dyDescent="0.25">
      <c r="A506" s="1">
        <v>505</v>
      </c>
      <c r="B506" s="1" t="str">
        <f>IFERROR(IF(F505&lt;&gt;"",F505,VLOOKUP(MAX(F$2:F505),A$1:B505,2,FALSE)),"")</f>
        <v/>
      </c>
      <c r="C506" s="1" t="str">
        <f t="shared" si="14"/>
        <v/>
      </c>
      <c r="D506" s="1" t="str">
        <f>IFERROR(IF(F506&lt;&gt;"",F506,VLOOKUP(MAX(C$2:C506),A$2:F506,2,FALSE)),"")</f>
        <v>XF</v>
      </c>
      <c r="E506" s="1" t="str">
        <f t="shared" si="15"/>
        <v/>
      </c>
    </row>
    <row r="507" spans="1:5" x14ac:dyDescent="0.25">
      <c r="A507" s="1">
        <v>506</v>
      </c>
      <c r="B507" s="1" t="str">
        <f>IFERROR(IF(F506&lt;&gt;"",F506,VLOOKUP(MAX(F$2:F506),A$1:B506,2,FALSE)),"")</f>
        <v/>
      </c>
      <c r="C507" s="1" t="str">
        <f t="shared" si="14"/>
        <v/>
      </c>
      <c r="D507" s="1" t="str">
        <f>IFERROR(IF(F507&lt;&gt;"",F507,VLOOKUP(MAX(C$2:C507),A$2:F507,2,FALSE)),"")</f>
        <v>XF</v>
      </c>
      <c r="E507" s="1" t="str">
        <f t="shared" si="15"/>
        <v/>
      </c>
    </row>
    <row r="508" spans="1:5" x14ac:dyDescent="0.25">
      <c r="A508" s="1">
        <v>507</v>
      </c>
      <c r="B508" s="1" t="str">
        <f>IFERROR(IF(F507&lt;&gt;"",F507,VLOOKUP(MAX(F$2:F507),A$1:B507,2,FALSE)),"")</f>
        <v/>
      </c>
      <c r="C508" s="1" t="str">
        <f t="shared" si="14"/>
        <v/>
      </c>
      <c r="D508" s="1" t="str">
        <f>IFERROR(IF(F508&lt;&gt;"",F508,VLOOKUP(MAX(C$2:C508),A$2:F508,2,FALSE)),"")</f>
        <v>XF</v>
      </c>
      <c r="E508" s="1" t="str">
        <f t="shared" si="15"/>
        <v/>
      </c>
    </row>
    <row r="509" spans="1:5" x14ac:dyDescent="0.25">
      <c r="A509" s="1">
        <v>508</v>
      </c>
      <c r="B509" s="1" t="str">
        <f>IFERROR(IF(F508&lt;&gt;"",F508,VLOOKUP(MAX(F$2:F508),A$1:B508,2,FALSE)),"")</f>
        <v/>
      </c>
      <c r="C509" s="1" t="str">
        <f t="shared" si="14"/>
        <v/>
      </c>
      <c r="D509" s="1" t="str">
        <f>IFERROR(IF(F509&lt;&gt;"",F509,VLOOKUP(MAX(C$2:C509),A$2:F509,2,FALSE)),"")</f>
        <v>XF</v>
      </c>
      <c r="E509" s="1" t="str">
        <f t="shared" si="15"/>
        <v/>
      </c>
    </row>
    <row r="510" spans="1:5" x14ac:dyDescent="0.25">
      <c r="A510" s="1">
        <v>509</v>
      </c>
      <c r="B510" s="1" t="str">
        <f>IFERROR(IF(F509&lt;&gt;"",F509,VLOOKUP(MAX(F$2:F509),A$1:B509,2,FALSE)),"")</f>
        <v/>
      </c>
      <c r="C510" s="1" t="str">
        <f t="shared" si="14"/>
        <v/>
      </c>
      <c r="D510" s="1" t="str">
        <f>IFERROR(IF(F510&lt;&gt;"",F510,VLOOKUP(MAX(C$2:C510),A$2:F510,2,FALSE)),"")</f>
        <v>XF</v>
      </c>
      <c r="E510" s="1" t="str">
        <f t="shared" si="15"/>
        <v/>
      </c>
    </row>
    <row r="511" spans="1:5" x14ac:dyDescent="0.25">
      <c r="A511" s="1">
        <v>510</v>
      </c>
      <c r="B511" s="1" t="str">
        <f>IFERROR(IF(F510&lt;&gt;"",F510,VLOOKUP(MAX(F$2:F510),A$1:B510,2,FALSE)),"")</f>
        <v/>
      </c>
      <c r="C511" s="1" t="str">
        <f t="shared" si="14"/>
        <v/>
      </c>
      <c r="D511" s="1" t="str">
        <f>IFERROR(IF(F511&lt;&gt;"",F511,VLOOKUP(MAX(C$2:C511),A$2:F511,2,FALSE)),"")</f>
        <v>XF</v>
      </c>
      <c r="E511" s="1" t="str">
        <f t="shared" si="15"/>
        <v/>
      </c>
    </row>
    <row r="512" spans="1:5" x14ac:dyDescent="0.25">
      <c r="A512" s="1">
        <v>511</v>
      </c>
      <c r="B512" s="1" t="str">
        <f>IFERROR(IF(F511&lt;&gt;"",F511,VLOOKUP(MAX(F$2:F511),A$1:B511,2,FALSE)),"")</f>
        <v/>
      </c>
      <c r="C512" s="1" t="str">
        <f t="shared" si="14"/>
        <v/>
      </c>
      <c r="D512" s="1" t="str">
        <f>IFERROR(IF(F512&lt;&gt;"",F512,VLOOKUP(MAX(C$2:C512),A$2:F512,2,FALSE)),"")</f>
        <v>XF</v>
      </c>
      <c r="E512" s="1" t="str">
        <f t="shared" si="15"/>
        <v/>
      </c>
    </row>
    <row r="513" spans="1:5" x14ac:dyDescent="0.25">
      <c r="A513" s="1">
        <v>512</v>
      </c>
      <c r="B513" s="1" t="str">
        <f>IFERROR(IF(F512&lt;&gt;"",F512,VLOOKUP(MAX(F$2:F512),A$1:B512,2,FALSE)),"")</f>
        <v/>
      </c>
      <c r="C513" s="1" t="str">
        <f t="shared" si="14"/>
        <v/>
      </c>
      <c r="D513" s="1" t="str">
        <f>IFERROR(IF(F513&lt;&gt;"",F513,VLOOKUP(MAX(C$2:C513),A$2:F513,2,FALSE)),"")</f>
        <v>XF</v>
      </c>
      <c r="E513" s="1" t="str">
        <f t="shared" si="15"/>
        <v/>
      </c>
    </row>
    <row r="514" spans="1:5" x14ac:dyDescent="0.25">
      <c r="A514" s="1">
        <v>513</v>
      </c>
      <c r="B514" s="1" t="str">
        <f>IFERROR(IF(F513&lt;&gt;"",F513,VLOOKUP(MAX(F$2:F513),A$1:B513,2,FALSE)),"")</f>
        <v/>
      </c>
      <c r="C514" s="1" t="str">
        <f t="shared" ref="C514:C577" si="16">IF(F514&lt;&gt;"",A514,"")</f>
        <v/>
      </c>
      <c r="D514" s="1" t="str">
        <f>IFERROR(IF(F514&lt;&gt;"",F514,VLOOKUP(MAX(C$2:C514),A$2:F514,2,FALSE)),"")</f>
        <v>XF</v>
      </c>
      <c r="E514" s="1" t="str">
        <f t="shared" si="15"/>
        <v/>
      </c>
    </row>
    <row r="515" spans="1:5" x14ac:dyDescent="0.25">
      <c r="A515" s="1">
        <v>514</v>
      </c>
      <c r="B515" s="1" t="str">
        <f>IFERROR(IF(F514&lt;&gt;"",F514,VLOOKUP(MAX(F$2:F514),A$1:B514,2,FALSE)),"")</f>
        <v/>
      </c>
      <c r="C515" s="1" t="str">
        <f t="shared" si="16"/>
        <v/>
      </c>
      <c r="D515" s="1" t="str">
        <f>IFERROR(IF(F515&lt;&gt;"",F515,VLOOKUP(MAX(C$2:C515),A$2:F515,2,FALSE)),"")</f>
        <v>XF</v>
      </c>
      <c r="E515" s="1" t="str">
        <f t="shared" si="15"/>
        <v/>
      </c>
    </row>
    <row r="516" spans="1:5" x14ac:dyDescent="0.25">
      <c r="A516" s="1">
        <v>515</v>
      </c>
      <c r="B516" s="1" t="str">
        <f>IFERROR(IF(F515&lt;&gt;"",F515,VLOOKUP(MAX(F$2:F515),A$1:B515,2,FALSE)),"")</f>
        <v/>
      </c>
      <c r="C516" s="1" t="str">
        <f t="shared" si="16"/>
        <v/>
      </c>
      <c r="D516" s="1" t="str">
        <f>IFERROR(IF(F516&lt;&gt;"",F516,VLOOKUP(MAX(C$2:C516),A$2:F516,2,FALSE)),"")</f>
        <v>XF</v>
      </c>
      <c r="E516" s="1" t="str">
        <f t="shared" ref="E516:E579" si="17">IF(H516&lt;&gt;"",CONCATENATE(D516,".",H516),"")</f>
        <v/>
      </c>
    </row>
    <row r="517" spans="1:5" x14ac:dyDescent="0.25">
      <c r="A517" s="1">
        <v>516</v>
      </c>
      <c r="B517" s="1" t="str">
        <f>IFERROR(IF(F516&lt;&gt;"",F516,VLOOKUP(MAX(F$2:F516),A$1:B516,2,FALSE)),"")</f>
        <v/>
      </c>
      <c r="C517" s="1" t="str">
        <f t="shared" si="16"/>
        <v/>
      </c>
      <c r="D517" s="1" t="str">
        <f>IFERROR(IF(F517&lt;&gt;"",F517,VLOOKUP(MAX(C$2:C517),A$2:F517,2,FALSE)),"")</f>
        <v>XF</v>
      </c>
      <c r="E517" s="1" t="str">
        <f t="shared" si="17"/>
        <v/>
      </c>
    </row>
    <row r="518" spans="1:5" x14ac:dyDescent="0.25">
      <c r="A518" s="1">
        <v>517</v>
      </c>
      <c r="B518" s="1" t="str">
        <f>IFERROR(IF(F517&lt;&gt;"",F517,VLOOKUP(MAX(F$2:F517),A$1:B517,2,FALSE)),"")</f>
        <v/>
      </c>
      <c r="C518" s="1" t="str">
        <f t="shared" si="16"/>
        <v/>
      </c>
      <c r="D518" s="1" t="str">
        <f>IFERROR(IF(F518&lt;&gt;"",F518,VLOOKUP(MAX(C$2:C518),A$2:F518,2,FALSE)),"")</f>
        <v>XF</v>
      </c>
      <c r="E518" s="1" t="str">
        <f t="shared" si="17"/>
        <v/>
      </c>
    </row>
    <row r="519" spans="1:5" x14ac:dyDescent="0.25">
      <c r="A519" s="1">
        <v>518</v>
      </c>
      <c r="B519" s="1" t="str">
        <f>IFERROR(IF(F518&lt;&gt;"",F518,VLOOKUP(MAX(F$2:F518),A$1:B518,2,FALSE)),"")</f>
        <v/>
      </c>
      <c r="C519" s="1" t="str">
        <f t="shared" si="16"/>
        <v/>
      </c>
      <c r="D519" s="1" t="str">
        <f>IFERROR(IF(F519&lt;&gt;"",F519,VLOOKUP(MAX(C$2:C519),A$2:F519,2,FALSE)),"")</f>
        <v>XF</v>
      </c>
      <c r="E519" s="1" t="str">
        <f t="shared" si="17"/>
        <v/>
      </c>
    </row>
    <row r="520" spans="1:5" x14ac:dyDescent="0.25">
      <c r="A520" s="1">
        <v>519</v>
      </c>
      <c r="B520" s="1" t="str">
        <f>IFERROR(IF(F519&lt;&gt;"",F519,VLOOKUP(MAX(F$2:F519),A$1:B519,2,FALSE)),"")</f>
        <v/>
      </c>
      <c r="C520" s="1" t="str">
        <f t="shared" si="16"/>
        <v/>
      </c>
      <c r="D520" s="1" t="str">
        <f>IFERROR(IF(F520&lt;&gt;"",F520,VLOOKUP(MAX(C$2:C520),A$2:F520,2,FALSE)),"")</f>
        <v>XF</v>
      </c>
      <c r="E520" s="1" t="str">
        <f t="shared" si="17"/>
        <v/>
      </c>
    </row>
    <row r="521" spans="1:5" x14ac:dyDescent="0.25">
      <c r="A521" s="1">
        <v>520</v>
      </c>
      <c r="B521" s="1" t="str">
        <f>IFERROR(IF(F520&lt;&gt;"",F520,VLOOKUP(MAX(F$2:F520),A$1:B520,2,FALSE)),"")</f>
        <v/>
      </c>
      <c r="C521" s="1" t="str">
        <f t="shared" si="16"/>
        <v/>
      </c>
      <c r="D521" s="1" t="str">
        <f>IFERROR(IF(F521&lt;&gt;"",F521,VLOOKUP(MAX(C$2:C521),A$2:F521,2,FALSE)),"")</f>
        <v>XF</v>
      </c>
      <c r="E521" s="1" t="str">
        <f t="shared" si="17"/>
        <v/>
      </c>
    </row>
    <row r="522" spans="1:5" x14ac:dyDescent="0.25">
      <c r="A522" s="1">
        <v>521</v>
      </c>
      <c r="B522" s="1" t="str">
        <f>IFERROR(IF(F521&lt;&gt;"",F521,VLOOKUP(MAX(F$2:F521),A$1:B521,2,FALSE)),"")</f>
        <v/>
      </c>
      <c r="C522" s="1" t="str">
        <f t="shared" si="16"/>
        <v/>
      </c>
      <c r="D522" s="1" t="str">
        <f>IFERROR(IF(F522&lt;&gt;"",F522,VLOOKUP(MAX(C$2:C522),A$2:F522,2,FALSE)),"")</f>
        <v>XF</v>
      </c>
      <c r="E522" s="1" t="str">
        <f t="shared" si="17"/>
        <v/>
      </c>
    </row>
    <row r="523" spans="1:5" x14ac:dyDescent="0.25">
      <c r="A523" s="1">
        <v>522</v>
      </c>
      <c r="B523" s="1" t="str">
        <f>IFERROR(IF(F522&lt;&gt;"",F522,VLOOKUP(MAX(F$2:F522),A$1:B522,2,FALSE)),"")</f>
        <v/>
      </c>
      <c r="C523" s="1" t="str">
        <f t="shared" si="16"/>
        <v/>
      </c>
      <c r="D523" s="1" t="str">
        <f>IFERROR(IF(F523&lt;&gt;"",F523,VLOOKUP(MAX(C$2:C523),A$2:F523,2,FALSE)),"")</f>
        <v>XF</v>
      </c>
      <c r="E523" s="1" t="str">
        <f t="shared" si="17"/>
        <v/>
      </c>
    </row>
    <row r="524" spans="1:5" x14ac:dyDescent="0.25">
      <c r="A524" s="1">
        <v>523</v>
      </c>
      <c r="B524" s="1" t="str">
        <f>IFERROR(IF(F523&lt;&gt;"",F523,VLOOKUP(MAX(F$2:F523),A$1:B523,2,FALSE)),"")</f>
        <v/>
      </c>
      <c r="C524" s="1" t="str">
        <f t="shared" si="16"/>
        <v/>
      </c>
      <c r="D524" s="1" t="str">
        <f>IFERROR(IF(F524&lt;&gt;"",F524,VLOOKUP(MAX(C$2:C524),A$2:F524,2,FALSE)),"")</f>
        <v>XF</v>
      </c>
      <c r="E524" s="1" t="str">
        <f t="shared" si="17"/>
        <v/>
      </c>
    </row>
    <row r="525" spans="1:5" x14ac:dyDescent="0.25">
      <c r="A525" s="1">
        <v>524</v>
      </c>
      <c r="B525" s="1" t="str">
        <f>IFERROR(IF(F524&lt;&gt;"",F524,VLOOKUP(MAX(F$2:F524),A$1:B524,2,FALSE)),"")</f>
        <v/>
      </c>
      <c r="C525" s="1" t="str">
        <f t="shared" si="16"/>
        <v/>
      </c>
      <c r="D525" s="1" t="str">
        <f>IFERROR(IF(F525&lt;&gt;"",F525,VLOOKUP(MAX(C$2:C525),A$2:F525,2,FALSE)),"")</f>
        <v>XF</v>
      </c>
      <c r="E525" s="1" t="str">
        <f t="shared" si="17"/>
        <v/>
      </c>
    </row>
    <row r="526" spans="1:5" x14ac:dyDescent="0.25">
      <c r="A526" s="1">
        <v>525</v>
      </c>
      <c r="B526" s="1" t="str">
        <f>IFERROR(IF(F525&lt;&gt;"",F525,VLOOKUP(MAX(F$2:F525),A$1:B525,2,FALSE)),"")</f>
        <v/>
      </c>
      <c r="C526" s="1" t="str">
        <f t="shared" si="16"/>
        <v/>
      </c>
      <c r="D526" s="1" t="str">
        <f>IFERROR(IF(F526&lt;&gt;"",F526,VLOOKUP(MAX(C$2:C526),A$2:F526,2,FALSE)),"")</f>
        <v>XF</v>
      </c>
      <c r="E526" s="1" t="str">
        <f t="shared" si="17"/>
        <v/>
      </c>
    </row>
    <row r="527" spans="1:5" x14ac:dyDescent="0.25">
      <c r="A527" s="1">
        <v>526</v>
      </c>
      <c r="B527" s="1" t="str">
        <f>IFERROR(IF(F526&lt;&gt;"",F526,VLOOKUP(MAX(F$2:F526),A$1:B526,2,FALSE)),"")</f>
        <v/>
      </c>
      <c r="C527" s="1" t="str">
        <f t="shared" si="16"/>
        <v/>
      </c>
      <c r="D527" s="1" t="str">
        <f>IFERROR(IF(F527&lt;&gt;"",F527,VLOOKUP(MAX(C$2:C527),A$2:F527,2,FALSE)),"")</f>
        <v>XF</v>
      </c>
      <c r="E527" s="1" t="str">
        <f t="shared" si="17"/>
        <v/>
      </c>
    </row>
    <row r="528" spans="1:5" x14ac:dyDescent="0.25">
      <c r="A528" s="1">
        <v>527</v>
      </c>
      <c r="B528" s="1" t="str">
        <f>IFERROR(IF(F527&lt;&gt;"",F527,VLOOKUP(MAX(F$2:F527),A$1:B527,2,FALSE)),"")</f>
        <v/>
      </c>
      <c r="C528" s="1" t="str">
        <f t="shared" si="16"/>
        <v/>
      </c>
      <c r="D528" s="1" t="str">
        <f>IFERROR(IF(F528&lt;&gt;"",F528,VLOOKUP(MAX(C$2:C528),A$2:F528,2,FALSE)),"")</f>
        <v>XF</v>
      </c>
      <c r="E528" s="1" t="str">
        <f t="shared" si="17"/>
        <v/>
      </c>
    </row>
    <row r="529" spans="1:5" x14ac:dyDescent="0.25">
      <c r="A529" s="1">
        <v>528</v>
      </c>
      <c r="B529" s="1" t="str">
        <f>IFERROR(IF(F528&lt;&gt;"",F528,VLOOKUP(MAX(F$2:F528),A$1:B528,2,FALSE)),"")</f>
        <v/>
      </c>
      <c r="C529" s="1" t="str">
        <f t="shared" si="16"/>
        <v/>
      </c>
      <c r="D529" s="1" t="str">
        <f>IFERROR(IF(F529&lt;&gt;"",F529,VLOOKUP(MAX(C$2:C529),A$2:F529,2,FALSE)),"")</f>
        <v>XF</v>
      </c>
      <c r="E529" s="1" t="str">
        <f t="shared" si="17"/>
        <v/>
      </c>
    </row>
    <row r="530" spans="1:5" x14ac:dyDescent="0.25">
      <c r="A530" s="1">
        <v>529</v>
      </c>
      <c r="B530" s="1" t="str">
        <f>IFERROR(IF(F529&lt;&gt;"",F529,VLOOKUP(MAX(F$2:F529),A$1:B529,2,FALSE)),"")</f>
        <v/>
      </c>
      <c r="C530" s="1" t="str">
        <f t="shared" si="16"/>
        <v/>
      </c>
      <c r="D530" s="1" t="str">
        <f>IFERROR(IF(F530&lt;&gt;"",F530,VLOOKUP(MAX(C$2:C530),A$2:F530,2,FALSE)),"")</f>
        <v>XF</v>
      </c>
      <c r="E530" s="1" t="str">
        <f t="shared" si="17"/>
        <v/>
      </c>
    </row>
    <row r="531" spans="1:5" x14ac:dyDescent="0.25">
      <c r="A531" s="1">
        <v>530</v>
      </c>
      <c r="B531" s="1" t="str">
        <f>IFERROR(IF(F530&lt;&gt;"",F530,VLOOKUP(MAX(F$2:F530),A$1:B530,2,FALSE)),"")</f>
        <v/>
      </c>
      <c r="C531" s="1" t="str">
        <f t="shared" si="16"/>
        <v/>
      </c>
      <c r="D531" s="1" t="str">
        <f>IFERROR(IF(F531&lt;&gt;"",F531,VLOOKUP(MAX(C$2:C531),A$2:F531,2,FALSE)),"")</f>
        <v>XF</v>
      </c>
      <c r="E531" s="1" t="str">
        <f t="shared" si="17"/>
        <v/>
      </c>
    </row>
    <row r="532" spans="1:5" x14ac:dyDescent="0.25">
      <c r="A532" s="1">
        <v>531</v>
      </c>
      <c r="B532" s="1" t="str">
        <f>IFERROR(IF(F531&lt;&gt;"",F531,VLOOKUP(MAX(F$2:F531),A$1:B531,2,FALSE)),"")</f>
        <v/>
      </c>
      <c r="C532" s="1" t="str">
        <f t="shared" si="16"/>
        <v/>
      </c>
      <c r="D532" s="1" t="str">
        <f>IFERROR(IF(F532&lt;&gt;"",F532,VLOOKUP(MAX(C$2:C532),A$2:F532,2,FALSE)),"")</f>
        <v>XF</v>
      </c>
      <c r="E532" s="1" t="str">
        <f t="shared" si="17"/>
        <v/>
      </c>
    </row>
    <row r="533" spans="1:5" x14ac:dyDescent="0.25">
      <c r="A533" s="1">
        <v>532</v>
      </c>
      <c r="B533" s="1" t="str">
        <f>IFERROR(IF(F532&lt;&gt;"",F532,VLOOKUP(MAX(F$2:F532),A$1:B532,2,FALSE)),"")</f>
        <v/>
      </c>
      <c r="C533" s="1" t="str">
        <f t="shared" si="16"/>
        <v/>
      </c>
      <c r="D533" s="1" t="str">
        <f>IFERROR(IF(F533&lt;&gt;"",F533,VLOOKUP(MAX(C$2:C533),A$2:F533,2,FALSE)),"")</f>
        <v>XF</v>
      </c>
      <c r="E533" s="1" t="str">
        <f t="shared" si="17"/>
        <v/>
      </c>
    </row>
    <row r="534" spans="1:5" x14ac:dyDescent="0.25">
      <c r="A534" s="1">
        <v>533</v>
      </c>
      <c r="B534" s="1" t="str">
        <f>IFERROR(IF(F533&lt;&gt;"",F533,VLOOKUP(MAX(F$2:F533),A$1:B533,2,FALSE)),"")</f>
        <v/>
      </c>
      <c r="C534" s="1" t="str">
        <f t="shared" si="16"/>
        <v/>
      </c>
      <c r="D534" s="1" t="str">
        <f>IFERROR(IF(F534&lt;&gt;"",F534,VLOOKUP(MAX(C$2:C534),A$2:F534,2,FALSE)),"")</f>
        <v>XF</v>
      </c>
      <c r="E534" s="1" t="str">
        <f t="shared" si="17"/>
        <v/>
      </c>
    </row>
    <row r="535" spans="1:5" x14ac:dyDescent="0.25">
      <c r="A535" s="1">
        <v>534</v>
      </c>
      <c r="B535" s="1" t="str">
        <f>IFERROR(IF(F534&lt;&gt;"",F534,VLOOKUP(MAX(F$2:F534),A$1:B534,2,FALSE)),"")</f>
        <v/>
      </c>
      <c r="C535" s="1" t="str">
        <f t="shared" si="16"/>
        <v/>
      </c>
      <c r="D535" s="1" t="str">
        <f>IFERROR(IF(F535&lt;&gt;"",F535,VLOOKUP(MAX(C$2:C535),A$2:F535,2,FALSE)),"")</f>
        <v>XF</v>
      </c>
      <c r="E535" s="1" t="str">
        <f t="shared" si="17"/>
        <v/>
      </c>
    </row>
    <row r="536" spans="1:5" x14ac:dyDescent="0.25">
      <c r="A536" s="1">
        <v>535</v>
      </c>
      <c r="B536" s="1" t="str">
        <f>IFERROR(IF(F535&lt;&gt;"",F535,VLOOKUP(MAX(F$2:F535),A$1:B535,2,FALSE)),"")</f>
        <v/>
      </c>
      <c r="C536" s="1" t="str">
        <f t="shared" si="16"/>
        <v/>
      </c>
      <c r="D536" s="1" t="str">
        <f>IFERROR(IF(F536&lt;&gt;"",F536,VLOOKUP(MAX(C$2:C536),A$2:F536,2,FALSE)),"")</f>
        <v>XF</v>
      </c>
      <c r="E536" s="1" t="str">
        <f t="shared" si="17"/>
        <v/>
      </c>
    </row>
    <row r="537" spans="1:5" x14ac:dyDescent="0.25">
      <c r="A537" s="1">
        <v>536</v>
      </c>
      <c r="B537" s="1" t="str">
        <f>IFERROR(IF(F536&lt;&gt;"",F536,VLOOKUP(MAX(F$2:F536),A$1:B536,2,FALSE)),"")</f>
        <v/>
      </c>
      <c r="C537" s="1" t="str">
        <f t="shared" si="16"/>
        <v/>
      </c>
      <c r="D537" s="1" t="str">
        <f>IFERROR(IF(F537&lt;&gt;"",F537,VLOOKUP(MAX(C$2:C537),A$2:F537,2,FALSE)),"")</f>
        <v>XF</v>
      </c>
      <c r="E537" s="1" t="str">
        <f t="shared" si="17"/>
        <v/>
      </c>
    </row>
    <row r="538" spans="1:5" x14ac:dyDescent="0.25">
      <c r="A538" s="1">
        <v>537</v>
      </c>
      <c r="B538" s="1" t="str">
        <f>IFERROR(IF(F537&lt;&gt;"",F537,VLOOKUP(MAX(F$2:F537),A$1:B537,2,FALSE)),"")</f>
        <v/>
      </c>
      <c r="C538" s="1" t="str">
        <f t="shared" si="16"/>
        <v/>
      </c>
      <c r="D538" s="1" t="str">
        <f>IFERROR(IF(F538&lt;&gt;"",F538,VLOOKUP(MAX(C$2:C538),A$2:F538,2,FALSE)),"")</f>
        <v>XF</v>
      </c>
      <c r="E538" s="1" t="str">
        <f t="shared" si="17"/>
        <v/>
      </c>
    </row>
    <row r="539" spans="1:5" x14ac:dyDescent="0.25">
      <c r="A539" s="1">
        <v>538</v>
      </c>
      <c r="B539" s="1" t="str">
        <f>IFERROR(IF(F538&lt;&gt;"",F538,VLOOKUP(MAX(F$2:F538),A$1:B538,2,FALSE)),"")</f>
        <v/>
      </c>
      <c r="C539" s="1" t="str">
        <f t="shared" si="16"/>
        <v/>
      </c>
      <c r="D539" s="1" t="str">
        <f>IFERROR(IF(F539&lt;&gt;"",F539,VLOOKUP(MAX(C$2:C539),A$2:F539,2,FALSE)),"")</f>
        <v>XF</v>
      </c>
      <c r="E539" s="1" t="str">
        <f t="shared" si="17"/>
        <v/>
      </c>
    </row>
    <row r="540" spans="1:5" x14ac:dyDescent="0.25">
      <c r="A540" s="1">
        <v>539</v>
      </c>
      <c r="B540" s="1" t="str">
        <f>IFERROR(IF(F539&lt;&gt;"",F539,VLOOKUP(MAX(F$2:F539),A$1:B539,2,FALSE)),"")</f>
        <v/>
      </c>
      <c r="C540" s="1" t="str">
        <f t="shared" si="16"/>
        <v/>
      </c>
      <c r="D540" s="1" t="str">
        <f>IFERROR(IF(F540&lt;&gt;"",F540,VLOOKUP(MAX(C$2:C540),A$2:F540,2,FALSE)),"")</f>
        <v>XF</v>
      </c>
      <c r="E540" s="1" t="str">
        <f t="shared" si="17"/>
        <v/>
      </c>
    </row>
    <row r="541" spans="1:5" x14ac:dyDescent="0.25">
      <c r="A541" s="1">
        <v>540</v>
      </c>
      <c r="B541" s="1" t="str">
        <f>IFERROR(IF(F540&lt;&gt;"",F540,VLOOKUP(MAX(F$2:F540),A$1:B540,2,FALSE)),"")</f>
        <v/>
      </c>
      <c r="C541" s="1" t="str">
        <f t="shared" si="16"/>
        <v/>
      </c>
      <c r="D541" s="1" t="str">
        <f>IFERROR(IF(F541&lt;&gt;"",F541,VLOOKUP(MAX(C$2:C541),A$2:F541,2,FALSE)),"")</f>
        <v>XF</v>
      </c>
      <c r="E541" s="1" t="str">
        <f t="shared" si="17"/>
        <v/>
      </c>
    </row>
    <row r="542" spans="1:5" x14ac:dyDescent="0.25">
      <c r="A542" s="1">
        <v>541</v>
      </c>
      <c r="B542" s="1" t="str">
        <f>IFERROR(IF(F541&lt;&gt;"",F541,VLOOKUP(MAX(F$2:F541),A$1:B541,2,FALSE)),"")</f>
        <v/>
      </c>
      <c r="C542" s="1" t="str">
        <f t="shared" si="16"/>
        <v/>
      </c>
      <c r="D542" s="1" t="str">
        <f>IFERROR(IF(F542&lt;&gt;"",F542,VLOOKUP(MAX(C$2:C542),A$2:F542,2,FALSE)),"")</f>
        <v>XF</v>
      </c>
      <c r="E542" s="1" t="str">
        <f t="shared" si="17"/>
        <v/>
      </c>
    </row>
    <row r="543" spans="1:5" x14ac:dyDescent="0.25">
      <c r="A543" s="1">
        <v>542</v>
      </c>
      <c r="B543" s="1" t="str">
        <f>IFERROR(IF(F542&lt;&gt;"",F542,VLOOKUP(MAX(F$2:F542),A$1:B542,2,FALSE)),"")</f>
        <v/>
      </c>
      <c r="C543" s="1" t="str">
        <f t="shared" si="16"/>
        <v/>
      </c>
      <c r="D543" s="1" t="str">
        <f>IFERROR(IF(F543&lt;&gt;"",F543,VLOOKUP(MAX(C$2:C543),A$2:F543,2,FALSE)),"")</f>
        <v>XF</v>
      </c>
      <c r="E543" s="1" t="str">
        <f t="shared" si="17"/>
        <v/>
      </c>
    </row>
    <row r="544" spans="1:5" x14ac:dyDescent="0.25">
      <c r="A544" s="1">
        <v>543</v>
      </c>
      <c r="B544" s="1" t="str">
        <f>IFERROR(IF(F543&lt;&gt;"",F543,VLOOKUP(MAX(F$2:F543),A$1:B543,2,FALSE)),"")</f>
        <v/>
      </c>
      <c r="C544" s="1" t="str">
        <f t="shared" si="16"/>
        <v/>
      </c>
      <c r="D544" s="1" t="str">
        <f>IFERROR(IF(F544&lt;&gt;"",F544,VLOOKUP(MAX(C$2:C544),A$2:F544,2,FALSE)),"")</f>
        <v>XF</v>
      </c>
      <c r="E544" s="1" t="str">
        <f t="shared" si="17"/>
        <v/>
      </c>
    </row>
    <row r="545" spans="1:5" x14ac:dyDescent="0.25">
      <c r="A545" s="1">
        <v>544</v>
      </c>
      <c r="B545" s="1" t="str">
        <f>IFERROR(IF(F544&lt;&gt;"",F544,VLOOKUP(MAX(F$2:F544),A$1:B544,2,FALSE)),"")</f>
        <v/>
      </c>
      <c r="C545" s="1" t="str">
        <f t="shared" si="16"/>
        <v/>
      </c>
      <c r="D545" s="1" t="str">
        <f>IFERROR(IF(F545&lt;&gt;"",F545,VLOOKUP(MAX(C$2:C545),A$2:F545,2,FALSE)),"")</f>
        <v>XF</v>
      </c>
      <c r="E545" s="1" t="str">
        <f t="shared" si="17"/>
        <v/>
      </c>
    </row>
    <row r="546" spans="1:5" x14ac:dyDescent="0.25">
      <c r="A546" s="1">
        <v>545</v>
      </c>
      <c r="B546" s="1" t="str">
        <f>IFERROR(IF(F545&lt;&gt;"",F545,VLOOKUP(MAX(F$2:F545),A$1:B545,2,FALSE)),"")</f>
        <v/>
      </c>
      <c r="C546" s="1" t="str">
        <f t="shared" si="16"/>
        <v/>
      </c>
      <c r="D546" s="1" t="str">
        <f>IFERROR(IF(F546&lt;&gt;"",F546,VLOOKUP(MAX(C$2:C546),A$2:F546,2,FALSE)),"")</f>
        <v>XF</v>
      </c>
      <c r="E546" s="1" t="str">
        <f t="shared" si="17"/>
        <v/>
      </c>
    </row>
    <row r="547" spans="1:5" x14ac:dyDescent="0.25">
      <c r="A547" s="1">
        <v>546</v>
      </c>
      <c r="B547" s="1" t="str">
        <f>IFERROR(IF(F546&lt;&gt;"",F546,VLOOKUP(MAX(F$2:F546),A$1:B546,2,FALSE)),"")</f>
        <v/>
      </c>
      <c r="C547" s="1" t="str">
        <f t="shared" si="16"/>
        <v/>
      </c>
      <c r="D547" s="1" t="str">
        <f>IFERROR(IF(F547&lt;&gt;"",F547,VLOOKUP(MAX(C$2:C547),A$2:F547,2,FALSE)),"")</f>
        <v>XF</v>
      </c>
      <c r="E547" s="1" t="str">
        <f t="shared" si="17"/>
        <v/>
      </c>
    </row>
    <row r="548" spans="1:5" x14ac:dyDescent="0.25">
      <c r="A548" s="1">
        <v>547</v>
      </c>
      <c r="B548" s="1" t="str">
        <f>IFERROR(IF(F547&lt;&gt;"",F547,VLOOKUP(MAX(F$2:F547),A$1:B547,2,FALSE)),"")</f>
        <v/>
      </c>
      <c r="C548" s="1" t="str">
        <f t="shared" si="16"/>
        <v/>
      </c>
      <c r="D548" s="1" t="str">
        <f>IFERROR(IF(F548&lt;&gt;"",F548,VLOOKUP(MAX(C$2:C548),A$2:F548,2,FALSE)),"")</f>
        <v>XF</v>
      </c>
      <c r="E548" s="1" t="str">
        <f t="shared" si="17"/>
        <v/>
      </c>
    </row>
    <row r="549" spans="1:5" x14ac:dyDescent="0.25">
      <c r="A549" s="1">
        <v>548</v>
      </c>
      <c r="B549" s="1" t="str">
        <f>IFERROR(IF(F548&lt;&gt;"",F548,VLOOKUP(MAX(F$2:F548),A$1:B548,2,FALSE)),"")</f>
        <v/>
      </c>
      <c r="C549" s="1" t="str">
        <f t="shared" si="16"/>
        <v/>
      </c>
      <c r="D549" s="1" t="str">
        <f>IFERROR(IF(F549&lt;&gt;"",F549,VLOOKUP(MAX(C$2:C549),A$2:F549,2,FALSE)),"")</f>
        <v>XF</v>
      </c>
      <c r="E549" s="1" t="str">
        <f t="shared" si="17"/>
        <v/>
      </c>
    </row>
    <row r="550" spans="1:5" x14ac:dyDescent="0.25">
      <c r="A550" s="1">
        <v>549</v>
      </c>
      <c r="B550" s="1" t="str">
        <f>IFERROR(IF(F549&lt;&gt;"",F549,VLOOKUP(MAX(F$2:F549),A$1:B549,2,FALSE)),"")</f>
        <v/>
      </c>
      <c r="C550" s="1" t="str">
        <f t="shared" si="16"/>
        <v/>
      </c>
      <c r="D550" s="1" t="str">
        <f>IFERROR(IF(F550&lt;&gt;"",F550,VLOOKUP(MAX(C$2:C550),A$2:F550,2,FALSE)),"")</f>
        <v>XF</v>
      </c>
      <c r="E550" s="1" t="str">
        <f t="shared" si="17"/>
        <v/>
      </c>
    </row>
    <row r="551" spans="1:5" x14ac:dyDescent="0.25">
      <c r="A551" s="1">
        <v>550</v>
      </c>
      <c r="B551" s="1" t="str">
        <f>IFERROR(IF(F550&lt;&gt;"",F550,VLOOKUP(MAX(F$2:F550),A$1:B550,2,FALSE)),"")</f>
        <v/>
      </c>
      <c r="C551" s="1" t="str">
        <f t="shared" si="16"/>
        <v/>
      </c>
      <c r="D551" s="1" t="str">
        <f>IFERROR(IF(F551&lt;&gt;"",F551,VLOOKUP(MAX(C$2:C551),A$2:F551,2,FALSE)),"")</f>
        <v>XF</v>
      </c>
      <c r="E551" s="1" t="str">
        <f t="shared" si="17"/>
        <v/>
      </c>
    </row>
    <row r="552" spans="1:5" x14ac:dyDescent="0.25">
      <c r="A552" s="1">
        <v>551</v>
      </c>
      <c r="B552" s="1" t="str">
        <f>IFERROR(IF(F551&lt;&gt;"",F551,VLOOKUP(MAX(F$2:F551),A$1:B551,2,FALSE)),"")</f>
        <v/>
      </c>
      <c r="C552" s="1" t="str">
        <f t="shared" si="16"/>
        <v/>
      </c>
      <c r="D552" s="1" t="str">
        <f>IFERROR(IF(F552&lt;&gt;"",F552,VLOOKUP(MAX(C$2:C552),A$2:F552,2,FALSE)),"")</f>
        <v>XF</v>
      </c>
      <c r="E552" s="1" t="str">
        <f t="shared" si="17"/>
        <v/>
      </c>
    </row>
    <row r="553" spans="1:5" x14ac:dyDescent="0.25">
      <c r="A553" s="1">
        <v>552</v>
      </c>
      <c r="B553" s="1" t="str">
        <f>IFERROR(IF(F552&lt;&gt;"",F552,VLOOKUP(MAX(F$2:F552),A$1:B552,2,FALSE)),"")</f>
        <v/>
      </c>
      <c r="C553" s="1" t="str">
        <f t="shared" si="16"/>
        <v/>
      </c>
      <c r="D553" s="1" t="str">
        <f>IFERROR(IF(F553&lt;&gt;"",F553,VLOOKUP(MAX(C$2:C553),A$2:F553,2,FALSE)),"")</f>
        <v>XF</v>
      </c>
      <c r="E553" s="1" t="str">
        <f t="shared" si="17"/>
        <v/>
      </c>
    </row>
    <row r="554" spans="1:5" x14ac:dyDescent="0.25">
      <c r="A554" s="1">
        <v>553</v>
      </c>
      <c r="B554" s="1" t="str">
        <f>IFERROR(IF(F553&lt;&gt;"",F553,VLOOKUP(MAX(F$2:F553),A$1:B553,2,FALSE)),"")</f>
        <v/>
      </c>
      <c r="C554" s="1" t="str">
        <f t="shared" si="16"/>
        <v/>
      </c>
      <c r="D554" s="1" t="str">
        <f>IFERROR(IF(F554&lt;&gt;"",F554,VLOOKUP(MAX(C$2:C554),A$2:F554,2,FALSE)),"")</f>
        <v>XF</v>
      </c>
      <c r="E554" s="1" t="str">
        <f t="shared" si="17"/>
        <v/>
      </c>
    </row>
    <row r="555" spans="1:5" x14ac:dyDescent="0.25">
      <c r="A555" s="1">
        <v>554</v>
      </c>
      <c r="B555" s="1" t="str">
        <f>IFERROR(IF(F554&lt;&gt;"",F554,VLOOKUP(MAX(F$2:F554),A$1:B554,2,FALSE)),"")</f>
        <v/>
      </c>
      <c r="C555" s="1" t="str">
        <f t="shared" si="16"/>
        <v/>
      </c>
      <c r="D555" s="1" t="str">
        <f>IFERROR(IF(F555&lt;&gt;"",F555,VLOOKUP(MAX(C$2:C555),A$2:F555,2,FALSE)),"")</f>
        <v>XF</v>
      </c>
      <c r="E555" s="1" t="str">
        <f t="shared" si="17"/>
        <v/>
      </c>
    </row>
    <row r="556" spans="1:5" x14ac:dyDescent="0.25">
      <c r="A556" s="1">
        <v>555</v>
      </c>
      <c r="B556" s="1" t="str">
        <f>IFERROR(IF(F555&lt;&gt;"",F555,VLOOKUP(MAX(F$2:F555),A$1:B555,2,FALSE)),"")</f>
        <v/>
      </c>
      <c r="C556" s="1" t="str">
        <f t="shared" si="16"/>
        <v/>
      </c>
      <c r="D556" s="1" t="str">
        <f>IFERROR(IF(F556&lt;&gt;"",F556,VLOOKUP(MAX(C$2:C556),A$2:F556,2,FALSE)),"")</f>
        <v>XF</v>
      </c>
      <c r="E556" s="1" t="str">
        <f t="shared" si="17"/>
        <v/>
      </c>
    </row>
    <row r="557" spans="1:5" x14ac:dyDescent="0.25">
      <c r="A557" s="1">
        <v>556</v>
      </c>
      <c r="B557" s="1" t="str">
        <f>IFERROR(IF(F556&lt;&gt;"",F556,VLOOKUP(MAX(F$2:F556),A$1:B556,2,FALSE)),"")</f>
        <v/>
      </c>
      <c r="C557" s="1" t="str">
        <f t="shared" si="16"/>
        <v/>
      </c>
      <c r="D557" s="1" t="str">
        <f>IFERROR(IF(F557&lt;&gt;"",F557,VLOOKUP(MAX(C$2:C557),A$2:F557,2,FALSE)),"")</f>
        <v>XF</v>
      </c>
      <c r="E557" s="1" t="str">
        <f t="shared" si="17"/>
        <v/>
      </c>
    </row>
    <row r="558" spans="1:5" x14ac:dyDescent="0.25">
      <c r="A558" s="1">
        <v>557</v>
      </c>
      <c r="B558" s="1" t="str">
        <f>IFERROR(IF(F557&lt;&gt;"",F557,VLOOKUP(MAX(F$2:F557),A$1:B557,2,FALSE)),"")</f>
        <v/>
      </c>
      <c r="C558" s="1" t="str">
        <f t="shared" si="16"/>
        <v/>
      </c>
      <c r="D558" s="1" t="str">
        <f>IFERROR(IF(F558&lt;&gt;"",F558,VLOOKUP(MAX(C$2:C558),A$2:F558,2,FALSE)),"")</f>
        <v>XF</v>
      </c>
      <c r="E558" s="1" t="str">
        <f t="shared" si="17"/>
        <v/>
      </c>
    </row>
    <row r="559" spans="1:5" x14ac:dyDescent="0.25">
      <c r="A559" s="1">
        <v>558</v>
      </c>
      <c r="B559" s="1" t="str">
        <f>IFERROR(IF(F558&lt;&gt;"",F558,VLOOKUP(MAX(F$2:F558),A$1:B558,2,FALSE)),"")</f>
        <v/>
      </c>
      <c r="C559" s="1" t="str">
        <f t="shared" si="16"/>
        <v/>
      </c>
      <c r="D559" s="1" t="str">
        <f>IFERROR(IF(F559&lt;&gt;"",F559,VLOOKUP(MAX(C$2:C559),A$2:F559,2,FALSE)),"")</f>
        <v>XF</v>
      </c>
      <c r="E559" s="1" t="str">
        <f t="shared" si="17"/>
        <v/>
      </c>
    </row>
    <row r="560" spans="1:5" x14ac:dyDescent="0.25">
      <c r="A560" s="1">
        <v>559</v>
      </c>
      <c r="B560" s="1" t="str">
        <f>IFERROR(IF(F559&lt;&gt;"",F559,VLOOKUP(MAX(F$2:F559),A$1:B559,2,FALSE)),"")</f>
        <v/>
      </c>
      <c r="C560" s="1" t="str">
        <f t="shared" si="16"/>
        <v/>
      </c>
      <c r="D560" s="1" t="str">
        <f>IFERROR(IF(F560&lt;&gt;"",F560,VLOOKUP(MAX(C$2:C560),A$2:F560,2,FALSE)),"")</f>
        <v>XF</v>
      </c>
      <c r="E560" s="1" t="str">
        <f t="shared" si="17"/>
        <v/>
      </c>
    </row>
    <row r="561" spans="1:5" x14ac:dyDescent="0.25">
      <c r="A561" s="1">
        <v>560</v>
      </c>
      <c r="B561" s="1" t="str">
        <f>IFERROR(IF(F560&lt;&gt;"",F560,VLOOKUP(MAX(F$2:F560),A$1:B560,2,FALSE)),"")</f>
        <v/>
      </c>
      <c r="C561" s="1" t="str">
        <f t="shared" si="16"/>
        <v/>
      </c>
      <c r="D561" s="1" t="str">
        <f>IFERROR(IF(F561&lt;&gt;"",F561,VLOOKUP(MAX(C$2:C561),A$2:F561,2,FALSE)),"")</f>
        <v>XF</v>
      </c>
      <c r="E561" s="1" t="str">
        <f t="shared" si="17"/>
        <v/>
      </c>
    </row>
    <row r="562" spans="1:5" x14ac:dyDescent="0.25">
      <c r="A562" s="1">
        <v>561</v>
      </c>
      <c r="B562" s="1" t="str">
        <f>IFERROR(IF(F561&lt;&gt;"",F561,VLOOKUP(MAX(F$2:F561),A$1:B561,2,FALSE)),"")</f>
        <v/>
      </c>
      <c r="C562" s="1" t="str">
        <f t="shared" si="16"/>
        <v/>
      </c>
      <c r="D562" s="1" t="str">
        <f>IFERROR(IF(F562&lt;&gt;"",F562,VLOOKUP(MAX(C$2:C562),A$2:F562,2,FALSE)),"")</f>
        <v>XF</v>
      </c>
      <c r="E562" s="1" t="str">
        <f t="shared" si="17"/>
        <v/>
      </c>
    </row>
    <row r="563" spans="1:5" x14ac:dyDescent="0.25">
      <c r="A563" s="1">
        <v>562</v>
      </c>
      <c r="B563" s="1" t="str">
        <f>IFERROR(IF(F562&lt;&gt;"",F562,VLOOKUP(MAX(F$2:F562),A$1:B562,2,FALSE)),"")</f>
        <v/>
      </c>
      <c r="C563" s="1" t="str">
        <f t="shared" si="16"/>
        <v/>
      </c>
      <c r="D563" s="1" t="str">
        <f>IFERROR(IF(F563&lt;&gt;"",F563,VLOOKUP(MAX(C$2:C563),A$2:F563,2,FALSE)),"")</f>
        <v>XF</v>
      </c>
      <c r="E563" s="1" t="str">
        <f t="shared" si="17"/>
        <v/>
      </c>
    </row>
    <row r="564" spans="1:5" x14ac:dyDescent="0.25">
      <c r="A564" s="1">
        <v>563</v>
      </c>
      <c r="B564" s="1" t="str">
        <f>IFERROR(IF(F563&lt;&gt;"",F563,VLOOKUP(MAX(F$2:F563),A$1:B563,2,FALSE)),"")</f>
        <v/>
      </c>
      <c r="C564" s="1" t="str">
        <f t="shared" si="16"/>
        <v/>
      </c>
      <c r="D564" s="1" t="str">
        <f>IFERROR(IF(F564&lt;&gt;"",F564,VLOOKUP(MAX(C$2:C564),A$2:F564,2,FALSE)),"")</f>
        <v>XF</v>
      </c>
      <c r="E564" s="1" t="str">
        <f t="shared" si="17"/>
        <v/>
      </c>
    </row>
    <row r="565" spans="1:5" x14ac:dyDescent="0.25">
      <c r="A565" s="1">
        <v>564</v>
      </c>
      <c r="B565" s="1" t="str">
        <f>IFERROR(IF(F564&lt;&gt;"",F564,VLOOKUP(MAX(F$2:F564),A$1:B564,2,FALSE)),"")</f>
        <v/>
      </c>
      <c r="C565" s="1" t="str">
        <f t="shared" si="16"/>
        <v/>
      </c>
      <c r="D565" s="1" t="str">
        <f>IFERROR(IF(F565&lt;&gt;"",F565,VLOOKUP(MAX(C$2:C565),A$2:F565,2,FALSE)),"")</f>
        <v>XF</v>
      </c>
      <c r="E565" s="1" t="str">
        <f t="shared" si="17"/>
        <v/>
      </c>
    </row>
    <row r="566" spans="1:5" x14ac:dyDescent="0.25">
      <c r="A566" s="1">
        <v>565</v>
      </c>
      <c r="B566" s="1" t="str">
        <f>IFERROR(IF(F565&lt;&gt;"",F565,VLOOKUP(MAX(F$2:F565),A$1:B565,2,FALSE)),"")</f>
        <v/>
      </c>
      <c r="C566" s="1" t="str">
        <f t="shared" si="16"/>
        <v/>
      </c>
      <c r="D566" s="1" t="str">
        <f>IFERROR(IF(F566&lt;&gt;"",F566,VLOOKUP(MAX(C$2:C566),A$2:F566,2,FALSE)),"")</f>
        <v>XF</v>
      </c>
      <c r="E566" s="1" t="str">
        <f t="shared" si="17"/>
        <v/>
      </c>
    </row>
    <row r="567" spans="1:5" x14ac:dyDescent="0.25">
      <c r="A567" s="1">
        <v>566</v>
      </c>
      <c r="B567" s="1" t="str">
        <f>IFERROR(IF(F566&lt;&gt;"",F566,VLOOKUP(MAX(F$2:F566),A$1:B566,2,FALSE)),"")</f>
        <v/>
      </c>
      <c r="C567" s="1" t="str">
        <f t="shared" si="16"/>
        <v/>
      </c>
      <c r="D567" s="1" t="str">
        <f>IFERROR(IF(F567&lt;&gt;"",F567,VLOOKUP(MAX(C$2:C567),A$2:F567,2,FALSE)),"")</f>
        <v>XF</v>
      </c>
      <c r="E567" s="1" t="str">
        <f t="shared" si="17"/>
        <v/>
      </c>
    </row>
    <row r="568" spans="1:5" x14ac:dyDescent="0.25">
      <c r="A568" s="1">
        <v>567</v>
      </c>
      <c r="B568" s="1" t="str">
        <f>IFERROR(IF(F567&lt;&gt;"",F567,VLOOKUP(MAX(F$2:F567),A$1:B567,2,FALSE)),"")</f>
        <v/>
      </c>
      <c r="C568" s="1" t="str">
        <f t="shared" si="16"/>
        <v/>
      </c>
      <c r="D568" s="1" t="str">
        <f>IFERROR(IF(F568&lt;&gt;"",F568,VLOOKUP(MAX(C$2:C568),A$2:F568,2,FALSE)),"")</f>
        <v>XF</v>
      </c>
      <c r="E568" s="1" t="str">
        <f t="shared" si="17"/>
        <v/>
      </c>
    </row>
    <row r="569" spans="1:5" x14ac:dyDescent="0.25">
      <c r="A569" s="1">
        <v>568</v>
      </c>
      <c r="B569" s="1" t="str">
        <f>IFERROR(IF(F568&lt;&gt;"",F568,VLOOKUP(MAX(F$2:F568),A$1:B568,2,FALSE)),"")</f>
        <v/>
      </c>
      <c r="C569" s="1" t="str">
        <f t="shared" si="16"/>
        <v/>
      </c>
      <c r="D569" s="1" t="str">
        <f>IFERROR(IF(F569&lt;&gt;"",F569,VLOOKUP(MAX(C$2:C569),A$2:F569,2,FALSE)),"")</f>
        <v>XF</v>
      </c>
      <c r="E569" s="1" t="str">
        <f t="shared" si="17"/>
        <v/>
      </c>
    </row>
    <row r="570" spans="1:5" x14ac:dyDescent="0.25">
      <c r="A570" s="1">
        <v>569</v>
      </c>
      <c r="B570" s="1" t="str">
        <f>IFERROR(IF(F569&lt;&gt;"",F569,VLOOKUP(MAX(F$2:F569),A$1:B569,2,FALSE)),"")</f>
        <v/>
      </c>
      <c r="C570" s="1" t="str">
        <f t="shared" si="16"/>
        <v/>
      </c>
      <c r="D570" s="1" t="str">
        <f>IFERROR(IF(F570&lt;&gt;"",F570,VLOOKUP(MAX(C$2:C570),A$2:F570,2,FALSE)),"")</f>
        <v>XF</v>
      </c>
      <c r="E570" s="1" t="str">
        <f t="shared" si="17"/>
        <v/>
      </c>
    </row>
    <row r="571" spans="1:5" x14ac:dyDescent="0.25">
      <c r="A571" s="1">
        <v>570</v>
      </c>
      <c r="B571" s="1" t="str">
        <f>IFERROR(IF(F570&lt;&gt;"",F570,VLOOKUP(MAX(F$2:F570),A$1:B570,2,FALSE)),"")</f>
        <v/>
      </c>
      <c r="C571" s="1" t="str">
        <f t="shared" si="16"/>
        <v/>
      </c>
      <c r="D571" s="1" t="str">
        <f>IFERROR(IF(F571&lt;&gt;"",F571,VLOOKUP(MAX(C$2:C571),A$2:F571,2,FALSE)),"")</f>
        <v>XF</v>
      </c>
      <c r="E571" s="1" t="str">
        <f t="shared" si="17"/>
        <v/>
      </c>
    </row>
    <row r="572" spans="1:5" x14ac:dyDescent="0.25">
      <c r="A572" s="1">
        <v>571</v>
      </c>
      <c r="B572" s="1" t="str">
        <f>IFERROR(IF(F571&lt;&gt;"",F571,VLOOKUP(MAX(F$2:F571),A$1:B571,2,FALSE)),"")</f>
        <v/>
      </c>
      <c r="C572" s="1" t="str">
        <f t="shared" si="16"/>
        <v/>
      </c>
      <c r="D572" s="1" t="str">
        <f>IFERROR(IF(F572&lt;&gt;"",F572,VLOOKUP(MAX(C$2:C572),A$2:F572,2,FALSE)),"")</f>
        <v>XF</v>
      </c>
      <c r="E572" s="1" t="str">
        <f t="shared" si="17"/>
        <v/>
      </c>
    </row>
    <row r="573" spans="1:5" x14ac:dyDescent="0.25">
      <c r="A573" s="1">
        <v>572</v>
      </c>
      <c r="B573" s="1" t="str">
        <f>IFERROR(IF(F572&lt;&gt;"",F572,VLOOKUP(MAX(F$2:F572),A$1:B572,2,FALSE)),"")</f>
        <v/>
      </c>
      <c r="C573" s="1" t="str">
        <f t="shared" si="16"/>
        <v/>
      </c>
      <c r="D573" s="1" t="str">
        <f>IFERROR(IF(F573&lt;&gt;"",F573,VLOOKUP(MAX(C$2:C573),A$2:F573,2,FALSE)),"")</f>
        <v>XF</v>
      </c>
      <c r="E573" s="1" t="str">
        <f t="shared" si="17"/>
        <v/>
      </c>
    </row>
    <row r="574" spans="1:5" x14ac:dyDescent="0.25">
      <c r="A574" s="1">
        <v>573</v>
      </c>
      <c r="B574" s="1" t="str">
        <f>IFERROR(IF(F573&lt;&gt;"",F573,VLOOKUP(MAX(F$2:F573),A$1:B573,2,FALSE)),"")</f>
        <v/>
      </c>
      <c r="C574" s="1" t="str">
        <f t="shared" si="16"/>
        <v/>
      </c>
      <c r="D574" s="1" t="str">
        <f>IFERROR(IF(F574&lt;&gt;"",F574,VLOOKUP(MAX(C$2:C574),A$2:F574,2,FALSE)),"")</f>
        <v>XF</v>
      </c>
      <c r="E574" s="1" t="str">
        <f t="shared" si="17"/>
        <v/>
      </c>
    </row>
    <row r="575" spans="1:5" x14ac:dyDescent="0.25">
      <c r="A575" s="1">
        <v>574</v>
      </c>
      <c r="B575" s="1" t="str">
        <f>IFERROR(IF(F574&lt;&gt;"",F574,VLOOKUP(MAX(F$2:F574),A$1:B574,2,FALSE)),"")</f>
        <v/>
      </c>
      <c r="C575" s="1" t="str">
        <f t="shared" si="16"/>
        <v/>
      </c>
      <c r="D575" s="1" t="str">
        <f>IFERROR(IF(F575&lt;&gt;"",F575,VLOOKUP(MAX(C$2:C575),A$2:F575,2,FALSE)),"")</f>
        <v>XF</v>
      </c>
      <c r="E575" s="1" t="str">
        <f t="shared" si="17"/>
        <v/>
      </c>
    </row>
    <row r="576" spans="1:5" x14ac:dyDescent="0.25">
      <c r="A576" s="1">
        <v>575</v>
      </c>
      <c r="B576" s="1" t="str">
        <f>IFERROR(IF(F575&lt;&gt;"",F575,VLOOKUP(MAX(F$2:F575),A$1:B575,2,FALSE)),"")</f>
        <v/>
      </c>
      <c r="C576" s="1" t="str">
        <f t="shared" si="16"/>
        <v/>
      </c>
      <c r="D576" s="1" t="str">
        <f>IFERROR(IF(F576&lt;&gt;"",F576,VLOOKUP(MAX(C$2:C576),A$2:F576,2,FALSE)),"")</f>
        <v>XF</v>
      </c>
      <c r="E576" s="1" t="str">
        <f t="shared" si="17"/>
        <v/>
      </c>
    </row>
    <row r="577" spans="1:5" x14ac:dyDescent="0.25">
      <c r="A577" s="1">
        <v>576</v>
      </c>
      <c r="B577" s="1" t="str">
        <f>IFERROR(IF(F576&lt;&gt;"",F576,VLOOKUP(MAX(F$2:F576),A$1:B576,2,FALSE)),"")</f>
        <v/>
      </c>
      <c r="C577" s="1" t="str">
        <f t="shared" si="16"/>
        <v/>
      </c>
      <c r="D577" s="1" t="str">
        <f>IFERROR(IF(F577&lt;&gt;"",F577,VLOOKUP(MAX(C$2:C577),A$2:F577,2,FALSE)),"")</f>
        <v>XF</v>
      </c>
      <c r="E577" s="1" t="str">
        <f t="shared" si="17"/>
        <v/>
      </c>
    </row>
    <row r="578" spans="1:5" x14ac:dyDescent="0.25">
      <c r="A578" s="1">
        <v>577</v>
      </c>
      <c r="B578" s="1" t="str">
        <f>IFERROR(IF(F577&lt;&gt;"",F577,VLOOKUP(MAX(F$2:F577),A$1:B577,2,FALSE)),"")</f>
        <v/>
      </c>
      <c r="C578" s="1" t="str">
        <f t="shared" ref="C578:C641" si="18">IF(F578&lt;&gt;"",A578,"")</f>
        <v/>
      </c>
      <c r="D578" s="1" t="str">
        <f>IFERROR(IF(F578&lt;&gt;"",F578,VLOOKUP(MAX(C$2:C578),A$2:F578,2,FALSE)),"")</f>
        <v>XF</v>
      </c>
      <c r="E578" s="1" t="str">
        <f t="shared" si="17"/>
        <v/>
      </c>
    </row>
    <row r="579" spans="1:5" x14ac:dyDescent="0.25">
      <c r="A579" s="1">
        <v>578</v>
      </c>
      <c r="B579" s="1" t="str">
        <f>IFERROR(IF(F578&lt;&gt;"",F578,VLOOKUP(MAX(F$2:F578),A$1:B578,2,FALSE)),"")</f>
        <v/>
      </c>
      <c r="C579" s="1" t="str">
        <f t="shared" si="18"/>
        <v/>
      </c>
      <c r="D579" s="1" t="str">
        <f>IFERROR(IF(F579&lt;&gt;"",F579,VLOOKUP(MAX(C$2:C579),A$2:F579,2,FALSE)),"")</f>
        <v>XF</v>
      </c>
      <c r="E579" s="1" t="str">
        <f t="shared" si="17"/>
        <v/>
      </c>
    </row>
    <row r="580" spans="1:5" x14ac:dyDescent="0.25">
      <c r="A580" s="1">
        <v>579</v>
      </c>
      <c r="B580" s="1" t="str">
        <f>IFERROR(IF(F579&lt;&gt;"",F579,VLOOKUP(MAX(F$2:F579),A$1:B579,2,FALSE)),"")</f>
        <v/>
      </c>
      <c r="C580" s="1" t="str">
        <f t="shared" si="18"/>
        <v/>
      </c>
      <c r="D580" s="1" t="str">
        <f>IFERROR(IF(F580&lt;&gt;"",F580,VLOOKUP(MAX(C$2:C580),A$2:F580,2,FALSE)),"")</f>
        <v>XF</v>
      </c>
      <c r="E580" s="1" t="str">
        <f t="shared" ref="E580:E643" si="19">IF(H580&lt;&gt;"",CONCATENATE(D580,".",H580),"")</f>
        <v/>
      </c>
    </row>
    <row r="581" spans="1:5" x14ac:dyDescent="0.25">
      <c r="A581" s="1">
        <v>580</v>
      </c>
      <c r="B581" s="1" t="str">
        <f>IFERROR(IF(F580&lt;&gt;"",F580,VLOOKUP(MAX(F$2:F580),A$1:B580,2,FALSE)),"")</f>
        <v/>
      </c>
      <c r="C581" s="1" t="str">
        <f t="shared" si="18"/>
        <v/>
      </c>
      <c r="D581" s="1" t="str">
        <f>IFERROR(IF(F581&lt;&gt;"",F581,VLOOKUP(MAX(C$2:C581),A$2:F581,2,FALSE)),"")</f>
        <v>XF</v>
      </c>
      <c r="E581" s="1" t="str">
        <f t="shared" si="19"/>
        <v/>
      </c>
    </row>
    <row r="582" spans="1:5" x14ac:dyDescent="0.25">
      <c r="A582" s="1">
        <v>581</v>
      </c>
      <c r="B582" s="1" t="str">
        <f>IFERROR(IF(F581&lt;&gt;"",F581,VLOOKUP(MAX(F$2:F581),A$1:B581,2,FALSE)),"")</f>
        <v/>
      </c>
      <c r="C582" s="1" t="str">
        <f t="shared" si="18"/>
        <v/>
      </c>
      <c r="D582" s="1" t="str">
        <f>IFERROR(IF(F582&lt;&gt;"",F582,VLOOKUP(MAX(C$2:C582),A$2:F582,2,FALSE)),"")</f>
        <v>XF</v>
      </c>
      <c r="E582" s="1" t="str">
        <f t="shared" si="19"/>
        <v/>
      </c>
    </row>
    <row r="583" spans="1:5" x14ac:dyDescent="0.25">
      <c r="A583" s="1">
        <v>582</v>
      </c>
      <c r="B583" s="1" t="str">
        <f>IFERROR(IF(F582&lt;&gt;"",F582,VLOOKUP(MAX(F$2:F582),A$1:B582,2,FALSE)),"")</f>
        <v/>
      </c>
      <c r="C583" s="1" t="str">
        <f t="shared" si="18"/>
        <v/>
      </c>
      <c r="D583" s="1" t="str">
        <f>IFERROR(IF(F583&lt;&gt;"",F583,VLOOKUP(MAX(C$2:C583),A$2:F583,2,FALSE)),"")</f>
        <v>XF</v>
      </c>
      <c r="E583" s="1" t="str">
        <f t="shared" si="19"/>
        <v/>
      </c>
    </row>
    <row r="584" spans="1:5" x14ac:dyDescent="0.25">
      <c r="A584" s="1">
        <v>583</v>
      </c>
      <c r="B584" s="1" t="str">
        <f>IFERROR(IF(F583&lt;&gt;"",F583,VLOOKUP(MAX(F$2:F583),A$1:B583,2,FALSE)),"")</f>
        <v/>
      </c>
      <c r="C584" s="1" t="str">
        <f t="shared" si="18"/>
        <v/>
      </c>
      <c r="D584" s="1" t="str">
        <f>IFERROR(IF(F584&lt;&gt;"",F584,VLOOKUP(MAX(C$2:C584),A$2:F584,2,FALSE)),"")</f>
        <v>XF</v>
      </c>
      <c r="E584" s="1" t="str">
        <f t="shared" si="19"/>
        <v/>
      </c>
    </row>
    <row r="585" spans="1:5" x14ac:dyDescent="0.25">
      <c r="A585" s="1">
        <v>584</v>
      </c>
      <c r="B585" s="1" t="str">
        <f>IFERROR(IF(F584&lt;&gt;"",F584,VLOOKUP(MAX(F$2:F584),A$1:B584,2,FALSE)),"")</f>
        <v/>
      </c>
      <c r="C585" s="1" t="str">
        <f t="shared" si="18"/>
        <v/>
      </c>
      <c r="D585" s="1" t="str">
        <f>IFERROR(IF(F585&lt;&gt;"",F585,VLOOKUP(MAX(C$2:C585),A$2:F585,2,FALSE)),"")</f>
        <v>XF</v>
      </c>
      <c r="E585" s="1" t="str">
        <f t="shared" si="19"/>
        <v/>
      </c>
    </row>
    <row r="586" spans="1:5" x14ac:dyDescent="0.25">
      <c r="A586" s="1">
        <v>585</v>
      </c>
      <c r="B586" s="1" t="str">
        <f>IFERROR(IF(F585&lt;&gt;"",F585,VLOOKUP(MAX(F$2:F585),A$1:B585,2,FALSE)),"")</f>
        <v/>
      </c>
      <c r="C586" s="1" t="str">
        <f t="shared" si="18"/>
        <v/>
      </c>
      <c r="D586" s="1" t="str">
        <f>IFERROR(IF(F586&lt;&gt;"",F586,VLOOKUP(MAX(C$2:C586),A$2:F586,2,FALSE)),"")</f>
        <v>XF</v>
      </c>
      <c r="E586" s="1" t="str">
        <f t="shared" si="19"/>
        <v/>
      </c>
    </row>
    <row r="587" spans="1:5" x14ac:dyDescent="0.25">
      <c r="A587" s="1">
        <v>586</v>
      </c>
      <c r="B587" s="1" t="str">
        <f>IFERROR(IF(F586&lt;&gt;"",F586,VLOOKUP(MAX(F$2:F586),A$1:B586,2,FALSE)),"")</f>
        <v/>
      </c>
      <c r="C587" s="1" t="str">
        <f t="shared" si="18"/>
        <v/>
      </c>
      <c r="D587" s="1" t="str">
        <f>IFERROR(IF(F587&lt;&gt;"",F587,VLOOKUP(MAX(C$2:C587),A$2:F587,2,FALSE)),"")</f>
        <v>XF</v>
      </c>
      <c r="E587" s="1" t="str">
        <f t="shared" si="19"/>
        <v/>
      </c>
    </row>
    <row r="588" spans="1:5" x14ac:dyDescent="0.25">
      <c r="A588" s="1">
        <v>587</v>
      </c>
      <c r="B588" s="1" t="str">
        <f>IFERROR(IF(F587&lt;&gt;"",F587,VLOOKUP(MAX(F$2:F587),A$1:B587,2,FALSE)),"")</f>
        <v/>
      </c>
      <c r="C588" s="1" t="str">
        <f t="shared" si="18"/>
        <v/>
      </c>
      <c r="D588" s="1" t="str">
        <f>IFERROR(IF(F588&lt;&gt;"",F588,VLOOKUP(MAX(C$2:C588),A$2:F588,2,FALSE)),"")</f>
        <v>XF</v>
      </c>
      <c r="E588" s="1" t="str">
        <f t="shared" si="19"/>
        <v/>
      </c>
    </row>
    <row r="589" spans="1:5" x14ac:dyDescent="0.25">
      <c r="A589" s="1">
        <v>588</v>
      </c>
      <c r="B589" s="1" t="str">
        <f>IFERROR(IF(F588&lt;&gt;"",F588,VLOOKUP(MAX(F$2:F588),A$1:B588,2,FALSE)),"")</f>
        <v/>
      </c>
      <c r="C589" s="1" t="str">
        <f t="shared" si="18"/>
        <v/>
      </c>
      <c r="D589" s="1" t="str">
        <f>IFERROR(IF(F589&lt;&gt;"",F589,VLOOKUP(MAX(C$2:C589),A$2:F589,2,FALSE)),"")</f>
        <v>XF</v>
      </c>
      <c r="E589" s="1" t="str">
        <f t="shared" si="19"/>
        <v/>
      </c>
    </row>
    <row r="590" spans="1:5" x14ac:dyDescent="0.25">
      <c r="A590" s="1">
        <v>589</v>
      </c>
      <c r="B590" s="1" t="str">
        <f>IFERROR(IF(F589&lt;&gt;"",F589,VLOOKUP(MAX(F$2:F589),A$1:B589,2,FALSE)),"")</f>
        <v/>
      </c>
      <c r="C590" s="1" t="str">
        <f t="shared" si="18"/>
        <v/>
      </c>
      <c r="D590" s="1" t="str">
        <f>IFERROR(IF(F590&lt;&gt;"",F590,VLOOKUP(MAX(C$2:C590),A$2:F590,2,FALSE)),"")</f>
        <v>XF</v>
      </c>
      <c r="E590" s="1" t="str">
        <f t="shared" si="19"/>
        <v/>
      </c>
    </row>
    <row r="591" spans="1:5" x14ac:dyDescent="0.25">
      <c r="A591" s="1">
        <v>590</v>
      </c>
      <c r="B591" s="1" t="str">
        <f>IFERROR(IF(F590&lt;&gt;"",F590,VLOOKUP(MAX(F$2:F590),A$1:B590,2,FALSE)),"")</f>
        <v/>
      </c>
      <c r="C591" s="1" t="str">
        <f t="shared" si="18"/>
        <v/>
      </c>
      <c r="D591" s="1" t="str">
        <f>IFERROR(IF(F591&lt;&gt;"",F591,VLOOKUP(MAX(C$2:C591),A$2:F591,2,FALSE)),"")</f>
        <v>XF</v>
      </c>
      <c r="E591" s="1" t="str">
        <f t="shared" si="19"/>
        <v/>
      </c>
    </row>
    <row r="592" spans="1:5" x14ac:dyDescent="0.25">
      <c r="A592" s="1">
        <v>591</v>
      </c>
      <c r="B592" s="1" t="str">
        <f>IFERROR(IF(F591&lt;&gt;"",F591,VLOOKUP(MAX(F$2:F591),A$1:B591,2,FALSE)),"")</f>
        <v/>
      </c>
      <c r="C592" s="1" t="str">
        <f t="shared" si="18"/>
        <v/>
      </c>
      <c r="D592" s="1" t="str">
        <f>IFERROR(IF(F592&lt;&gt;"",F592,VLOOKUP(MAX(C$2:C592),A$2:F592,2,FALSE)),"")</f>
        <v>XF</v>
      </c>
      <c r="E592" s="1" t="str">
        <f t="shared" si="19"/>
        <v/>
      </c>
    </row>
    <row r="593" spans="1:5" x14ac:dyDescent="0.25">
      <c r="A593" s="1">
        <v>592</v>
      </c>
      <c r="B593" s="1" t="str">
        <f>IFERROR(IF(F592&lt;&gt;"",F592,VLOOKUP(MAX(F$2:F592),A$1:B592,2,FALSE)),"")</f>
        <v/>
      </c>
      <c r="C593" s="1" t="str">
        <f t="shared" si="18"/>
        <v/>
      </c>
      <c r="D593" s="1" t="str">
        <f>IFERROR(IF(F593&lt;&gt;"",F593,VLOOKUP(MAX(C$2:C593),A$2:F593,2,FALSE)),"")</f>
        <v>XF</v>
      </c>
      <c r="E593" s="1" t="str">
        <f t="shared" si="19"/>
        <v/>
      </c>
    </row>
    <row r="594" spans="1:5" x14ac:dyDescent="0.25">
      <c r="A594" s="1">
        <v>593</v>
      </c>
      <c r="B594" s="1" t="str">
        <f>IFERROR(IF(F593&lt;&gt;"",F593,VLOOKUP(MAX(F$2:F593),A$1:B593,2,FALSE)),"")</f>
        <v/>
      </c>
      <c r="C594" s="1" t="str">
        <f t="shared" si="18"/>
        <v/>
      </c>
      <c r="D594" s="1" t="str">
        <f>IFERROR(IF(F594&lt;&gt;"",F594,VLOOKUP(MAX(C$2:C594),A$2:F594,2,FALSE)),"")</f>
        <v>XF</v>
      </c>
      <c r="E594" s="1" t="str">
        <f t="shared" si="19"/>
        <v/>
      </c>
    </row>
    <row r="595" spans="1:5" x14ac:dyDescent="0.25">
      <c r="A595" s="1">
        <v>594</v>
      </c>
      <c r="B595" s="1" t="str">
        <f>IFERROR(IF(F594&lt;&gt;"",F594,VLOOKUP(MAX(F$2:F594),A$1:B594,2,FALSE)),"")</f>
        <v/>
      </c>
      <c r="C595" s="1" t="str">
        <f t="shared" si="18"/>
        <v/>
      </c>
      <c r="D595" s="1" t="str">
        <f>IFERROR(IF(F595&lt;&gt;"",F595,VLOOKUP(MAX(C$2:C595),A$2:F595,2,FALSE)),"")</f>
        <v>XF</v>
      </c>
      <c r="E595" s="1" t="str">
        <f t="shared" si="19"/>
        <v/>
      </c>
    </row>
    <row r="596" spans="1:5" x14ac:dyDescent="0.25">
      <c r="A596" s="1">
        <v>595</v>
      </c>
      <c r="B596" s="1" t="str">
        <f>IFERROR(IF(F595&lt;&gt;"",F595,VLOOKUP(MAX(F$2:F595),A$1:B595,2,FALSE)),"")</f>
        <v/>
      </c>
      <c r="C596" s="1" t="str">
        <f t="shared" si="18"/>
        <v/>
      </c>
      <c r="D596" s="1" t="str">
        <f>IFERROR(IF(F596&lt;&gt;"",F596,VLOOKUP(MAX(C$2:C596),A$2:F596,2,FALSE)),"")</f>
        <v>XF</v>
      </c>
      <c r="E596" s="1" t="str">
        <f t="shared" si="19"/>
        <v/>
      </c>
    </row>
    <row r="597" spans="1:5" x14ac:dyDescent="0.25">
      <c r="A597" s="1">
        <v>596</v>
      </c>
      <c r="B597" s="1" t="str">
        <f>IFERROR(IF(F596&lt;&gt;"",F596,VLOOKUP(MAX(F$2:F596),A$1:B596,2,FALSE)),"")</f>
        <v/>
      </c>
      <c r="C597" s="1" t="str">
        <f t="shared" si="18"/>
        <v/>
      </c>
      <c r="D597" s="1" t="str">
        <f>IFERROR(IF(F597&lt;&gt;"",F597,VLOOKUP(MAX(C$2:C597),A$2:F597,2,FALSE)),"")</f>
        <v>XF</v>
      </c>
      <c r="E597" s="1" t="str">
        <f t="shared" si="19"/>
        <v/>
      </c>
    </row>
    <row r="598" spans="1:5" x14ac:dyDescent="0.25">
      <c r="A598" s="1">
        <v>597</v>
      </c>
      <c r="B598" s="1" t="str">
        <f>IFERROR(IF(F597&lt;&gt;"",F597,VLOOKUP(MAX(F$2:F597),A$1:B597,2,FALSE)),"")</f>
        <v/>
      </c>
      <c r="C598" s="1" t="str">
        <f t="shared" si="18"/>
        <v/>
      </c>
      <c r="D598" s="1" t="str">
        <f>IFERROR(IF(F598&lt;&gt;"",F598,VLOOKUP(MAX(C$2:C598),A$2:F598,2,FALSE)),"")</f>
        <v>XF</v>
      </c>
      <c r="E598" s="1" t="str">
        <f t="shared" si="19"/>
        <v/>
      </c>
    </row>
    <row r="599" spans="1:5" x14ac:dyDescent="0.25">
      <c r="A599" s="1">
        <v>598</v>
      </c>
      <c r="B599" s="1" t="str">
        <f>IFERROR(IF(F598&lt;&gt;"",F598,VLOOKUP(MAX(F$2:F598),A$1:B598,2,FALSE)),"")</f>
        <v/>
      </c>
      <c r="C599" s="1" t="str">
        <f t="shared" si="18"/>
        <v/>
      </c>
      <c r="D599" s="1" t="str">
        <f>IFERROR(IF(F599&lt;&gt;"",F599,VLOOKUP(MAX(C$2:C599),A$2:F599,2,FALSE)),"")</f>
        <v>XF</v>
      </c>
      <c r="E599" s="1" t="str">
        <f t="shared" si="19"/>
        <v/>
      </c>
    </row>
    <row r="600" spans="1:5" x14ac:dyDescent="0.25">
      <c r="A600" s="1">
        <v>599</v>
      </c>
      <c r="B600" s="1" t="str">
        <f>IFERROR(IF(F599&lt;&gt;"",F599,VLOOKUP(MAX(F$2:F599),A$1:B599,2,FALSE)),"")</f>
        <v/>
      </c>
      <c r="C600" s="1" t="str">
        <f t="shared" si="18"/>
        <v/>
      </c>
      <c r="D600" s="1" t="str">
        <f>IFERROR(IF(F600&lt;&gt;"",F600,VLOOKUP(MAX(C$2:C600),A$2:F600,2,FALSE)),"")</f>
        <v>XF</v>
      </c>
      <c r="E600" s="1" t="str">
        <f t="shared" si="19"/>
        <v/>
      </c>
    </row>
    <row r="601" spans="1:5" x14ac:dyDescent="0.25">
      <c r="A601" s="1">
        <v>600</v>
      </c>
      <c r="B601" s="1" t="str">
        <f>IFERROR(IF(F600&lt;&gt;"",F600,VLOOKUP(MAX(F$2:F600),A$1:B600,2,FALSE)),"")</f>
        <v/>
      </c>
      <c r="C601" s="1" t="str">
        <f t="shared" si="18"/>
        <v/>
      </c>
      <c r="D601" s="1" t="str">
        <f>IFERROR(IF(F601&lt;&gt;"",F601,VLOOKUP(MAX(C$2:C601),A$2:F601,2,FALSE)),"")</f>
        <v>XF</v>
      </c>
      <c r="E601" s="1" t="str">
        <f t="shared" si="19"/>
        <v/>
      </c>
    </row>
    <row r="602" spans="1:5" x14ac:dyDescent="0.25">
      <c r="A602" s="1">
        <v>601</v>
      </c>
      <c r="B602" s="1" t="str">
        <f>IFERROR(IF(F601&lt;&gt;"",F601,VLOOKUP(MAX(F$2:F601),A$1:B601,2,FALSE)),"")</f>
        <v/>
      </c>
      <c r="C602" s="1" t="str">
        <f t="shared" si="18"/>
        <v/>
      </c>
      <c r="D602" s="1" t="str">
        <f>IFERROR(IF(F602&lt;&gt;"",F602,VLOOKUP(MAX(C$2:C602),A$2:F602,2,FALSE)),"")</f>
        <v>XF</v>
      </c>
      <c r="E602" s="1" t="str">
        <f t="shared" si="19"/>
        <v/>
      </c>
    </row>
    <row r="603" spans="1:5" x14ac:dyDescent="0.25">
      <c r="A603" s="1">
        <v>602</v>
      </c>
      <c r="B603" s="1" t="str">
        <f>IFERROR(IF(F602&lt;&gt;"",F602,VLOOKUP(MAX(F$2:F602),A$1:B602,2,FALSE)),"")</f>
        <v/>
      </c>
      <c r="C603" s="1" t="str">
        <f t="shared" si="18"/>
        <v/>
      </c>
      <c r="D603" s="1" t="str">
        <f>IFERROR(IF(F603&lt;&gt;"",F603,VLOOKUP(MAX(C$2:C603),A$2:F603,2,FALSE)),"")</f>
        <v>XF</v>
      </c>
      <c r="E603" s="1" t="str">
        <f t="shared" si="19"/>
        <v/>
      </c>
    </row>
    <row r="604" spans="1:5" x14ac:dyDescent="0.25">
      <c r="A604" s="1">
        <v>603</v>
      </c>
      <c r="B604" s="1" t="str">
        <f>IFERROR(IF(F603&lt;&gt;"",F603,VLOOKUP(MAX(F$2:F603),A$1:B603,2,FALSE)),"")</f>
        <v/>
      </c>
      <c r="C604" s="1" t="str">
        <f t="shared" si="18"/>
        <v/>
      </c>
      <c r="D604" s="1" t="str">
        <f>IFERROR(IF(F604&lt;&gt;"",F604,VLOOKUP(MAX(C$2:C604),A$2:F604,2,FALSE)),"")</f>
        <v>XF</v>
      </c>
      <c r="E604" s="1" t="str">
        <f t="shared" si="19"/>
        <v/>
      </c>
    </row>
    <row r="605" spans="1:5" x14ac:dyDescent="0.25">
      <c r="A605" s="1">
        <v>604</v>
      </c>
      <c r="B605" s="1" t="str">
        <f>IFERROR(IF(F604&lt;&gt;"",F604,VLOOKUP(MAX(F$2:F604),A$1:B604,2,FALSE)),"")</f>
        <v/>
      </c>
      <c r="C605" s="1" t="str">
        <f t="shared" si="18"/>
        <v/>
      </c>
      <c r="D605" s="1" t="str">
        <f>IFERROR(IF(F605&lt;&gt;"",F605,VLOOKUP(MAX(C$2:C605),A$2:F605,2,FALSE)),"")</f>
        <v>XF</v>
      </c>
      <c r="E605" s="1" t="str">
        <f t="shared" si="19"/>
        <v/>
      </c>
    </row>
    <row r="606" spans="1:5" x14ac:dyDescent="0.25">
      <c r="A606" s="1">
        <v>605</v>
      </c>
      <c r="B606" s="1" t="str">
        <f>IFERROR(IF(F605&lt;&gt;"",F605,VLOOKUP(MAX(F$2:F605),A$1:B605,2,FALSE)),"")</f>
        <v/>
      </c>
      <c r="C606" s="1" t="str">
        <f t="shared" si="18"/>
        <v/>
      </c>
      <c r="D606" s="1" t="str">
        <f>IFERROR(IF(F606&lt;&gt;"",F606,VLOOKUP(MAX(C$2:C606),A$2:F606,2,FALSE)),"")</f>
        <v>XF</v>
      </c>
      <c r="E606" s="1" t="str">
        <f t="shared" si="19"/>
        <v/>
      </c>
    </row>
    <row r="607" spans="1:5" x14ac:dyDescent="0.25">
      <c r="A607" s="1">
        <v>606</v>
      </c>
      <c r="B607" s="1" t="str">
        <f>IFERROR(IF(F606&lt;&gt;"",F606,VLOOKUP(MAX(F$2:F606),A$1:B606,2,FALSE)),"")</f>
        <v/>
      </c>
      <c r="C607" s="1" t="str">
        <f t="shared" si="18"/>
        <v/>
      </c>
      <c r="D607" s="1" t="str">
        <f>IFERROR(IF(F607&lt;&gt;"",F607,VLOOKUP(MAX(C$2:C607),A$2:F607,2,FALSE)),"")</f>
        <v>XF</v>
      </c>
      <c r="E607" s="1" t="str">
        <f t="shared" si="19"/>
        <v/>
      </c>
    </row>
    <row r="608" spans="1:5" x14ac:dyDescent="0.25">
      <c r="A608" s="1">
        <v>607</v>
      </c>
      <c r="B608" s="1" t="str">
        <f>IFERROR(IF(F607&lt;&gt;"",F607,VLOOKUP(MAX(F$2:F607),A$1:B607,2,FALSE)),"")</f>
        <v/>
      </c>
      <c r="C608" s="1" t="str">
        <f t="shared" si="18"/>
        <v/>
      </c>
      <c r="D608" s="1" t="str">
        <f>IFERROR(IF(F608&lt;&gt;"",F608,VLOOKUP(MAX(C$2:C608),A$2:F608,2,FALSE)),"")</f>
        <v>XF</v>
      </c>
      <c r="E608" s="1" t="str">
        <f t="shared" si="19"/>
        <v/>
      </c>
    </row>
    <row r="609" spans="1:5" x14ac:dyDescent="0.25">
      <c r="A609" s="1">
        <v>608</v>
      </c>
      <c r="B609" s="1" t="str">
        <f>IFERROR(IF(F608&lt;&gt;"",F608,VLOOKUP(MAX(F$2:F608),A$1:B608,2,FALSE)),"")</f>
        <v/>
      </c>
      <c r="C609" s="1" t="str">
        <f t="shared" si="18"/>
        <v/>
      </c>
      <c r="D609" s="1" t="str">
        <f>IFERROR(IF(F609&lt;&gt;"",F609,VLOOKUP(MAX(C$2:C609),A$2:F609,2,FALSE)),"")</f>
        <v>XF</v>
      </c>
      <c r="E609" s="1" t="str">
        <f t="shared" si="19"/>
        <v/>
      </c>
    </row>
    <row r="610" spans="1:5" x14ac:dyDescent="0.25">
      <c r="A610" s="1">
        <v>609</v>
      </c>
      <c r="B610" s="1" t="str">
        <f>IFERROR(IF(F609&lt;&gt;"",F609,VLOOKUP(MAX(F$2:F609),A$1:B609,2,FALSE)),"")</f>
        <v/>
      </c>
      <c r="C610" s="1" t="str">
        <f t="shared" si="18"/>
        <v/>
      </c>
      <c r="D610" s="1" t="str">
        <f>IFERROR(IF(F610&lt;&gt;"",F610,VLOOKUP(MAX(C$2:C610),A$2:F610,2,FALSE)),"")</f>
        <v>XF</v>
      </c>
      <c r="E610" s="1" t="str">
        <f t="shared" si="19"/>
        <v/>
      </c>
    </row>
    <row r="611" spans="1:5" x14ac:dyDescent="0.25">
      <c r="A611" s="1">
        <v>610</v>
      </c>
      <c r="B611" s="1" t="str">
        <f>IFERROR(IF(F610&lt;&gt;"",F610,VLOOKUP(MAX(F$2:F610),A$1:B610,2,FALSE)),"")</f>
        <v/>
      </c>
      <c r="C611" s="1" t="str">
        <f t="shared" si="18"/>
        <v/>
      </c>
      <c r="D611" s="1" t="str">
        <f>IFERROR(IF(F611&lt;&gt;"",F611,VLOOKUP(MAX(C$2:C611),A$2:F611,2,FALSE)),"")</f>
        <v>XF</v>
      </c>
      <c r="E611" s="1" t="str">
        <f t="shared" si="19"/>
        <v/>
      </c>
    </row>
    <row r="612" spans="1:5" x14ac:dyDescent="0.25">
      <c r="A612" s="1">
        <v>611</v>
      </c>
      <c r="B612" s="1" t="str">
        <f>IFERROR(IF(F611&lt;&gt;"",F611,VLOOKUP(MAX(F$2:F611),A$1:B611,2,FALSE)),"")</f>
        <v/>
      </c>
      <c r="C612" s="1" t="str">
        <f t="shared" si="18"/>
        <v/>
      </c>
      <c r="D612" s="1" t="str">
        <f>IFERROR(IF(F612&lt;&gt;"",F612,VLOOKUP(MAX(C$2:C612),A$2:F612,2,FALSE)),"")</f>
        <v>XF</v>
      </c>
      <c r="E612" s="1" t="str">
        <f t="shared" si="19"/>
        <v/>
      </c>
    </row>
    <row r="613" spans="1:5" x14ac:dyDescent="0.25">
      <c r="A613" s="1">
        <v>612</v>
      </c>
      <c r="B613" s="1" t="str">
        <f>IFERROR(IF(F612&lt;&gt;"",F612,VLOOKUP(MAX(F$2:F612),A$1:B612,2,FALSE)),"")</f>
        <v/>
      </c>
      <c r="C613" s="1" t="str">
        <f t="shared" si="18"/>
        <v/>
      </c>
      <c r="D613" s="1" t="str">
        <f>IFERROR(IF(F613&lt;&gt;"",F613,VLOOKUP(MAX(C$2:C613),A$2:F613,2,FALSE)),"")</f>
        <v>XF</v>
      </c>
      <c r="E613" s="1" t="str">
        <f t="shared" si="19"/>
        <v/>
      </c>
    </row>
    <row r="614" spans="1:5" x14ac:dyDescent="0.25">
      <c r="A614" s="1">
        <v>613</v>
      </c>
      <c r="B614" s="1" t="str">
        <f>IFERROR(IF(F613&lt;&gt;"",F613,VLOOKUP(MAX(F$2:F613),A$1:B613,2,FALSE)),"")</f>
        <v/>
      </c>
      <c r="C614" s="1" t="str">
        <f t="shared" si="18"/>
        <v/>
      </c>
      <c r="D614" s="1" t="str">
        <f>IFERROR(IF(F614&lt;&gt;"",F614,VLOOKUP(MAX(C$2:C614),A$2:F614,2,FALSE)),"")</f>
        <v>XF</v>
      </c>
      <c r="E614" s="1" t="str">
        <f t="shared" si="19"/>
        <v/>
      </c>
    </row>
    <row r="615" spans="1:5" x14ac:dyDescent="0.25">
      <c r="A615" s="1">
        <v>614</v>
      </c>
      <c r="B615" s="1" t="str">
        <f>IFERROR(IF(F614&lt;&gt;"",F614,VLOOKUP(MAX(F$2:F614),A$1:B614,2,FALSE)),"")</f>
        <v/>
      </c>
      <c r="C615" s="1" t="str">
        <f t="shared" si="18"/>
        <v/>
      </c>
      <c r="D615" s="1" t="str">
        <f>IFERROR(IF(F615&lt;&gt;"",F615,VLOOKUP(MAX(C$2:C615),A$2:F615,2,FALSE)),"")</f>
        <v>XF</v>
      </c>
      <c r="E615" s="1" t="str">
        <f t="shared" si="19"/>
        <v/>
      </c>
    </row>
    <row r="616" spans="1:5" x14ac:dyDescent="0.25">
      <c r="A616" s="1">
        <v>615</v>
      </c>
      <c r="B616" s="1" t="str">
        <f>IFERROR(IF(F615&lt;&gt;"",F615,VLOOKUP(MAX(F$2:F615),A$1:B615,2,FALSE)),"")</f>
        <v/>
      </c>
      <c r="C616" s="1" t="str">
        <f t="shared" si="18"/>
        <v/>
      </c>
      <c r="D616" s="1" t="str">
        <f>IFERROR(IF(F616&lt;&gt;"",F616,VLOOKUP(MAX(C$2:C616),A$2:F616,2,FALSE)),"")</f>
        <v>XF</v>
      </c>
      <c r="E616" s="1" t="str">
        <f t="shared" si="19"/>
        <v/>
      </c>
    </row>
    <row r="617" spans="1:5" x14ac:dyDescent="0.25">
      <c r="A617" s="1">
        <v>616</v>
      </c>
      <c r="B617" s="1" t="str">
        <f>IFERROR(IF(F616&lt;&gt;"",F616,VLOOKUP(MAX(F$2:F616),A$1:B616,2,FALSE)),"")</f>
        <v/>
      </c>
      <c r="C617" s="1" t="str">
        <f t="shared" si="18"/>
        <v/>
      </c>
      <c r="D617" s="1" t="str">
        <f>IFERROR(IF(F617&lt;&gt;"",F617,VLOOKUP(MAX(C$2:C617),A$2:F617,2,FALSE)),"")</f>
        <v>XF</v>
      </c>
      <c r="E617" s="1" t="str">
        <f t="shared" si="19"/>
        <v/>
      </c>
    </row>
    <row r="618" spans="1:5" x14ac:dyDescent="0.25">
      <c r="A618" s="1">
        <v>617</v>
      </c>
      <c r="B618" s="1" t="str">
        <f>IFERROR(IF(F617&lt;&gt;"",F617,VLOOKUP(MAX(F$2:F617),A$1:B617,2,FALSE)),"")</f>
        <v/>
      </c>
      <c r="C618" s="1" t="str">
        <f t="shared" si="18"/>
        <v/>
      </c>
      <c r="D618" s="1" t="str">
        <f>IFERROR(IF(F618&lt;&gt;"",F618,VLOOKUP(MAX(C$2:C618),A$2:F618,2,FALSE)),"")</f>
        <v>XF</v>
      </c>
      <c r="E618" s="1" t="str">
        <f t="shared" si="19"/>
        <v/>
      </c>
    </row>
    <row r="619" spans="1:5" x14ac:dyDescent="0.25">
      <c r="A619" s="1">
        <v>618</v>
      </c>
      <c r="B619" s="1" t="str">
        <f>IFERROR(IF(F618&lt;&gt;"",F618,VLOOKUP(MAX(F$2:F618),A$1:B618,2,FALSE)),"")</f>
        <v/>
      </c>
      <c r="C619" s="1" t="str">
        <f t="shared" si="18"/>
        <v/>
      </c>
      <c r="D619" s="1" t="str">
        <f>IFERROR(IF(F619&lt;&gt;"",F619,VLOOKUP(MAX(C$2:C619),A$2:F619,2,FALSE)),"")</f>
        <v>XF</v>
      </c>
      <c r="E619" s="1" t="str">
        <f t="shared" si="19"/>
        <v/>
      </c>
    </row>
    <row r="620" spans="1:5" x14ac:dyDescent="0.25">
      <c r="A620" s="1">
        <v>619</v>
      </c>
      <c r="B620" s="1" t="str">
        <f>IFERROR(IF(F619&lt;&gt;"",F619,VLOOKUP(MAX(F$2:F619),A$1:B619,2,FALSE)),"")</f>
        <v/>
      </c>
      <c r="C620" s="1" t="str">
        <f t="shared" si="18"/>
        <v/>
      </c>
      <c r="D620" s="1" t="str">
        <f>IFERROR(IF(F620&lt;&gt;"",F620,VLOOKUP(MAX(C$2:C620),A$2:F620,2,FALSE)),"")</f>
        <v>XF</v>
      </c>
      <c r="E620" s="1" t="str">
        <f t="shared" si="19"/>
        <v/>
      </c>
    </row>
    <row r="621" spans="1:5" x14ac:dyDescent="0.25">
      <c r="A621" s="1">
        <v>620</v>
      </c>
      <c r="B621" s="1" t="str">
        <f>IFERROR(IF(F620&lt;&gt;"",F620,VLOOKUP(MAX(F$2:F620),A$1:B620,2,FALSE)),"")</f>
        <v/>
      </c>
      <c r="C621" s="1" t="str">
        <f t="shared" si="18"/>
        <v/>
      </c>
      <c r="D621" s="1" t="str">
        <f>IFERROR(IF(F621&lt;&gt;"",F621,VLOOKUP(MAX(C$2:C621),A$2:F621,2,FALSE)),"")</f>
        <v>XF</v>
      </c>
      <c r="E621" s="1" t="str">
        <f t="shared" si="19"/>
        <v/>
      </c>
    </row>
    <row r="622" spans="1:5" x14ac:dyDescent="0.25">
      <c r="A622" s="1">
        <v>621</v>
      </c>
      <c r="B622" s="1" t="str">
        <f>IFERROR(IF(F621&lt;&gt;"",F621,VLOOKUP(MAX(F$2:F621),A$1:B621,2,FALSE)),"")</f>
        <v/>
      </c>
      <c r="C622" s="1" t="str">
        <f t="shared" si="18"/>
        <v/>
      </c>
      <c r="D622" s="1" t="str">
        <f>IFERROR(IF(F622&lt;&gt;"",F622,VLOOKUP(MAX(C$2:C622),A$2:F622,2,FALSE)),"")</f>
        <v>XF</v>
      </c>
      <c r="E622" s="1" t="str">
        <f t="shared" si="19"/>
        <v/>
      </c>
    </row>
    <row r="623" spans="1:5" x14ac:dyDescent="0.25">
      <c r="A623" s="1">
        <v>622</v>
      </c>
      <c r="B623" s="1" t="str">
        <f>IFERROR(IF(F622&lt;&gt;"",F622,VLOOKUP(MAX(F$2:F622),A$1:B622,2,FALSE)),"")</f>
        <v/>
      </c>
      <c r="C623" s="1" t="str">
        <f t="shared" si="18"/>
        <v/>
      </c>
      <c r="D623" s="1" t="str">
        <f>IFERROR(IF(F623&lt;&gt;"",F623,VLOOKUP(MAX(C$2:C623),A$2:F623,2,FALSE)),"")</f>
        <v>XF</v>
      </c>
      <c r="E623" s="1" t="str">
        <f t="shared" si="19"/>
        <v/>
      </c>
    </row>
    <row r="624" spans="1:5" x14ac:dyDescent="0.25">
      <c r="A624" s="1">
        <v>623</v>
      </c>
      <c r="B624" s="1" t="str">
        <f>IFERROR(IF(F623&lt;&gt;"",F623,VLOOKUP(MAX(F$2:F623),A$1:B623,2,FALSE)),"")</f>
        <v/>
      </c>
      <c r="C624" s="1" t="str">
        <f t="shared" si="18"/>
        <v/>
      </c>
      <c r="D624" s="1" t="str">
        <f>IFERROR(IF(F624&lt;&gt;"",F624,VLOOKUP(MAX(C$2:C624),A$2:F624,2,FALSE)),"")</f>
        <v>XF</v>
      </c>
      <c r="E624" s="1" t="str">
        <f t="shared" si="19"/>
        <v/>
      </c>
    </row>
    <row r="625" spans="1:5" x14ac:dyDescent="0.25">
      <c r="A625" s="1">
        <v>624</v>
      </c>
      <c r="B625" s="1" t="str">
        <f>IFERROR(IF(F624&lt;&gt;"",F624,VLOOKUP(MAX(F$2:F624),A$1:B624,2,FALSE)),"")</f>
        <v/>
      </c>
      <c r="C625" s="1" t="str">
        <f t="shared" si="18"/>
        <v/>
      </c>
      <c r="D625" s="1" t="str">
        <f>IFERROR(IF(F625&lt;&gt;"",F625,VLOOKUP(MAX(C$2:C625),A$2:F625,2,FALSE)),"")</f>
        <v>XF</v>
      </c>
      <c r="E625" s="1" t="str">
        <f t="shared" si="19"/>
        <v/>
      </c>
    </row>
    <row r="626" spans="1:5" x14ac:dyDescent="0.25">
      <c r="A626" s="1">
        <v>625</v>
      </c>
      <c r="B626" s="1" t="str">
        <f>IFERROR(IF(F625&lt;&gt;"",F625,VLOOKUP(MAX(F$2:F625),A$1:B625,2,FALSE)),"")</f>
        <v/>
      </c>
      <c r="C626" s="1" t="str">
        <f t="shared" si="18"/>
        <v/>
      </c>
      <c r="D626" s="1" t="str">
        <f>IFERROR(IF(F626&lt;&gt;"",F626,VLOOKUP(MAX(C$2:C626),A$2:F626,2,FALSE)),"")</f>
        <v>XF</v>
      </c>
      <c r="E626" s="1" t="str">
        <f t="shared" si="19"/>
        <v/>
      </c>
    </row>
    <row r="627" spans="1:5" x14ac:dyDescent="0.25">
      <c r="A627" s="1">
        <v>626</v>
      </c>
      <c r="B627" s="1" t="str">
        <f>IFERROR(IF(F626&lt;&gt;"",F626,VLOOKUP(MAX(F$2:F626),A$1:B626,2,FALSE)),"")</f>
        <v/>
      </c>
      <c r="C627" s="1" t="str">
        <f t="shared" si="18"/>
        <v/>
      </c>
      <c r="D627" s="1" t="str">
        <f>IFERROR(IF(F627&lt;&gt;"",F627,VLOOKUP(MAX(C$2:C627),A$2:F627,2,FALSE)),"")</f>
        <v>XF</v>
      </c>
      <c r="E627" s="1" t="str">
        <f t="shared" si="19"/>
        <v/>
      </c>
    </row>
    <row r="628" spans="1:5" x14ac:dyDescent="0.25">
      <c r="A628" s="1">
        <v>627</v>
      </c>
      <c r="B628" s="1" t="str">
        <f>IFERROR(IF(F627&lt;&gt;"",F627,VLOOKUP(MAX(F$2:F627),A$1:B627,2,FALSE)),"")</f>
        <v/>
      </c>
      <c r="C628" s="1" t="str">
        <f t="shared" si="18"/>
        <v/>
      </c>
      <c r="D628" s="1" t="str">
        <f>IFERROR(IF(F628&lt;&gt;"",F628,VLOOKUP(MAX(C$2:C628),A$2:F628,2,FALSE)),"")</f>
        <v>XF</v>
      </c>
      <c r="E628" s="1" t="str">
        <f t="shared" si="19"/>
        <v/>
      </c>
    </row>
    <row r="629" spans="1:5" x14ac:dyDescent="0.25">
      <c r="A629" s="1">
        <v>628</v>
      </c>
      <c r="B629" s="1" t="str">
        <f>IFERROR(IF(F628&lt;&gt;"",F628,VLOOKUP(MAX(F$2:F628),A$1:B628,2,FALSE)),"")</f>
        <v/>
      </c>
      <c r="C629" s="1" t="str">
        <f t="shared" si="18"/>
        <v/>
      </c>
      <c r="D629" s="1" t="str">
        <f>IFERROR(IF(F629&lt;&gt;"",F629,VLOOKUP(MAX(C$2:C629),A$2:F629,2,FALSE)),"")</f>
        <v>XF</v>
      </c>
      <c r="E629" s="1" t="str">
        <f t="shared" si="19"/>
        <v/>
      </c>
    </row>
    <row r="630" spans="1:5" x14ac:dyDescent="0.25">
      <c r="A630" s="1">
        <v>629</v>
      </c>
      <c r="B630" s="1" t="str">
        <f>IFERROR(IF(F629&lt;&gt;"",F629,VLOOKUP(MAX(F$2:F629),A$1:B629,2,FALSE)),"")</f>
        <v/>
      </c>
      <c r="C630" s="1" t="str">
        <f t="shared" si="18"/>
        <v/>
      </c>
      <c r="D630" s="1" t="str">
        <f>IFERROR(IF(F630&lt;&gt;"",F630,VLOOKUP(MAX(C$2:C630),A$2:F630,2,FALSE)),"")</f>
        <v>XF</v>
      </c>
      <c r="E630" s="1" t="str">
        <f t="shared" si="19"/>
        <v/>
      </c>
    </row>
    <row r="631" spans="1:5" x14ac:dyDescent="0.25">
      <c r="A631" s="1">
        <v>630</v>
      </c>
      <c r="B631" s="1" t="str">
        <f>IFERROR(IF(F630&lt;&gt;"",F630,VLOOKUP(MAX(F$2:F630),A$1:B630,2,FALSE)),"")</f>
        <v/>
      </c>
      <c r="C631" s="1" t="str">
        <f t="shared" si="18"/>
        <v/>
      </c>
      <c r="D631" s="1" t="str">
        <f>IFERROR(IF(F631&lt;&gt;"",F631,VLOOKUP(MAX(C$2:C631),A$2:F631,2,FALSE)),"")</f>
        <v>XF</v>
      </c>
      <c r="E631" s="1" t="str">
        <f t="shared" si="19"/>
        <v/>
      </c>
    </row>
    <row r="632" spans="1:5" x14ac:dyDescent="0.25">
      <c r="A632" s="1">
        <v>631</v>
      </c>
      <c r="B632" s="1" t="str">
        <f>IFERROR(IF(F631&lt;&gt;"",F631,VLOOKUP(MAX(F$2:F631),A$1:B631,2,FALSE)),"")</f>
        <v/>
      </c>
      <c r="C632" s="1" t="str">
        <f t="shared" si="18"/>
        <v/>
      </c>
      <c r="D632" s="1" t="str">
        <f>IFERROR(IF(F632&lt;&gt;"",F632,VLOOKUP(MAX(C$2:C632),A$2:F632,2,FALSE)),"")</f>
        <v>XF</v>
      </c>
      <c r="E632" s="1" t="str">
        <f t="shared" si="19"/>
        <v/>
      </c>
    </row>
    <row r="633" spans="1:5" x14ac:dyDescent="0.25">
      <c r="A633" s="1">
        <v>632</v>
      </c>
      <c r="B633" s="1" t="str">
        <f>IFERROR(IF(F632&lt;&gt;"",F632,VLOOKUP(MAX(F$2:F632),A$1:B632,2,FALSE)),"")</f>
        <v/>
      </c>
      <c r="C633" s="1" t="str">
        <f t="shared" si="18"/>
        <v/>
      </c>
      <c r="D633" s="1" t="str">
        <f>IFERROR(IF(F633&lt;&gt;"",F633,VLOOKUP(MAX(C$2:C633),A$2:F633,2,FALSE)),"")</f>
        <v>XF</v>
      </c>
      <c r="E633" s="1" t="str">
        <f t="shared" si="19"/>
        <v/>
      </c>
    </row>
    <row r="634" spans="1:5" x14ac:dyDescent="0.25">
      <c r="A634" s="1">
        <v>633</v>
      </c>
      <c r="B634" s="1" t="str">
        <f>IFERROR(IF(F633&lt;&gt;"",F633,VLOOKUP(MAX(F$2:F633),A$1:B633,2,FALSE)),"")</f>
        <v/>
      </c>
      <c r="C634" s="1" t="str">
        <f t="shared" si="18"/>
        <v/>
      </c>
      <c r="D634" s="1" t="str">
        <f>IFERROR(IF(F634&lt;&gt;"",F634,VLOOKUP(MAX(C$2:C634),A$2:F634,2,FALSE)),"")</f>
        <v>XF</v>
      </c>
      <c r="E634" s="1" t="str">
        <f t="shared" si="19"/>
        <v/>
      </c>
    </row>
    <row r="635" spans="1:5" x14ac:dyDescent="0.25">
      <c r="A635" s="1">
        <v>634</v>
      </c>
      <c r="B635" s="1" t="str">
        <f>IFERROR(IF(F634&lt;&gt;"",F634,VLOOKUP(MAX(F$2:F634),A$1:B634,2,FALSE)),"")</f>
        <v/>
      </c>
      <c r="C635" s="1" t="str">
        <f t="shared" si="18"/>
        <v/>
      </c>
      <c r="D635" s="1" t="str">
        <f>IFERROR(IF(F635&lt;&gt;"",F635,VLOOKUP(MAX(C$2:C635),A$2:F635,2,FALSE)),"")</f>
        <v>XF</v>
      </c>
      <c r="E635" s="1" t="str">
        <f t="shared" si="19"/>
        <v/>
      </c>
    </row>
    <row r="636" spans="1:5" x14ac:dyDescent="0.25">
      <c r="A636" s="1">
        <v>635</v>
      </c>
      <c r="B636" s="1" t="str">
        <f>IFERROR(IF(F635&lt;&gt;"",F635,VLOOKUP(MAX(F$2:F635),A$1:B635,2,FALSE)),"")</f>
        <v/>
      </c>
      <c r="C636" s="1" t="str">
        <f t="shared" si="18"/>
        <v/>
      </c>
      <c r="D636" s="1" t="str">
        <f>IFERROR(IF(F636&lt;&gt;"",F636,VLOOKUP(MAX(C$2:C636),A$2:F636,2,FALSE)),"")</f>
        <v>XF</v>
      </c>
      <c r="E636" s="1" t="str">
        <f t="shared" si="19"/>
        <v/>
      </c>
    </row>
    <row r="637" spans="1:5" x14ac:dyDescent="0.25">
      <c r="A637" s="1">
        <v>636</v>
      </c>
      <c r="B637" s="1" t="str">
        <f>IFERROR(IF(F636&lt;&gt;"",F636,VLOOKUP(MAX(F$2:F636),A$1:B636,2,FALSE)),"")</f>
        <v/>
      </c>
      <c r="C637" s="1" t="str">
        <f t="shared" si="18"/>
        <v/>
      </c>
      <c r="D637" s="1" t="str">
        <f>IFERROR(IF(F637&lt;&gt;"",F637,VLOOKUP(MAX(C$2:C637),A$2:F637,2,FALSE)),"")</f>
        <v>XF</v>
      </c>
      <c r="E637" s="1" t="str">
        <f t="shared" si="19"/>
        <v/>
      </c>
    </row>
    <row r="638" spans="1:5" x14ac:dyDescent="0.25">
      <c r="A638" s="1">
        <v>637</v>
      </c>
      <c r="B638" s="1" t="str">
        <f>IFERROR(IF(F637&lt;&gt;"",F637,VLOOKUP(MAX(F$2:F637),A$1:B637,2,FALSE)),"")</f>
        <v/>
      </c>
      <c r="C638" s="1" t="str">
        <f t="shared" si="18"/>
        <v/>
      </c>
      <c r="D638" s="1" t="str">
        <f>IFERROR(IF(F638&lt;&gt;"",F638,VLOOKUP(MAX(C$2:C638),A$2:F638,2,FALSE)),"")</f>
        <v>XF</v>
      </c>
      <c r="E638" s="1" t="str">
        <f t="shared" si="19"/>
        <v/>
      </c>
    </row>
    <row r="639" spans="1:5" x14ac:dyDescent="0.25">
      <c r="A639" s="1">
        <v>638</v>
      </c>
      <c r="B639" s="1" t="str">
        <f>IFERROR(IF(F638&lt;&gt;"",F638,VLOOKUP(MAX(F$2:F638),A$1:B638,2,FALSE)),"")</f>
        <v/>
      </c>
      <c r="C639" s="1" t="str">
        <f t="shared" si="18"/>
        <v/>
      </c>
      <c r="D639" s="1" t="str">
        <f>IFERROR(IF(F639&lt;&gt;"",F639,VLOOKUP(MAX(C$2:C639),A$2:F639,2,FALSE)),"")</f>
        <v>XF</v>
      </c>
      <c r="E639" s="1" t="str">
        <f t="shared" si="19"/>
        <v/>
      </c>
    </row>
    <row r="640" spans="1:5" x14ac:dyDescent="0.25">
      <c r="A640" s="1">
        <v>639</v>
      </c>
      <c r="B640" s="1" t="str">
        <f>IFERROR(IF(F639&lt;&gt;"",F639,VLOOKUP(MAX(F$2:F639),A$1:B639,2,FALSE)),"")</f>
        <v/>
      </c>
      <c r="C640" s="1" t="str">
        <f t="shared" si="18"/>
        <v/>
      </c>
      <c r="D640" s="1" t="str">
        <f>IFERROR(IF(F640&lt;&gt;"",F640,VLOOKUP(MAX(C$2:C640),A$2:F640,2,FALSE)),"")</f>
        <v>XF</v>
      </c>
      <c r="E640" s="1" t="str">
        <f t="shared" si="19"/>
        <v/>
      </c>
    </row>
    <row r="641" spans="1:5" x14ac:dyDescent="0.25">
      <c r="A641" s="1">
        <v>640</v>
      </c>
      <c r="B641" s="1" t="str">
        <f>IFERROR(IF(F640&lt;&gt;"",F640,VLOOKUP(MAX(F$2:F640),A$1:B640,2,FALSE)),"")</f>
        <v/>
      </c>
      <c r="C641" s="1" t="str">
        <f t="shared" si="18"/>
        <v/>
      </c>
      <c r="D641" s="1" t="str">
        <f>IFERROR(IF(F641&lt;&gt;"",F641,VLOOKUP(MAX(C$2:C641),A$2:F641,2,FALSE)),"")</f>
        <v>XF</v>
      </c>
      <c r="E641" s="1" t="str">
        <f t="shared" si="19"/>
        <v/>
      </c>
    </row>
    <row r="642" spans="1:5" x14ac:dyDescent="0.25">
      <c r="A642" s="1">
        <v>641</v>
      </c>
      <c r="B642" s="1" t="str">
        <f>IFERROR(IF(F641&lt;&gt;"",F641,VLOOKUP(MAX(F$2:F641),A$1:B641,2,FALSE)),"")</f>
        <v/>
      </c>
      <c r="C642" s="1" t="str">
        <f t="shared" ref="C642:C705" si="20">IF(F642&lt;&gt;"",A642,"")</f>
        <v/>
      </c>
      <c r="D642" s="1" t="str">
        <f>IFERROR(IF(F642&lt;&gt;"",F642,VLOOKUP(MAX(C$2:C642),A$2:F642,2,FALSE)),"")</f>
        <v>XF</v>
      </c>
      <c r="E642" s="1" t="str">
        <f t="shared" si="19"/>
        <v/>
      </c>
    </row>
    <row r="643" spans="1:5" x14ac:dyDescent="0.25">
      <c r="A643" s="1">
        <v>642</v>
      </c>
      <c r="B643" s="1" t="str">
        <f>IFERROR(IF(F642&lt;&gt;"",F642,VLOOKUP(MAX(F$2:F642),A$1:B642,2,FALSE)),"")</f>
        <v/>
      </c>
      <c r="C643" s="1" t="str">
        <f t="shared" si="20"/>
        <v/>
      </c>
      <c r="D643" s="1" t="str">
        <f>IFERROR(IF(F643&lt;&gt;"",F643,VLOOKUP(MAX(C$2:C643),A$2:F643,2,FALSE)),"")</f>
        <v>XF</v>
      </c>
      <c r="E643" s="1" t="str">
        <f t="shared" si="19"/>
        <v/>
      </c>
    </row>
    <row r="644" spans="1:5" x14ac:dyDescent="0.25">
      <c r="A644" s="1">
        <v>643</v>
      </c>
      <c r="B644" s="1" t="str">
        <f>IFERROR(IF(F643&lt;&gt;"",F643,VLOOKUP(MAX(F$2:F643),A$1:B643,2,FALSE)),"")</f>
        <v/>
      </c>
      <c r="C644" s="1" t="str">
        <f t="shared" si="20"/>
        <v/>
      </c>
      <c r="D644" s="1" t="str">
        <f>IFERROR(IF(F644&lt;&gt;"",F644,VLOOKUP(MAX(C$2:C644),A$2:F644,2,FALSE)),"")</f>
        <v>XF</v>
      </c>
      <c r="E644" s="1" t="str">
        <f t="shared" ref="E644:E707" si="21">IF(H644&lt;&gt;"",CONCATENATE(D644,".",H644),"")</f>
        <v/>
      </c>
    </row>
    <row r="645" spans="1:5" x14ac:dyDescent="0.25">
      <c r="A645" s="1">
        <v>644</v>
      </c>
      <c r="B645" s="1" t="str">
        <f>IFERROR(IF(F644&lt;&gt;"",F644,VLOOKUP(MAX(F$2:F644),A$1:B644,2,FALSE)),"")</f>
        <v/>
      </c>
      <c r="C645" s="1" t="str">
        <f t="shared" si="20"/>
        <v/>
      </c>
      <c r="D645" s="1" t="str">
        <f>IFERROR(IF(F645&lt;&gt;"",F645,VLOOKUP(MAX(C$2:C645),A$2:F645,2,FALSE)),"")</f>
        <v>XF</v>
      </c>
      <c r="E645" s="1" t="str">
        <f t="shared" si="21"/>
        <v/>
      </c>
    </row>
    <row r="646" spans="1:5" x14ac:dyDescent="0.25">
      <c r="A646" s="1">
        <v>645</v>
      </c>
      <c r="B646" s="1" t="str">
        <f>IFERROR(IF(F645&lt;&gt;"",F645,VLOOKUP(MAX(F$2:F645),A$1:B645,2,FALSE)),"")</f>
        <v/>
      </c>
      <c r="C646" s="1" t="str">
        <f t="shared" si="20"/>
        <v/>
      </c>
      <c r="D646" s="1" t="str">
        <f>IFERROR(IF(F646&lt;&gt;"",F646,VLOOKUP(MAX(C$2:C646),A$2:F646,2,FALSE)),"")</f>
        <v>XF</v>
      </c>
      <c r="E646" s="1" t="str">
        <f t="shared" si="21"/>
        <v/>
      </c>
    </row>
    <row r="647" spans="1:5" x14ac:dyDescent="0.25">
      <c r="A647" s="1">
        <v>646</v>
      </c>
      <c r="B647" s="1" t="str">
        <f>IFERROR(IF(F646&lt;&gt;"",F646,VLOOKUP(MAX(F$2:F646),A$1:B646,2,FALSE)),"")</f>
        <v/>
      </c>
      <c r="C647" s="1" t="str">
        <f t="shared" si="20"/>
        <v/>
      </c>
      <c r="D647" s="1" t="str">
        <f>IFERROR(IF(F647&lt;&gt;"",F647,VLOOKUP(MAX(C$2:C647),A$2:F647,2,FALSE)),"")</f>
        <v>XF</v>
      </c>
      <c r="E647" s="1" t="str">
        <f t="shared" si="21"/>
        <v/>
      </c>
    </row>
    <row r="648" spans="1:5" x14ac:dyDescent="0.25">
      <c r="A648" s="1">
        <v>647</v>
      </c>
      <c r="B648" s="1" t="str">
        <f>IFERROR(IF(F647&lt;&gt;"",F647,VLOOKUP(MAX(F$2:F647),A$1:B647,2,FALSE)),"")</f>
        <v/>
      </c>
      <c r="C648" s="1" t="str">
        <f t="shared" si="20"/>
        <v/>
      </c>
      <c r="D648" s="1" t="str">
        <f>IFERROR(IF(F648&lt;&gt;"",F648,VLOOKUP(MAX(C$2:C648),A$2:F648,2,FALSE)),"")</f>
        <v>XF</v>
      </c>
      <c r="E648" s="1" t="str">
        <f t="shared" si="21"/>
        <v/>
      </c>
    </row>
    <row r="649" spans="1:5" x14ac:dyDescent="0.25">
      <c r="A649" s="1">
        <v>648</v>
      </c>
      <c r="B649" s="1" t="str">
        <f>IFERROR(IF(F648&lt;&gt;"",F648,VLOOKUP(MAX(F$2:F648),A$1:B648,2,FALSE)),"")</f>
        <v/>
      </c>
      <c r="C649" s="1" t="str">
        <f t="shared" si="20"/>
        <v/>
      </c>
      <c r="D649" s="1" t="str">
        <f>IFERROR(IF(F649&lt;&gt;"",F649,VLOOKUP(MAX(C$2:C649),A$2:F649,2,FALSE)),"")</f>
        <v>XF</v>
      </c>
      <c r="E649" s="1" t="str">
        <f t="shared" si="21"/>
        <v/>
      </c>
    </row>
    <row r="650" spans="1:5" x14ac:dyDescent="0.25">
      <c r="A650" s="1">
        <v>649</v>
      </c>
      <c r="B650" s="1" t="str">
        <f>IFERROR(IF(F649&lt;&gt;"",F649,VLOOKUP(MAX(F$2:F649),A$1:B649,2,FALSE)),"")</f>
        <v/>
      </c>
      <c r="C650" s="1" t="str">
        <f t="shared" si="20"/>
        <v/>
      </c>
      <c r="D650" s="1" t="str">
        <f>IFERROR(IF(F650&lt;&gt;"",F650,VLOOKUP(MAX(C$2:C650),A$2:F650,2,FALSE)),"")</f>
        <v>XF</v>
      </c>
      <c r="E650" s="1" t="str">
        <f t="shared" si="21"/>
        <v/>
      </c>
    </row>
    <row r="651" spans="1:5" x14ac:dyDescent="0.25">
      <c r="A651" s="1">
        <v>650</v>
      </c>
      <c r="B651" s="1" t="str">
        <f>IFERROR(IF(F650&lt;&gt;"",F650,VLOOKUP(MAX(F$2:F650),A$1:B650,2,FALSE)),"")</f>
        <v/>
      </c>
      <c r="C651" s="1" t="str">
        <f t="shared" si="20"/>
        <v/>
      </c>
      <c r="D651" s="1" t="str">
        <f>IFERROR(IF(F651&lt;&gt;"",F651,VLOOKUP(MAX(C$2:C651),A$2:F651,2,FALSE)),"")</f>
        <v>XF</v>
      </c>
      <c r="E651" s="1" t="str">
        <f t="shared" si="21"/>
        <v/>
      </c>
    </row>
    <row r="652" spans="1:5" x14ac:dyDescent="0.25">
      <c r="A652" s="1">
        <v>651</v>
      </c>
      <c r="B652" s="1" t="str">
        <f>IFERROR(IF(F651&lt;&gt;"",F651,VLOOKUP(MAX(F$2:F651),A$1:B651,2,FALSE)),"")</f>
        <v/>
      </c>
      <c r="C652" s="1" t="str">
        <f t="shared" si="20"/>
        <v/>
      </c>
      <c r="D652" s="1" t="str">
        <f>IFERROR(IF(F652&lt;&gt;"",F652,VLOOKUP(MAX(C$2:C652),A$2:F652,2,FALSE)),"")</f>
        <v>XF</v>
      </c>
      <c r="E652" s="1" t="str">
        <f t="shared" si="21"/>
        <v/>
      </c>
    </row>
    <row r="653" spans="1:5" x14ac:dyDescent="0.25">
      <c r="A653" s="1">
        <v>652</v>
      </c>
      <c r="B653" s="1" t="str">
        <f>IFERROR(IF(F652&lt;&gt;"",F652,VLOOKUP(MAX(F$2:F652),A$1:B652,2,FALSE)),"")</f>
        <v/>
      </c>
      <c r="C653" s="1" t="str">
        <f t="shared" si="20"/>
        <v/>
      </c>
      <c r="D653" s="1" t="str">
        <f>IFERROR(IF(F653&lt;&gt;"",F653,VLOOKUP(MAX(C$2:C653),A$2:F653,2,FALSE)),"")</f>
        <v>XF</v>
      </c>
      <c r="E653" s="1" t="str">
        <f t="shared" si="21"/>
        <v/>
      </c>
    </row>
    <row r="654" spans="1:5" x14ac:dyDescent="0.25">
      <c r="A654" s="1">
        <v>653</v>
      </c>
      <c r="B654" s="1" t="str">
        <f>IFERROR(IF(F653&lt;&gt;"",F653,VLOOKUP(MAX(F$2:F653),A$1:B653,2,FALSE)),"")</f>
        <v/>
      </c>
      <c r="C654" s="1" t="str">
        <f t="shared" si="20"/>
        <v/>
      </c>
      <c r="D654" s="1" t="str">
        <f>IFERROR(IF(F654&lt;&gt;"",F654,VLOOKUP(MAX(C$2:C654),A$2:F654,2,FALSE)),"")</f>
        <v>XF</v>
      </c>
      <c r="E654" s="1" t="str">
        <f t="shared" si="21"/>
        <v/>
      </c>
    </row>
    <row r="655" spans="1:5" x14ac:dyDescent="0.25">
      <c r="A655" s="1">
        <v>654</v>
      </c>
      <c r="B655" s="1" t="str">
        <f>IFERROR(IF(F654&lt;&gt;"",F654,VLOOKUP(MAX(F$2:F654),A$1:B654,2,FALSE)),"")</f>
        <v/>
      </c>
      <c r="C655" s="1" t="str">
        <f t="shared" si="20"/>
        <v/>
      </c>
      <c r="D655" s="1" t="str">
        <f>IFERROR(IF(F655&lt;&gt;"",F655,VLOOKUP(MAX(C$2:C655),A$2:F655,2,FALSE)),"")</f>
        <v>XF</v>
      </c>
      <c r="E655" s="1" t="str">
        <f t="shared" si="21"/>
        <v/>
      </c>
    </row>
    <row r="656" spans="1:5" x14ac:dyDescent="0.25">
      <c r="A656" s="1">
        <v>655</v>
      </c>
      <c r="B656" s="1" t="str">
        <f>IFERROR(IF(F655&lt;&gt;"",F655,VLOOKUP(MAX(F$2:F655),A$1:B655,2,FALSE)),"")</f>
        <v/>
      </c>
      <c r="C656" s="1" t="str">
        <f t="shared" si="20"/>
        <v/>
      </c>
      <c r="D656" s="1" t="str">
        <f>IFERROR(IF(F656&lt;&gt;"",F656,VLOOKUP(MAX(C$2:C656),A$2:F656,2,FALSE)),"")</f>
        <v>XF</v>
      </c>
      <c r="E656" s="1" t="str">
        <f t="shared" si="21"/>
        <v/>
      </c>
    </row>
    <row r="657" spans="1:5" x14ac:dyDescent="0.25">
      <c r="A657" s="1">
        <v>656</v>
      </c>
      <c r="B657" s="1" t="str">
        <f>IFERROR(IF(F656&lt;&gt;"",F656,VLOOKUP(MAX(F$2:F656),A$1:B656,2,FALSE)),"")</f>
        <v/>
      </c>
      <c r="C657" s="1" t="str">
        <f t="shared" si="20"/>
        <v/>
      </c>
      <c r="D657" s="1" t="str">
        <f>IFERROR(IF(F657&lt;&gt;"",F657,VLOOKUP(MAX(C$2:C657),A$2:F657,2,FALSE)),"")</f>
        <v>XF</v>
      </c>
      <c r="E657" s="1" t="str">
        <f t="shared" si="21"/>
        <v/>
      </c>
    </row>
    <row r="658" spans="1:5" x14ac:dyDescent="0.25">
      <c r="A658" s="1">
        <v>657</v>
      </c>
      <c r="B658" s="1" t="str">
        <f>IFERROR(IF(F657&lt;&gt;"",F657,VLOOKUP(MAX(F$2:F657),A$1:B657,2,FALSE)),"")</f>
        <v/>
      </c>
      <c r="C658" s="1" t="str">
        <f t="shared" si="20"/>
        <v/>
      </c>
      <c r="D658" s="1" t="str">
        <f>IFERROR(IF(F658&lt;&gt;"",F658,VLOOKUP(MAX(C$2:C658),A$2:F658,2,FALSE)),"")</f>
        <v>XF</v>
      </c>
      <c r="E658" s="1" t="str">
        <f t="shared" si="21"/>
        <v/>
      </c>
    </row>
    <row r="659" spans="1:5" x14ac:dyDescent="0.25">
      <c r="A659" s="1">
        <v>658</v>
      </c>
      <c r="B659" s="1" t="str">
        <f>IFERROR(IF(F658&lt;&gt;"",F658,VLOOKUP(MAX(F$2:F658),A$1:B658,2,FALSE)),"")</f>
        <v/>
      </c>
      <c r="C659" s="1" t="str">
        <f t="shared" si="20"/>
        <v/>
      </c>
      <c r="D659" s="1" t="str">
        <f>IFERROR(IF(F659&lt;&gt;"",F659,VLOOKUP(MAX(C$2:C659),A$2:F659,2,FALSE)),"")</f>
        <v>XF</v>
      </c>
      <c r="E659" s="1" t="str">
        <f t="shared" si="21"/>
        <v/>
      </c>
    </row>
    <row r="660" spans="1:5" x14ac:dyDescent="0.25">
      <c r="A660" s="1">
        <v>659</v>
      </c>
      <c r="B660" s="1" t="str">
        <f>IFERROR(IF(F659&lt;&gt;"",F659,VLOOKUP(MAX(F$2:F659),A$1:B659,2,FALSE)),"")</f>
        <v/>
      </c>
      <c r="C660" s="1" t="str">
        <f t="shared" si="20"/>
        <v/>
      </c>
      <c r="D660" s="1" t="str">
        <f>IFERROR(IF(F660&lt;&gt;"",F660,VLOOKUP(MAX(C$2:C660),A$2:F660,2,FALSE)),"")</f>
        <v>XF</v>
      </c>
      <c r="E660" s="1" t="str">
        <f t="shared" si="21"/>
        <v/>
      </c>
    </row>
    <row r="661" spans="1:5" x14ac:dyDescent="0.25">
      <c r="A661" s="1">
        <v>660</v>
      </c>
      <c r="B661" s="1" t="str">
        <f>IFERROR(IF(F660&lt;&gt;"",F660,VLOOKUP(MAX(F$2:F660),A$1:B660,2,FALSE)),"")</f>
        <v/>
      </c>
      <c r="C661" s="1" t="str">
        <f t="shared" si="20"/>
        <v/>
      </c>
      <c r="D661" s="1" t="str">
        <f>IFERROR(IF(F661&lt;&gt;"",F661,VLOOKUP(MAX(C$2:C661),A$2:F661,2,FALSE)),"")</f>
        <v>XF</v>
      </c>
      <c r="E661" s="1" t="str">
        <f t="shared" si="21"/>
        <v/>
      </c>
    </row>
    <row r="662" spans="1:5" x14ac:dyDescent="0.25">
      <c r="A662" s="1">
        <v>661</v>
      </c>
      <c r="B662" s="1" t="str">
        <f>IFERROR(IF(F661&lt;&gt;"",F661,VLOOKUP(MAX(F$2:F661),A$1:B661,2,FALSE)),"")</f>
        <v/>
      </c>
      <c r="C662" s="1" t="str">
        <f t="shared" si="20"/>
        <v/>
      </c>
      <c r="D662" s="1" t="str">
        <f>IFERROR(IF(F662&lt;&gt;"",F662,VLOOKUP(MAX(C$2:C662),A$2:F662,2,FALSE)),"")</f>
        <v>XF</v>
      </c>
      <c r="E662" s="1" t="str">
        <f t="shared" si="21"/>
        <v/>
      </c>
    </row>
    <row r="663" spans="1:5" x14ac:dyDescent="0.25">
      <c r="A663" s="1">
        <v>662</v>
      </c>
      <c r="B663" s="1" t="str">
        <f>IFERROR(IF(F662&lt;&gt;"",F662,VLOOKUP(MAX(F$2:F662),A$1:B662,2,FALSE)),"")</f>
        <v/>
      </c>
      <c r="C663" s="1" t="str">
        <f t="shared" si="20"/>
        <v/>
      </c>
      <c r="D663" s="1" t="str">
        <f>IFERROR(IF(F663&lt;&gt;"",F663,VLOOKUP(MAX(C$2:C663),A$2:F663,2,FALSE)),"")</f>
        <v>XF</v>
      </c>
      <c r="E663" s="1" t="str">
        <f t="shared" si="21"/>
        <v/>
      </c>
    </row>
    <row r="664" spans="1:5" x14ac:dyDescent="0.25">
      <c r="A664" s="1">
        <v>663</v>
      </c>
      <c r="B664" s="1" t="str">
        <f>IFERROR(IF(F663&lt;&gt;"",F663,VLOOKUP(MAX(F$2:F663),A$1:B663,2,FALSE)),"")</f>
        <v/>
      </c>
      <c r="C664" s="1" t="str">
        <f t="shared" si="20"/>
        <v/>
      </c>
      <c r="D664" s="1" t="str">
        <f>IFERROR(IF(F664&lt;&gt;"",F664,VLOOKUP(MAX(C$2:C664),A$2:F664,2,FALSE)),"")</f>
        <v>XF</v>
      </c>
      <c r="E664" s="1" t="str">
        <f t="shared" si="21"/>
        <v/>
      </c>
    </row>
    <row r="665" spans="1:5" x14ac:dyDescent="0.25">
      <c r="A665" s="1">
        <v>664</v>
      </c>
      <c r="B665" s="1" t="str">
        <f>IFERROR(IF(F664&lt;&gt;"",F664,VLOOKUP(MAX(F$2:F664),A$1:B664,2,FALSE)),"")</f>
        <v/>
      </c>
      <c r="C665" s="1" t="str">
        <f t="shared" si="20"/>
        <v/>
      </c>
      <c r="D665" s="1" t="str">
        <f>IFERROR(IF(F665&lt;&gt;"",F665,VLOOKUP(MAX(C$2:C665),A$2:F665,2,FALSE)),"")</f>
        <v>XF</v>
      </c>
      <c r="E665" s="1" t="str">
        <f t="shared" si="21"/>
        <v/>
      </c>
    </row>
    <row r="666" spans="1:5" x14ac:dyDescent="0.25">
      <c r="A666" s="1">
        <v>665</v>
      </c>
      <c r="B666" s="1" t="str">
        <f>IFERROR(IF(F665&lt;&gt;"",F665,VLOOKUP(MAX(F$2:F665),A$1:B665,2,FALSE)),"")</f>
        <v/>
      </c>
      <c r="C666" s="1" t="str">
        <f t="shared" si="20"/>
        <v/>
      </c>
      <c r="D666" s="1" t="str">
        <f>IFERROR(IF(F666&lt;&gt;"",F666,VLOOKUP(MAX(C$2:C666),A$2:F666,2,FALSE)),"")</f>
        <v>XF</v>
      </c>
      <c r="E666" s="1" t="str">
        <f t="shared" si="21"/>
        <v/>
      </c>
    </row>
    <row r="667" spans="1:5" x14ac:dyDescent="0.25">
      <c r="A667" s="1">
        <v>666</v>
      </c>
      <c r="B667" s="1" t="str">
        <f>IFERROR(IF(F666&lt;&gt;"",F666,VLOOKUP(MAX(F$2:F666),A$1:B666,2,FALSE)),"")</f>
        <v/>
      </c>
      <c r="C667" s="1" t="str">
        <f t="shared" si="20"/>
        <v/>
      </c>
      <c r="D667" s="1" t="str">
        <f>IFERROR(IF(F667&lt;&gt;"",F667,VLOOKUP(MAX(C$2:C667),A$2:F667,2,FALSE)),"")</f>
        <v>XF</v>
      </c>
      <c r="E667" s="1" t="str">
        <f t="shared" si="21"/>
        <v/>
      </c>
    </row>
    <row r="668" spans="1:5" x14ac:dyDescent="0.25">
      <c r="A668" s="1">
        <v>667</v>
      </c>
      <c r="B668" s="1" t="str">
        <f>IFERROR(IF(F667&lt;&gt;"",F667,VLOOKUP(MAX(F$2:F667),A$1:B667,2,FALSE)),"")</f>
        <v/>
      </c>
      <c r="C668" s="1" t="str">
        <f t="shared" si="20"/>
        <v/>
      </c>
      <c r="D668" s="1" t="str">
        <f>IFERROR(IF(F668&lt;&gt;"",F668,VLOOKUP(MAX(C$2:C668),A$2:F668,2,FALSE)),"")</f>
        <v>XF</v>
      </c>
      <c r="E668" s="1" t="str">
        <f t="shared" si="21"/>
        <v/>
      </c>
    </row>
    <row r="669" spans="1:5" x14ac:dyDescent="0.25">
      <c r="A669" s="1">
        <v>668</v>
      </c>
      <c r="B669" s="1" t="str">
        <f>IFERROR(IF(F668&lt;&gt;"",F668,VLOOKUP(MAX(F$2:F668),A$1:B668,2,FALSE)),"")</f>
        <v/>
      </c>
      <c r="C669" s="1" t="str">
        <f t="shared" si="20"/>
        <v/>
      </c>
      <c r="D669" s="1" t="str">
        <f>IFERROR(IF(F669&lt;&gt;"",F669,VLOOKUP(MAX(C$2:C669),A$2:F669,2,FALSE)),"")</f>
        <v>XF</v>
      </c>
      <c r="E669" s="1" t="str">
        <f t="shared" si="21"/>
        <v/>
      </c>
    </row>
    <row r="670" spans="1:5" x14ac:dyDescent="0.25">
      <c r="A670" s="1">
        <v>669</v>
      </c>
      <c r="B670" s="1" t="str">
        <f>IFERROR(IF(F669&lt;&gt;"",F669,VLOOKUP(MAX(F$2:F669),A$1:B669,2,FALSE)),"")</f>
        <v/>
      </c>
      <c r="C670" s="1" t="str">
        <f t="shared" si="20"/>
        <v/>
      </c>
      <c r="D670" s="1" t="str">
        <f>IFERROR(IF(F670&lt;&gt;"",F670,VLOOKUP(MAX(C$2:C670),A$2:F670,2,FALSE)),"")</f>
        <v>XF</v>
      </c>
      <c r="E670" s="1" t="str">
        <f t="shared" si="21"/>
        <v/>
      </c>
    </row>
    <row r="671" spans="1:5" x14ac:dyDescent="0.25">
      <c r="A671" s="1">
        <v>670</v>
      </c>
      <c r="B671" s="1" t="str">
        <f>IFERROR(IF(F670&lt;&gt;"",F670,VLOOKUP(MAX(F$2:F670),A$1:B670,2,FALSE)),"")</f>
        <v/>
      </c>
      <c r="C671" s="1" t="str">
        <f t="shared" si="20"/>
        <v/>
      </c>
      <c r="D671" s="1" t="str">
        <f>IFERROR(IF(F671&lt;&gt;"",F671,VLOOKUP(MAX(C$2:C671),A$2:F671,2,FALSE)),"")</f>
        <v>XF</v>
      </c>
      <c r="E671" s="1" t="str">
        <f t="shared" si="21"/>
        <v/>
      </c>
    </row>
    <row r="672" spans="1:5" x14ac:dyDescent="0.25">
      <c r="A672" s="1">
        <v>671</v>
      </c>
      <c r="B672" s="1" t="str">
        <f>IFERROR(IF(F671&lt;&gt;"",F671,VLOOKUP(MAX(F$2:F671),A$1:B671,2,FALSE)),"")</f>
        <v/>
      </c>
      <c r="C672" s="1" t="str">
        <f t="shared" si="20"/>
        <v/>
      </c>
      <c r="D672" s="1" t="str">
        <f>IFERROR(IF(F672&lt;&gt;"",F672,VLOOKUP(MAX(C$2:C672),A$2:F672,2,FALSE)),"")</f>
        <v>XF</v>
      </c>
      <c r="E672" s="1" t="str">
        <f t="shared" si="21"/>
        <v/>
      </c>
    </row>
    <row r="673" spans="1:5" x14ac:dyDescent="0.25">
      <c r="A673" s="1">
        <v>672</v>
      </c>
      <c r="B673" s="1" t="str">
        <f>IFERROR(IF(F672&lt;&gt;"",F672,VLOOKUP(MAX(F$2:F672),A$1:B672,2,FALSE)),"")</f>
        <v/>
      </c>
      <c r="C673" s="1" t="str">
        <f t="shared" si="20"/>
        <v/>
      </c>
      <c r="D673" s="1" t="str">
        <f>IFERROR(IF(F673&lt;&gt;"",F673,VLOOKUP(MAX(C$2:C673),A$2:F673,2,FALSE)),"")</f>
        <v>XF</v>
      </c>
      <c r="E673" s="1" t="str">
        <f t="shared" si="21"/>
        <v/>
      </c>
    </row>
    <row r="674" spans="1:5" x14ac:dyDescent="0.25">
      <c r="A674" s="1">
        <v>673</v>
      </c>
      <c r="B674" s="1" t="str">
        <f>IFERROR(IF(F673&lt;&gt;"",F673,VLOOKUP(MAX(F$2:F673),A$1:B673,2,FALSE)),"")</f>
        <v/>
      </c>
      <c r="C674" s="1" t="str">
        <f t="shared" si="20"/>
        <v/>
      </c>
      <c r="D674" s="1" t="str">
        <f>IFERROR(IF(F674&lt;&gt;"",F674,VLOOKUP(MAX(C$2:C674),A$2:F674,2,FALSE)),"")</f>
        <v>XF</v>
      </c>
      <c r="E674" s="1" t="str">
        <f t="shared" si="21"/>
        <v/>
      </c>
    </row>
    <row r="675" spans="1:5" x14ac:dyDescent="0.25">
      <c r="A675" s="1">
        <v>674</v>
      </c>
      <c r="B675" s="1" t="str">
        <f>IFERROR(IF(F674&lt;&gt;"",F674,VLOOKUP(MAX(F$2:F674),A$1:B674,2,FALSE)),"")</f>
        <v/>
      </c>
      <c r="C675" s="1" t="str">
        <f t="shared" si="20"/>
        <v/>
      </c>
      <c r="D675" s="1" t="str">
        <f>IFERROR(IF(F675&lt;&gt;"",F675,VLOOKUP(MAX(C$2:C675),A$2:F675,2,FALSE)),"")</f>
        <v>XF</v>
      </c>
      <c r="E675" s="1" t="str">
        <f t="shared" si="21"/>
        <v/>
      </c>
    </row>
    <row r="676" spans="1:5" x14ac:dyDescent="0.25">
      <c r="A676" s="1">
        <v>675</v>
      </c>
      <c r="B676" s="1" t="str">
        <f>IFERROR(IF(F675&lt;&gt;"",F675,VLOOKUP(MAX(F$2:F675),A$1:B675,2,FALSE)),"")</f>
        <v/>
      </c>
      <c r="C676" s="1" t="str">
        <f t="shared" si="20"/>
        <v/>
      </c>
      <c r="D676" s="1" t="str">
        <f>IFERROR(IF(F676&lt;&gt;"",F676,VLOOKUP(MAX(C$2:C676),A$2:F676,2,FALSE)),"")</f>
        <v>XF</v>
      </c>
      <c r="E676" s="1" t="str">
        <f t="shared" si="21"/>
        <v/>
      </c>
    </row>
    <row r="677" spans="1:5" x14ac:dyDescent="0.25">
      <c r="A677" s="1">
        <v>676</v>
      </c>
      <c r="B677" s="1" t="str">
        <f>IFERROR(IF(F676&lt;&gt;"",F676,VLOOKUP(MAX(F$2:F676),A$1:B676,2,FALSE)),"")</f>
        <v/>
      </c>
      <c r="C677" s="1" t="str">
        <f t="shared" si="20"/>
        <v/>
      </c>
      <c r="D677" s="1" t="str">
        <f>IFERROR(IF(F677&lt;&gt;"",F677,VLOOKUP(MAX(C$2:C677),A$2:F677,2,FALSE)),"")</f>
        <v>XF</v>
      </c>
      <c r="E677" s="1" t="str">
        <f t="shared" si="21"/>
        <v/>
      </c>
    </row>
    <row r="678" spans="1:5" x14ac:dyDescent="0.25">
      <c r="A678" s="1">
        <v>677</v>
      </c>
      <c r="B678" s="1" t="str">
        <f>IFERROR(IF(F677&lt;&gt;"",F677,VLOOKUP(MAX(F$2:F677),A$1:B677,2,FALSE)),"")</f>
        <v/>
      </c>
      <c r="C678" s="1" t="str">
        <f t="shared" si="20"/>
        <v/>
      </c>
      <c r="D678" s="1" t="str">
        <f>IFERROR(IF(F678&lt;&gt;"",F678,VLOOKUP(MAX(C$2:C678),A$2:F678,2,FALSE)),"")</f>
        <v>XF</v>
      </c>
      <c r="E678" s="1" t="str">
        <f t="shared" si="21"/>
        <v/>
      </c>
    </row>
    <row r="679" spans="1:5" x14ac:dyDescent="0.25">
      <c r="A679" s="1">
        <v>678</v>
      </c>
      <c r="B679" s="1" t="str">
        <f>IFERROR(IF(F678&lt;&gt;"",F678,VLOOKUP(MAX(F$2:F678),A$1:B678,2,FALSE)),"")</f>
        <v/>
      </c>
      <c r="C679" s="1" t="str">
        <f t="shared" si="20"/>
        <v/>
      </c>
      <c r="D679" s="1" t="str">
        <f>IFERROR(IF(F679&lt;&gt;"",F679,VLOOKUP(MAX(C$2:C679),A$2:F679,2,FALSE)),"")</f>
        <v>XF</v>
      </c>
      <c r="E679" s="1" t="str">
        <f t="shared" si="21"/>
        <v/>
      </c>
    </row>
    <row r="680" spans="1:5" x14ac:dyDescent="0.25">
      <c r="A680" s="1">
        <v>679</v>
      </c>
      <c r="B680" s="1" t="str">
        <f>IFERROR(IF(F679&lt;&gt;"",F679,VLOOKUP(MAX(F$2:F679),A$1:B679,2,FALSE)),"")</f>
        <v/>
      </c>
      <c r="C680" s="1" t="str">
        <f t="shared" si="20"/>
        <v/>
      </c>
      <c r="D680" s="1" t="str">
        <f>IFERROR(IF(F680&lt;&gt;"",F680,VLOOKUP(MAX(C$2:C680),A$2:F680,2,FALSE)),"")</f>
        <v>XF</v>
      </c>
      <c r="E680" s="1" t="str">
        <f t="shared" si="21"/>
        <v/>
      </c>
    </row>
    <row r="681" spans="1:5" x14ac:dyDescent="0.25">
      <c r="A681" s="1">
        <v>680</v>
      </c>
      <c r="B681" s="1" t="str">
        <f>IFERROR(IF(F680&lt;&gt;"",F680,VLOOKUP(MAX(F$2:F680),A$1:B680,2,FALSE)),"")</f>
        <v/>
      </c>
      <c r="C681" s="1" t="str">
        <f t="shared" si="20"/>
        <v/>
      </c>
      <c r="D681" s="1" t="str">
        <f>IFERROR(IF(F681&lt;&gt;"",F681,VLOOKUP(MAX(C$2:C681),A$2:F681,2,FALSE)),"")</f>
        <v>XF</v>
      </c>
      <c r="E681" s="1" t="str">
        <f t="shared" si="21"/>
        <v/>
      </c>
    </row>
    <row r="682" spans="1:5" x14ac:dyDescent="0.25">
      <c r="A682" s="1">
        <v>681</v>
      </c>
      <c r="B682" s="1" t="str">
        <f>IFERROR(IF(F681&lt;&gt;"",F681,VLOOKUP(MAX(F$2:F681),A$1:B681,2,FALSE)),"")</f>
        <v/>
      </c>
      <c r="C682" s="1" t="str">
        <f t="shared" si="20"/>
        <v/>
      </c>
      <c r="D682" s="1" t="str">
        <f>IFERROR(IF(F682&lt;&gt;"",F682,VLOOKUP(MAX(C$2:C682),A$2:F682,2,FALSE)),"")</f>
        <v>XF</v>
      </c>
      <c r="E682" s="1" t="str">
        <f t="shared" si="21"/>
        <v/>
      </c>
    </row>
    <row r="683" spans="1:5" x14ac:dyDescent="0.25">
      <c r="A683" s="1">
        <v>682</v>
      </c>
      <c r="B683" s="1" t="str">
        <f>IFERROR(IF(F682&lt;&gt;"",F682,VLOOKUP(MAX(F$2:F682),A$1:B682,2,FALSE)),"")</f>
        <v/>
      </c>
      <c r="C683" s="1" t="str">
        <f t="shared" si="20"/>
        <v/>
      </c>
      <c r="D683" s="1" t="str">
        <f>IFERROR(IF(F683&lt;&gt;"",F683,VLOOKUP(MAX(C$2:C683),A$2:F683,2,FALSE)),"")</f>
        <v>XF</v>
      </c>
      <c r="E683" s="1" t="str">
        <f t="shared" si="21"/>
        <v/>
      </c>
    </row>
    <row r="684" spans="1:5" x14ac:dyDescent="0.25">
      <c r="A684" s="1">
        <v>683</v>
      </c>
      <c r="B684" s="1" t="str">
        <f>IFERROR(IF(F683&lt;&gt;"",F683,VLOOKUP(MAX(F$2:F683),A$1:B683,2,FALSE)),"")</f>
        <v/>
      </c>
      <c r="C684" s="1" t="str">
        <f t="shared" si="20"/>
        <v/>
      </c>
      <c r="D684" s="1" t="str">
        <f>IFERROR(IF(F684&lt;&gt;"",F684,VLOOKUP(MAX(C$2:C684),A$2:F684,2,FALSE)),"")</f>
        <v>XF</v>
      </c>
      <c r="E684" s="1" t="str">
        <f t="shared" si="21"/>
        <v/>
      </c>
    </row>
    <row r="685" spans="1:5" x14ac:dyDescent="0.25">
      <c r="A685" s="1">
        <v>684</v>
      </c>
      <c r="B685" s="1" t="str">
        <f>IFERROR(IF(F684&lt;&gt;"",F684,VLOOKUP(MAX(F$2:F684),A$1:B684,2,FALSE)),"")</f>
        <v/>
      </c>
      <c r="C685" s="1" t="str">
        <f t="shared" si="20"/>
        <v/>
      </c>
      <c r="D685" s="1" t="str">
        <f>IFERROR(IF(F685&lt;&gt;"",F685,VLOOKUP(MAX(C$2:C685),A$2:F685,2,FALSE)),"")</f>
        <v>XF</v>
      </c>
      <c r="E685" s="1" t="str">
        <f t="shared" si="21"/>
        <v/>
      </c>
    </row>
    <row r="686" spans="1:5" x14ac:dyDescent="0.25">
      <c r="A686" s="1">
        <v>685</v>
      </c>
      <c r="B686" s="1" t="str">
        <f>IFERROR(IF(F685&lt;&gt;"",F685,VLOOKUP(MAX(F$2:F685),A$1:B685,2,FALSE)),"")</f>
        <v/>
      </c>
      <c r="C686" s="1" t="str">
        <f t="shared" si="20"/>
        <v/>
      </c>
      <c r="D686" s="1" t="str">
        <f>IFERROR(IF(F686&lt;&gt;"",F686,VLOOKUP(MAX(C$2:C686),A$2:F686,2,FALSE)),"")</f>
        <v>XF</v>
      </c>
      <c r="E686" s="1" t="str">
        <f t="shared" si="21"/>
        <v/>
      </c>
    </row>
    <row r="687" spans="1:5" x14ac:dyDescent="0.25">
      <c r="A687" s="1">
        <v>686</v>
      </c>
      <c r="B687" s="1" t="str">
        <f>IFERROR(IF(F686&lt;&gt;"",F686,VLOOKUP(MAX(F$2:F686),A$1:B686,2,FALSE)),"")</f>
        <v/>
      </c>
      <c r="C687" s="1" t="str">
        <f t="shared" si="20"/>
        <v/>
      </c>
      <c r="D687" s="1" t="str">
        <f>IFERROR(IF(F687&lt;&gt;"",F687,VLOOKUP(MAX(C$2:C687),A$2:F687,2,FALSE)),"")</f>
        <v>XF</v>
      </c>
      <c r="E687" s="1" t="str">
        <f t="shared" si="21"/>
        <v/>
      </c>
    </row>
    <row r="688" spans="1:5" x14ac:dyDescent="0.25">
      <c r="A688" s="1">
        <v>687</v>
      </c>
      <c r="B688" s="1" t="str">
        <f>IFERROR(IF(F687&lt;&gt;"",F687,VLOOKUP(MAX(F$2:F687),A$1:B687,2,FALSE)),"")</f>
        <v/>
      </c>
      <c r="C688" s="1" t="str">
        <f t="shared" si="20"/>
        <v/>
      </c>
      <c r="D688" s="1" t="str">
        <f>IFERROR(IF(F688&lt;&gt;"",F688,VLOOKUP(MAX(C$2:C688),A$2:F688,2,FALSE)),"")</f>
        <v>XF</v>
      </c>
      <c r="E688" s="1" t="str">
        <f t="shared" si="21"/>
        <v/>
      </c>
    </row>
    <row r="689" spans="1:5" x14ac:dyDescent="0.25">
      <c r="A689" s="1">
        <v>688</v>
      </c>
      <c r="B689" s="1" t="str">
        <f>IFERROR(IF(F688&lt;&gt;"",F688,VLOOKUP(MAX(F$2:F688),A$1:B688,2,FALSE)),"")</f>
        <v/>
      </c>
      <c r="C689" s="1" t="str">
        <f t="shared" si="20"/>
        <v/>
      </c>
      <c r="D689" s="1" t="str">
        <f>IFERROR(IF(F689&lt;&gt;"",F689,VLOOKUP(MAX(C$2:C689),A$2:F689,2,FALSE)),"")</f>
        <v>XF</v>
      </c>
      <c r="E689" s="1" t="str">
        <f t="shared" si="21"/>
        <v/>
      </c>
    </row>
    <row r="690" spans="1:5" x14ac:dyDescent="0.25">
      <c r="A690" s="1">
        <v>689</v>
      </c>
      <c r="B690" s="1" t="str">
        <f>IFERROR(IF(F689&lt;&gt;"",F689,VLOOKUP(MAX(F$2:F689),A$1:B689,2,FALSE)),"")</f>
        <v/>
      </c>
      <c r="C690" s="1" t="str">
        <f t="shared" si="20"/>
        <v/>
      </c>
      <c r="D690" s="1" t="str">
        <f>IFERROR(IF(F690&lt;&gt;"",F690,VLOOKUP(MAX(C$2:C690),A$2:F690,2,FALSE)),"")</f>
        <v>XF</v>
      </c>
      <c r="E690" s="1" t="str">
        <f t="shared" si="21"/>
        <v/>
      </c>
    </row>
    <row r="691" spans="1:5" x14ac:dyDescent="0.25">
      <c r="A691" s="1">
        <v>690</v>
      </c>
      <c r="B691" s="1" t="str">
        <f>IFERROR(IF(F690&lt;&gt;"",F690,VLOOKUP(MAX(F$2:F690),A$1:B690,2,FALSE)),"")</f>
        <v/>
      </c>
      <c r="C691" s="1" t="str">
        <f t="shared" si="20"/>
        <v/>
      </c>
      <c r="D691" s="1" t="str">
        <f>IFERROR(IF(F691&lt;&gt;"",F691,VLOOKUP(MAX(C$2:C691),A$2:F691,2,FALSE)),"")</f>
        <v>XF</v>
      </c>
      <c r="E691" s="1" t="str">
        <f t="shared" si="21"/>
        <v/>
      </c>
    </row>
    <row r="692" spans="1:5" x14ac:dyDescent="0.25">
      <c r="A692" s="1">
        <v>691</v>
      </c>
      <c r="B692" s="1" t="str">
        <f>IFERROR(IF(F691&lt;&gt;"",F691,VLOOKUP(MAX(F$2:F691),A$1:B691,2,FALSE)),"")</f>
        <v/>
      </c>
      <c r="C692" s="1" t="str">
        <f t="shared" si="20"/>
        <v/>
      </c>
      <c r="D692" s="1" t="str">
        <f>IFERROR(IF(F692&lt;&gt;"",F692,VLOOKUP(MAX(C$2:C692),A$2:F692,2,FALSE)),"")</f>
        <v>XF</v>
      </c>
      <c r="E692" s="1" t="str">
        <f t="shared" si="21"/>
        <v/>
      </c>
    </row>
    <row r="693" spans="1:5" x14ac:dyDescent="0.25">
      <c r="A693" s="1">
        <v>692</v>
      </c>
      <c r="B693" s="1" t="str">
        <f>IFERROR(IF(F692&lt;&gt;"",F692,VLOOKUP(MAX(F$2:F692),A$1:B692,2,FALSE)),"")</f>
        <v/>
      </c>
      <c r="C693" s="1" t="str">
        <f t="shared" si="20"/>
        <v/>
      </c>
      <c r="D693" s="1" t="str">
        <f>IFERROR(IF(F693&lt;&gt;"",F693,VLOOKUP(MAX(C$2:C693),A$2:F693,2,FALSE)),"")</f>
        <v>XF</v>
      </c>
      <c r="E693" s="1" t="str">
        <f t="shared" si="21"/>
        <v/>
      </c>
    </row>
    <row r="694" spans="1:5" x14ac:dyDescent="0.25">
      <c r="A694" s="1">
        <v>693</v>
      </c>
      <c r="B694" s="1" t="str">
        <f>IFERROR(IF(F693&lt;&gt;"",F693,VLOOKUP(MAX(F$2:F693),A$1:B693,2,FALSE)),"")</f>
        <v/>
      </c>
      <c r="C694" s="1" t="str">
        <f t="shared" si="20"/>
        <v/>
      </c>
      <c r="D694" s="1" t="str">
        <f>IFERROR(IF(F694&lt;&gt;"",F694,VLOOKUP(MAX(C$2:C694),A$2:F694,2,FALSE)),"")</f>
        <v>XF</v>
      </c>
      <c r="E694" s="1" t="str">
        <f t="shared" si="21"/>
        <v/>
      </c>
    </row>
    <row r="695" spans="1:5" x14ac:dyDescent="0.25">
      <c r="A695" s="1">
        <v>694</v>
      </c>
      <c r="B695" s="1" t="str">
        <f>IFERROR(IF(F694&lt;&gt;"",F694,VLOOKUP(MAX(F$2:F694),A$1:B694,2,FALSE)),"")</f>
        <v/>
      </c>
      <c r="C695" s="1" t="str">
        <f t="shared" si="20"/>
        <v/>
      </c>
      <c r="D695" s="1" t="str">
        <f>IFERROR(IF(F695&lt;&gt;"",F695,VLOOKUP(MAX(C$2:C695),A$2:F695,2,FALSE)),"")</f>
        <v>XF</v>
      </c>
      <c r="E695" s="1" t="str">
        <f t="shared" si="21"/>
        <v/>
      </c>
    </row>
    <row r="696" spans="1:5" x14ac:dyDescent="0.25">
      <c r="A696" s="1">
        <v>695</v>
      </c>
      <c r="B696" s="1" t="str">
        <f>IFERROR(IF(F695&lt;&gt;"",F695,VLOOKUP(MAX(F$2:F695),A$1:B695,2,FALSE)),"")</f>
        <v/>
      </c>
      <c r="C696" s="1" t="str">
        <f t="shared" si="20"/>
        <v/>
      </c>
      <c r="D696" s="1" t="str">
        <f>IFERROR(IF(F696&lt;&gt;"",F696,VLOOKUP(MAX(C$2:C696),A$2:F696,2,FALSE)),"")</f>
        <v>XF</v>
      </c>
      <c r="E696" s="1" t="str">
        <f t="shared" si="21"/>
        <v/>
      </c>
    </row>
    <row r="697" spans="1:5" x14ac:dyDescent="0.25">
      <c r="A697" s="1">
        <v>696</v>
      </c>
      <c r="B697" s="1" t="str">
        <f>IFERROR(IF(F696&lt;&gt;"",F696,VLOOKUP(MAX(F$2:F696),A$1:B696,2,FALSE)),"")</f>
        <v/>
      </c>
      <c r="C697" s="1" t="str">
        <f t="shared" si="20"/>
        <v/>
      </c>
      <c r="D697" s="1" t="str">
        <f>IFERROR(IF(F697&lt;&gt;"",F697,VLOOKUP(MAX(C$2:C697),A$2:F697,2,FALSE)),"")</f>
        <v>XF</v>
      </c>
      <c r="E697" s="1" t="str">
        <f t="shared" si="21"/>
        <v/>
      </c>
    </row>
    <row r="698" spans="1:5" x14ac:dyDescent="0.25">
      <c r="A698" s="1">
        <v>697</v>
      </c>
      <c r="B698" s="1" t="str">
        <f>IFERROR(IF(F697&lt;&gt;"",F697,VLOOKUP(MAX(F$2:F697),A$1:B697,2,FALSE)),"")</f>
        <v/>
      </c>
      <c r="C698" s="1" t="str">
        <f t="shared" si="20"/>
        <v/>
      </c>
      <c r="D698" s="1" t="str">
        <f>IFERROR(IF(F698&lt;&gt;"",F698,VLOOKUP(MAX(C$2:C698),A$2:F698,2,FALSE)),"")</f>
        <v>XF</v>
      </c>
      <c r="E698" s="1" t="str">
        <f t="shared" si="21"/>
        <v/>
      </c>
    </row>
    <row r="699" spans="1:5" x14ac:dyDescent="0.25">
      <c r="A699" s="1">
        <v>698</v>
      </c>
      <c r="B699" s="1" t="str">
        <f>IFERROR(IF(F698&lt;&gt;"",F698,VLOOKUP(MAX(F$2:F698),A$1:B698,2,FALSE)),"")</f>
        <v/>
      </c>
      <c r="C699" s="1" t="str">
        <f t="shared" si="20"/>
        <v/>
      </c>
      <c r="D699" s="1" t="str">
        <f>IFERROR(IF(F699&lt;&gt;"",F699,VLOOKUP(MAX(C$2:C699),A$2:F699,2,FALSE)),"")</f>
        <v>XF</v>
      </c>
      <c r="E699" s="1" t="str">
        <f t="shared" si="21"/>
        <v/>
      </c>
    </row>
    <row r="700" spans="1:5" x14ac:dyDescent="0.25">
      <c r="A700" s="1">
        <v>699</v>
      </c>
      <c r="B700" s="1" t="str">
        <f>IFERROR(IF(F699&lt;&gt;"",F699,VLOOKUP(MAX(F$2:F699),A$1:B699,2,FALSE)),"")</f>
        <v/>
      </c>
      <c r="C700" s="1" t="str">
        <f t="shared" si="20"/>
        <v/>
      </c>
      <c r="D700" s="1" t="str">
        <f>IFERROR(IF(F700&lt;&gt;"",F700,VLOOKUP(MAX(C$2:C700),A$2:F700,2,FALSE)),"")</f>
        <v>XF</v>
      </c>
      <c r="E700" s="1" t="str">
        <f t="shared" si="21"/>
        <v/>
      </c>
    </row>
    <row r="701" spans="1:5" x14ac:dyDescent="0.25">
      <c r="A701" s="1">
        <v>700</v>
      </c>
      <c r="B701" s="1" t="str">
        <f>IFERROR(IF(F700&lt;&gt;"",F700,VLOOKUP(MAX(F$2:F700),A$1:B700,2,FALSE)),"")</f>
        <v/>
      </c>
      <c r="C701" s="1" t="str">
        <f t="shared" si="20"/>
        <v/>
      </c>
      <c r="D701" s="1" t="str">
        <f>IFERROR(IF(F701&lt;&gt;"",F701,VLOOKUP(MAX(C$2:C701),A$2:F701,2,FALSE)),"")</f>
        <v>XF</v>
      </c>
      <c r="E701" s="1" t="str">
        <f t="shared" si="21"/>
        <v/>
      </c>
    </row>
    <row r="702" spans="1:5" x14ac:dyDescent="0.25">
      <c r="A702" s="1">
        <v>701</v>
      </c>
      <c r="B702" s="1" t="str">
        <f>IFERROR(IF(F701&lt;&gt;"",F701,VLOOKUP(MAX(F$2:F701),A$1:B701,2,FALSE)),"")</f>
        <v/>
      </c>
      <c r="C702" s="1" t="str">
        <f t="shared" si="20"/>
        <v/>
      </c>
      <c r="D702" s="1" t="str">
        <f>IFERROR(IF(F702&lt;&gt;"",F702,VLOOKUP(MAX(C$2:C702),A$2:F702,2,FALSE)),"")</f>
        <v>XF</v>
      </c>
      <c r="E702" s="1" t="str">
        <f t="shared" si="21"/>
        <v/>
      </c>
    </row>
    <row r="703" spans="1:5" x14ac:dyDescent="0.25">
      <c r="A703" s="1">
        <v>702</v>
      </c>
      <c r="B703" s="1" t="str">
        <f>IFERROR(IF(F702&lt;&gt;"",F702,VLOOKUP(MAX(F$2:F702),A$1:B702,2,FALSE)),"")</f>
        <v/>
      </c>
      <c r="C703" s="1" t="str">
        <f t="shared" si="20"/>
        <v/>
      </c>
      <c r="D703" s="1" t="str">
        <f>IFERROR(IF(F703&lt;&gt;"",F703,VLOOKUP(MAX(C$2:C703),A$2:F703,2,FALSE)),"")</f>
        <v>XF</v>
      </c>
      <c r="E703" s="1" t="str">
        <f t="shared" si="21"/>
        <v/>
      </c>
    </row>
    <row r="704" spans="1:5" x14ac:dyDescent="0.25">
      <c r="A704" s="1">
        <v>703</v>
      </c>
      <c r="B704" s="1" t="str">
        <f>IFERROR(IF(F703&lt;&gt;"",F703,VLOOKUP(MAX(F$2:F703),A$1:B703,2,FALSE)),"")</f>
        <v/>
      </c>
      <c r="C704" s="1" t="str">
        <f t="shared" si="20"/>
        <v/>
      </c>
      <c r="D704" s="1" t="str">
        <f>IFERROR(IF(F704&lt;&gt;"",F704,VLOOKUP(MAX(C$2:C704),A$2:F704,2,FALSE)),"")</f>
        <v>XF</v>
      </c>
      <c r="E704" s="1" t="str">
        <f t="shared" si="21"/>
        <v/>
      </c>
    </row>
    <row r="705" spans="1:5" x14ac:dyDescent="0.25">
      <c r="A705" s="1">
        <v>704</v>
      </c>
      <c r="B705" s="1" t="str">
        <f>IFERROR(IF(F704&lt;&gt;"",F704,VLOOKUP(MAX(F$2:F704),A$1:B704,2,FALSE)),"")</f>
        <v/>
      </c>
      <c r="C705" s="1" t="str">
        <f t="shared" si="20"/>
        <v/>
      </c>
      <c r="D705" s="1" t="str">
        <f>IFERROR(IF(F705&lt;&gt;"",F705,VLOOKUP(MAX(C$2:C705),A$2:F705,2,FALSE)),"")</f>
        <v>XF</v>
      </c>
      <c r="E705" s="1" t="str">
        <f t="shared" si="21"/>
        <v/>
      </c>
    </row>
    <row r="706" spans="1:5" x14ac:dyDescent="0.25">
      <c r="A706" s="1">
        <v>705</v>
      </c>
      <c r="B706" s="1" t="str">
        <f>IFERROR(IF(F705&lt;&gt;"",F705,VLOOKUP(MAX(F$2:F705),A$1:B705,2,FALSE)),"")</f>
        <v/>
      </c>
      <c r="C706" s="1" t="str">
        <f t="shared" ref="C706:C769" si="22">IF(F706&lt;&gt;"",A706,"")</f>
        <v/>
      </c>
      <c r="D706" s="1" t="str">
        <f>IFERROR(IF(F706&lt;&gt;"",F706,VLOOKUP(MAX(C$2:C706),A$2:F706,2,FALSE)),"")</f>
        <v>XF</v>
      </c>
      <c r="E706" s="1" t="str">
        <f t="shared" si="21"/>
        <v/>
      </c>
    </row>
    <row r="707" spans="1:5" x14ac:dyDescent="0.25">
      <c r="A707" s="1">
        <v>706</v>
      </c>
      <c r="B707" s="1" t="str">
        <f>IFERROR(IF(F706&lt;&gt;"",F706,VLOOKUP(MAX(F$2:F706),A$1:B706,2,FALSE)),"")</f>
        <v/>
      </c>
      <c r="C707" s="1" t="str">
        <f t="shared" si="22"/>
        <v/>
      </c>
      <c r="D707" s="1" t="str">
        <f>IFERROR(IF(F707&lt;&gt;"",F707,VLOOKUP(MAX(C$2:C707),A$2:F707,2,FALSE)),"")</f>
        <v>XF</v>
      </c>
      <c r="E707" s="1" t="str">
        <f t="shared" si="21"/>
        <v/>
      </c>
    </row>
    <row r="708" spans="1:5" x14ac:dyDescent="0.25">
      <c r="A708" s="1">
        <v>707</v>
      </c>
      <c r="B708" s="1" t="str">
        <f>IFERROR(IF(F707&lt;&gt;"",F707,VLOOKUP(MAX(F$2:F707),A$1:B707,2,FALSE)),"")</f>
        <v/>
      </c>
      <c r="C708" s="1" t="str">
        <f t="shared" si="22"/>
        <v/>
      </c>
      <c r="D708" s="1" t="str">
        <f>IFERROR(IF(F708&lt;&gt;"",F708,VLOOKUP(MAX(C$2:C708),A$2:F708,2,FALSE)),"")</f>
        <v>XF</v>
      </c>
      <c r="E708" s="1" t="str">
        <f t="shared" ref="E708:E771" si="23">IF(H708&lt;&gt;"",CONCATENATE(D708,".",H708),"")</f>
        <v/>
      </c>
    </row>
    <row r="709" spans="1:5" x14ac:dyDescent="0.25">
      <c r="A709" s="1">
        <v>708</v>
      </c>
      <c r="B709" s="1" t="str">
        <f>IFERROR(IF(F708&lt;&gt;"",F708,VLOOKUP(MAX(F$2:F708),A$1:B708,2,FALSE)),"")</f>
        <v/>
      </c>
      <c r="C709" s="1" t="str">
        <f t="shared" si="22"/>
        <v/>
      </c>
      <c r="D709" s="1" t="str">
        <f>IFERROR(IF(F709&lt;&gt;"",F709,VLOOKUP(MAX(C$2:C709),A$2:F709,2,FALSE)),"")</f>
        <v>XF</v>
      </c>
      <c r="E709" s="1" t="str">
        <f t="shared" si="23"/>
        <v/>
      </c>
    </row>
    <row r="710" spans="1:5" x14ac:dyDescent="0.25">
      <c r="A710" s="1">
        <v>709</v>
      </c>
      <c r="B710" s="1" t="str">
        <f>IFERROR(IF(F709&lt;&gt;"",F709,VLOOKUP(MAX(F$2:F709),A$1:B709,2,FALSE)),"")</f>
        <v/>
      </c>
      <c r="C710" s="1" t="str">
        <f t="shared" si="22"/>
        <v/>
      </c>
      <c r="D710" s="1" t="str">
        <f>IFERROR(IF(F710&lt;&gt;"",F710,VLOOKUP(MAX(C$2:C710),A$2:F710,2,FALSE)),"")</f>
        <v>XF</v>
      </c>
      <c r="E710" s="1" t="str">
        <f t="shared" si="23"/>
        <v/>
      </c>
    </row>
    <row r="711" spans="1:5" x14ac:dyDescent="0.25">
      <c r="A711" s="1">
        <v>710</v>
      </c>
      <c r="B711" s="1" t="str">
        <f>IFERROR(IF(F710&lt;&gt;"",F710,VLOOKUP(MAX(F$2:F710),A$1:B710,2,FALSE)),"")</f>
        <v/>
      </c>
      <c r="C711" s="1" t="str">
        <f t="shared" si="22"/>
        <v/>
      </c>
      <c r="D711" s="1" t="str">
        <f>IFERROR(IF(F711&lt;&gt;"",F711,VLOOKUP(MAX(C$2:C711),A$2:F711,2,FALSE)),"")</f>
        <v>XF</v>
      </c>
      <c r="E711" s="1" t="str">
        <f t="shared" si="23"/>
        <v/>
      </c>
    </row>
    <row r="712" spans="1:5" x14ac:dyDescent="0.25">
      <c r="A712" s="1">
        <v>711</v>
      </c>
      <c r="B712" s="1" t="str">
        <f>IFERROR(IF(F711&lt;&gt;"",F711,VLOOKUP(MAX(F$2:F711),A$1:B711,2,FALSE)),"")</f>
        <v/>
      </c>
      <c r="C712" s="1" t="str">
        <f t="shared" si="22"/>
        <v/>
      </c>
      <c r="D712" s="1" t="str">
        <f>IFERROR(IF(F712&lt;&gt;"",F712,VLOOKUP(MAX(C$2:C712),A$2:F712,2,FALSE)),"")</f>
        <v>XF</v>
      </c>
      <c r="E712" s="1" t="str">
        <f t="shared" si="23"/>
        <v/>
      </c>
    </row>
    <row r="713" spans="1:5" x14ac:dyDescent="0.25">
      <c r="A713" s="1">
        <v>712</v>
      </c>
      <c r="B713" s="1" t="str">
        <f>IFERROR(IF(F712&lt;&gt;"",F712,VLOOKUP(MAX(F$2:F712),A$1:B712,2,FALSE)),"")</f>
        <v/>
      </c>
      <c r="C713" s="1" t="str">
        <f t="shared" si="22"/>
        <v/>
      </c>
      <c r="D713" s="1" t="str">
        <f>IFERROR(IF(F713&lt;&gt;"",F713,VLOOKUP(MAX(C$2:C713),A$2:F713,2,FALSE)),"")</f>
        <v>XF</v>
      </c>
      <c r="E713" s="1" t="str">
        <f t="shared" si="23"/>
        <v/>
      </c>
    </row>
    <row r="714" spans="1:5" x14ac:dyDescent="0.25">
      <c r="A714" s="1">
        <v>713</v>
      </c>
      <c r="B714" s="1" t="str">
        <f>IFERROR(IF(F713&lt;&gt;"",F713,VLOOKUP(MAX(F$2:F713),A$1:B713,2,FALSE)),"")</f>
        <v/>
      </c>
      <c r="C714" s="1" t="str">
        <f t="shared" si="22"/>
        <v/>
      </c>
      <c r="D714" s="1" t="str">
        <f>IFERROR(IF(F714&lt;&gt;"",F714,VLOOKUP(MAX(C$2:C714),A$2:F714,2,FALSE)),"")</f>
        <v>XF</v>
      </c>
      <c r="E714" s="1" t="str">
        <f t="shared" si="23"/>
        <v/>
      </c>
    </row>
    <row r="715" spans="1:5" x14ac:dyDescent="0.25">
      <c r="A715" s="1">
        <v>714</v>
      </c>
      <c r="B715" s="1" t="str">
        <f>IFERROR(IF(F714&lt;&gt;"",F714,VLOOKUP(MAX(F$2:F714),A$1:B714,2,FALSE)),"")</f>
        <v/>
      </c>
      <c r="C715" s="1" t="str">
        <f t="shared" si="22"/>
        <v/>
      </c>
      <c r="D715" s="1" t="str">
        <f>IFERROR(IF(F715&lt;&gt;"",F715,VLOOKUP(MAX(C$2:C715),A$2:F715,2,FALSE)),"")</f>
        <v>XF</v>
      </c>
      <c r="E715" s="1" t="str">
        <f t="shared" si="23"/>
        <v/>
      </c>
    </row>
    <row r="716" spans="1:5" x14ac:dyDescent="0.25">
      <c r="A716" s="1">
        <v>715</v>
      </c>
      <c r="B716" s="1" t="str">
        <f>IFERROR(IF(F715&lt;&gt;"",F715,VLOOKUP(MAX(F$2:F715),A$1:B715,2,FALSE)),"")</f>
        <v/>
      </c>
      <c r="C716" s="1" t="str">
        <f t="shared" si="22"/>
        <v/>
      </c>
      <c r="D716" s="1" t="str">
        <f>IFERROR(IF(F716&lt;&gt;"",F716,VLOOKUP(MAX(C$2:C716),A$2:F716,2,FALSE)),"")</f>
        <v>XF</v>
      </c>
      <c r="E716" s="1" t="str">
        <f t="shared" si="23"/>
        <v/>
      </c>
    </row>
    <row r="717" spans="1:5" x14ac:dyDescent="0.25">
      <c r="A717" s="1">
        <v>716</v>
      </c>
      <c r="B717" s="1" t="str">
        <f>IFERROR(IF(F716&lt;&gt;"",F716,VLOOKUP(MAX(F$2:F716),A$1:B716,2,FALSE)),"")</f>
        <v/>
      </c>
      <c r="C717" s="1" t="str">
        <f t="shared" si="22"/>
        <v/>
      </c>
      <c r="D717" s="1" t="str">
        <f>IFERROR(IF(F717&lt;&gt;"",F717,VLOOKUP(MAX(C$2:C717),A$2:F717,2,FALSE)),"")</f>
        <v>XF</v>
      </c>
      <c r="E717" s="1" t="str">
        <f t="shared" si="23"/>
        <v/>
      </c>
    </row>
    <row r="718" spans="1:5" x14ac:dyDescent="0.25">
      <c r="A718" s="1">
        <v>717</v>
      </c>
      <c r="B718" s="1" t="str">
        <f>IFERROR(IF(F717&lt;&gt;"",F717,VLOOKUP(MAX(F$2:F717),A$1:B717,2,FALSE)),"")</f>
        <v/>
      </c>
      <c r="C718" s="1" t="str">
        <f t="shared" si="22"/>
        <v/>
      </c>
      <c r="D718" s="1" t="str">
        <f>IFERROR(IF(F718&lt;&gt;"",F718,VLOOKUP(MAX(C$2:C718),A$2:F718,2,FALSE)),"")</f>
        <v>XF</v>
      </c>
      <c r="E718" s="1" t="str">
        <f t="shared" si="23"/>
        <v/>
      </c>
    </row>
    <row r="719" spans="1:5" x14ac:dyDescent="0.25">
      <c r="A719" s="1">
        <v>718</v>
      </c>
      <c r="B719" s="1" t="str">
        <f>IFERROR(IF(F718&lt;&gt;"",F718,VLOOKUP(MAX(F$2:F718),A$1:B718,2,FALSE)),"")</f>
        <v/>
      </c>
      <c r="C719" s="1" t="str">
        <f t="shared" si="22"/>
        <v/>
      </c>
      <c r="D719" s="1" t="str">
        <f>IFERROR(IF(F719&lt;&gt;"",F719,VLOOKUP(MAX(C$2:C719),A$2:F719,2,FALSE)),"")</f>
        <v>XF</v>
      </c>
      <c r="E719" s="1" t="str">
        <f t="shared" si="23"/>
        <v/>
      </c>
    </row>
    <row r="720" spans="1:5" x14ac:dyDescent="0.25">
      <c r="A720" s="1">
        <v>719</v>
      </c>
      <c r="B720" s="1" t="str">
        <f>IFERROR(IF(F719&lt;&gt;"",F719,VLOOKUP(MAX(F$2:F719),A$1:B719,2,FALSE)),"")</f>
        <v/>
      </c>
      <c r="C720" s="1" t="str">
        <f t="shared" si="22"/>
        <v/>
      </c>
      <c r="D720" s="1" t="str">
        <f>IFERROR(IF(F720&lt;&gt;"",F720,VLOOKUP(MAX(C$2:C720),A$2:F720,2,FALSE)),"")</f>
        <v>XF</v>
      </c>
      <c r="E720" s="1" t="str">
        <f t="shared" si="23"/>
        <v/>
      </c>
    </row>
    <row r="721" spans="1:5" x14ac:dyDescent="0.25">
      <c r="A721" s="1">
        <v>720</v>
      </c>
      <c r="B721" s="1" t="str">
        <f>IFERROR(IF(F720&lt;&gt;"",F720,VLOOKUP(MAX(F$2:F720),A$1:B720,2,FALSE)),"")</f>
        <v/>
      </c>
      <c r="C721" s="1" t="str">
        <f t="shared" si="22"/>
        <v/>
      </c>
      <c r="D721" s="1" t="str">
        <f>IFERROR(IF(F721&lt;&gt;"",F721,VLOOKUP(MAX(C$2:C721),A$2:F721,2,FALSE)),"")</f>
        <v>XF</v>
      </c>
      <c r="E721" s="1" t="str">
        <f t="shared" si="23"/>
        <v/>
      </c>
    </row>
    <row r="722" spans="1:5" x14ac:dyDescent="0.25">
      <c r="A722" s="1">
        <v>721</v>
      </c>
      <c r="B722" s="1" t="str">
        <f>IFERROR(IF(F721&lt;&gt;"",F721,VLOOKUP(MAX(F$2:F721),A$1:B721,2,FALSE)),"")</f>
        <v/>
      </c>
      <c r="C722" s="1" t="str">
        <f t="shared" si="22"/>
        <v/>
      </c>
      <c r="D722" s="1" t="str">
        <f>IFERROR(IF(F722&lt;&gt;"",F722,VLOOKUP(MAX(C$2:C722),A$2:F722,2,FALSE)),"")</f>
        <v>XF</v>
      </c>
      <c r="E722" s="1" t="str">
        <f t="shared" si="23"/>
        <v/>
      </c>
    </row>
    <row r="723" spans="1:5" x14ac:dyDescent="0.25">
      <c r="A723" s="1">
        <v>722</v>
      </c>
      <c r="B723" s="1" t="str">
        <f>IFERROR(IF(F722&lt;&gt;"",F722,VLOOKUP(MAX(F$2:F722),A$1:B722,2,FALSE)),"")</f>
        <v/>
      </c>
      <c r="C723" s="1" t="str">
        <f t="shared" si="22"/>
        <v/>
      </c>
      <c r="D723" s="1" t="str">
        <f>IFERROR(IF(F723&lt;&gt;"",F723,VLOOKUP(MAX(C$2:C723),A$2:F723,2,FALSE)),"")</f>
        <v>XF</v>
      </c>
      <c r="E723" s="1" t="str">
        <f t="shared" si="23"/>
        <v/>
      </c>
    </row>
    <row r="724" spans="1:5" x14ac:dyDescent="0.25">
      <c r="A724" s="1">
        <v>723</v>
      </c>
      <c r="B724" s="1" t="str">
        <f>IFERROR(IF(F723&lt;&gt;"",F723,VLOOKUP(MAX(F$2:F723),A$1:B723,2,FALSE)),"")</f>
        <v/>
      </c>
      <c r="C724" s="1" t="str">
        <f t="shared" si="22"/>
        <v/>
      </c>
      <c r="D724" s="1" t="str">
        <f>IFERROR(IF(F724&lt;&gt;"",F724,VLOOKUP(MAX(C$2:C724),A$2:F724,2,FALSE)),"")</f>
        <v>XF</v>
      </c>
      <c r="E724" s="1" t="str">
        <f t="shared" si="23"/>
        <v/>
      </c>
    </row>
    <row r="725" spans="1:5" x14ac:dyDescent="0.25">
      <c r="A725" s="1">
        <v>724</v>
      </c>
      <c r="B725" s="1" t="str">
        <f>IFERROR(IF(F724&lt;&gt;"",F724,VLOOKUP(MAX(F$2:F724),A$1:B724,2,FALSE)),"")</f>
        <v/>
      </c>
      <c r="C725" s="1" t="str">
        <f t="shared" si="22"/>
        <v/>
      </c>
      <c r="D725" s="1" t="str">
        <f>IFERROR(IF(F725&lt;&gt;"",F725,VLOOKUP(MAX(C$2:C725),A$2:F725,2,FALSE)),"")</f>
        <v>XF</v>
      </c>
      <c r="E725" s="1" t="str">
        <f t="shared" si="23"/>
        <v/>
      </c>
    </row>
    <row r="726" spans="1:5" x14ac:dyDescent="0.25">
      <c r="A726" s="1">
        <v>725</v>
      </c>
      <c r="B726" s="1" t="str">
        <f>IFERROR(IF(F725&lt;&gt;"",F725,VLOOKUP(MAX(F$2:F725),A$1:B725,2,FALSE)),"")</f>
        <v/>
      </c>
      <c r="C726" s="1" t="str">
        <f t="shared" si="22"/>
        <v/>
      </c>
      <c r="D726" s="1" t="str">
        <f>IFERROR(IF(F726&lt;&gt;"",F726,VLOOKUP(MAX(C$2:C726),A$2:F726,2,FALSE)),"")</f>
        <v>XF</v>
      </c>
      <c r="E726" s="1" t="str">
        <f t="shared" si="23"/>
        <v/>
      </c>
    </row>
    <row r="727" spans="1:5" x14ac:dyDescent="0.25">
      <c r="A727" s="1">
        <v>726</v>
      </c>
      <c r="B727" s="1" t="str">
        <f>IFERROR(IF(F726&lt;&gt;"",F726,VLOOKUP(MAX(F$2:F726),A$1:B726,2,FALSE)),"")</f>
        <v/>
      </c>
      <c r="C727" s="1" t="str">
        <f t="shared" si="22"/>
        <v/>
      </c>
      <c r="D727" s="1" t="str">
        <f>IFERROR(IF(F727&lt;&gt;"",F727,VLOOKUP(MAX(C$2:C727),A$2:F727,2,FALSE)),"")</f>
        <v>XF</v>
      </c>
      <c r="E727" s="1" t="str">
        <f t="shared" si="23"/>
        <v/>
      </c>
    </row>
    <row r="728" spans="1:5" x14ac:dyDescent="0.25">
      <c r="A728" s="1">
        <v>727</v>
      </c>
      <c r="B728" s="1" t="str">
        <f>IFERROR(IF(F727&lt;&gt;"",F727,VLOOKUP(MAX(F$2:F727),A$1:B727,2,FALSE)),"")</f>
        <v/>
      </c>
      <c r="C728" s="1" t="str">
        <f t="shared" si="22"/>
        <v/>
      </c>
      <c r="D728" s="1" t="str">
        <f>IFERROR(IF(F728&lt;&gt;"",F728,VLOOKUP(MAX(C$2:C728),A$2:F728,2,FALSE)),"")</f>
        <v>XF</v>
      </c>
      <c r="E728" s="1" t="str">
        <f t="shared" si="23"/>
        <v/>
      </c>
    </row>
    <row r="729" spans="1:5" x14ac:dyDescent="0.25">
      <c r="A729" s="1">
        <v>728</v>
      </c>
      <c r="B729" s="1" t="str">
        <f>IFERROR(IF(F728&lt;&gt;"",F728,VLOOKUP(MAX(F$2:F728),A$1:B728,2,FALSE)),"")</f>
        <v/>
      </c>
      <c r="C729" s="1" t="str">
        <f t="shared" si="22"/>
        <v/>
      </c>
      <c r="D729" s="1" t="str">
        <f>IFERROR(IF(F729&lt;&gt;"",F729,VLOOKUP(MAX(C$2:C729),A$2:F729,2,FALSE)),"")</f>
        <v>XF</v>
      </c>
      <c r="E729" s="1" t="str">
        <f t="shared" si="23"/>
        <v/>
      </c>
    </row>
    <row r="730" spans="1:5" x14ac:dyDescent="0.25">
      <c r="A730" s="1">
        <v>729</v>
      </c>
      <c r="B730" s="1" t="str">
        <f>IFERROR(IF(F729&lt;&gt;"",F729,VLOOKUP(MAX(F$2:F729),A$1:B729,2,FALSE)),"")</f>
        <v/>
      </c>
      <c r="C730" s="1" t="str">
        <f t="shared" si="22"/>
        <v/>
      </c>
      <c r="D730" s="1" t="str">
        <f>IFERROR(IF(F730&lt;&gt;"",F730,VLOOKUP(MAX(C$2:C730),A$2:F730,2,FALSE)),"")</f>
        <v>XF</v>
      </c>
      <c r="E730" s="1" t="str">
        <f t="shared" si="23"/>
        <v/>
      </c>
    </row>
    <row r="731" spans="1:5" x14ac:dyDescent="0.25">
      <c r="A731" s="1">
        <v>730</v>
      </c>
      <c r="B731" s="1" t="str">
        <f>IFERROR(IF(F730&lt;&gt;"",F730,VLOOKUP(MAX(F$2:F730),A$1:B730,2,FALSE)),"")</f>
        <v/>
      </c>
      <c r="C731" s="1" t="str">
        <f t="shared" si="22"/>
        <v/>
      </c>
      <c r="D731" s="1" t="str">
        <f>IFERROR(IF(F731&lt;&gt;"",F731,VLOOKUP(MAX(C$2:C731),A$2:F731,2,FALSE)),"")</f>
        <v>XF</v>
      </c>
      <c r="E731" s="1" t="str">
        <f t="shared" si="23"/>
        <v/>
      </c>
    </row>
    <row r="732" spans="1:5" x14ac:dyDescent="0.25">
      <c r="A732" s="1">
        <v>731</v>
      </c>
      <c r="B732" s="1" t="str">
        <f>IFERROR(IF(F731&lt;&gt;"",F731,VLOOKUP(MAX(F$2:F731),A$1:B731,2,FALSE)),"")</f>
        <v/>
      </c>
      <c r="C732" s="1" t="str">
        <f t="shared" si="22"/>
        <v/>
      </c>
      <c r="D732" s="1" t="str">
        <f>IFERROR(IF(F732&lt;&gt;"",F732,VLOOKUP(MAX(C$2:C732),A$2:F732,2,FALSE)),"")</f>
        <v>XF</v>
      </c>
      <c r="E732" s="1" t="str">
        <f t="shared" si="23"/>
        <v/>
      </c>
    </row>
    <row r="733" spans="1:5" x14ac:dyDescent="0.25">
      <c r="A733" s="1">
        <v>732</v>
      </c>
      <c r="B733" s="1" t="str">
        <f>IFERROR(IF(F732&lt;&gt;"",F732,VLOOKUP(MAX(F$2:F732),A$1:B732,2,FALSE)),"")</f>
        <v/>
      </c>
      <c r="C733" s="1" t="str">
        <f t="shared" si="22"/>
        <v/>
      </c>
      <c r="D733" s="1" t="str">
        <f>IFERROR(IF(F733&lt;&gt;"",F733,VLOOKUP(MAX(C$2:C733),A$2:F733,2,FALSE)),"")</f>
        <v>XF</v>
      </c>
      <c r="E733" s="1" t="str">
        <f t="shared" si="23"/>
        <v/>
      </c>
    </row>
    <row r="734" spans="1:5" x14ac:dyDescent="0.25">
      <c r="A734" s="1">
        <v>733</v>
      </c>
      <c r="B734" s="1" t="str">
        <f>IFERROR(IF(F733&lt;&gt;"",F733,VLOOKUP(MAX(F$2:F733),A$1:B733,2,FALSE)),"")</f>
        <v/>
      </c>
      <c r="C734" s="1" t="str">
        <f t="shared" si="22"/>
        <v/>
      </c>
      <c r="D734" s="1" t="str">
        <f>IFERROR(IF(F734&lt;&gt;"",F734,VLOOKUP(MAX(C$2:C734),A$2:F734,2,FALSE)),"")</f>
        <v>XF</v>
      </c>
      <c r="E734" s="1" t="str">
        <f t="shared" si="23"/>
        <v/>
      </c>
    </row>
    <row r="735" spans="1:5" x14ac:dyDescent="0.25">
      <c r="A735" s="1">
        <v>734</v>
      </c>
      <c r="B735" s="1" t="str">
        <f>IFERROR(IF(F734&lt;&gt;"",F734,VLOOKUP(MAX(F$2:F734),A$1:B734,2,FALSE)),"")</f>
        <v/>
      </c>
      <c r="C735" s="1" t="str">
        <f t="shared" si="22"/>
        <v/>
      </c>
      <c r="D735" s="1" t="str">
        <f>IFERROR(IF(F735&lt;&gt;"",F735,VLOOKUP(MAX(C$2:C735),A$2:F735,2,FALSE)),"")</f>
        <v>XF</v>
      </c>
      <c r="E735" s="1" t="str">
        <f t="shared" si="23"/>
        <v/>
      </c>
    </row>
    <row r="736" spans="1:5" x14ac:dyDescent="0.25">
      <c r="A736" s="1">
        <v>735</v>
      </c>
      <c r="B736" s="1" t="str">
        <f>IFERROR(IF(F735&lt;&gt;"",F735,VLOOKUP(MAX(F$2:F735),A$1:B735,2,FALSE)),"")</f>
        <v/>
      </c>
      <c r="C736" s="1" t="str">
        <f t="shared" si="22"/>
        <v/>
      </c>
      <c r="D736" s="1" t="str">
        <f>IFERROR(IF(F736&lt;&gt;"",F736,VLOOKUP(MAX(C$2:C736),A$2:F736,2,FALSE)),"")</f>
        <v>XF</v>
      </c>
      <c r="E736" s="1" t="str">
        <f t="shared" si="23"/>
        <v/>
      </c>
    </row>
    <row r="737" spans="1:5" x14ac:dyDescent="0.25">
      <c r="A737" s="1">
        <v>736</v>
      </c>
      <c r="B737" s="1" t="str">
        <f>IFERROR(IF(F736&lt;&gt;"",F736,VLOOKUP(MAX(F$2:F736),A$1:B736,2,FALSE)),"")</f>
        <v/>
      </c>
      <c r="C737" s="1" t="str">
        <f t="shared" si="22"/>
        <v/>
      </c>
      <c r="D737" s="1" t="str">
        <f>IFERROR(IF(F737&lt;&gt;"",F737,VLOOKUP(MAX(C$2:C737),A$2:F737,2,FALSE)),"")</f>
        <v>XF</v>
      </c>
      <c r="E737" s="1" t="str">
        <f t="shared" si="23"/>
        <v/>
      </c>
    </row>
    <row r="738" spans="1:5" x14ac:dyDescent="0.25">
      <c r="A738" s="1">
        <v>737</v>
      </c>
      <c r="B738" s="1" t="str">
        <f>IFERROR(IF(F737&lt;&gt;"",F737,VLOOKUP(MAX(F$2:F737),A$1:B737,2,FALSE)),"")</f>
        <v/>
      </c>
      <c r="C738" s="1" t="str">
        <f t="shared" si="22"/>
        <v/>
      </c>
      <c r="D738" s="1" t="str">
        <f>IFERROR(IF(F738&lt;&gt;"",F738,VLOOKUP(MAX(C$2:C738),A$2:F738,2,FALSE)),"")</f>
        <v>XF</v>
      </c>
      <c r="E738" s="1" t="str">
        <f t="shared" si="23"/>
        <v/>
      </c>
    </row>
    <row r="739" spans="1:5" x14ac:dyDescent="0.25">
      <c r="A739" s="1">
        <v>738</v>
      </c>
      <c r="B739" s="1" t="str">
        <f>IFERROR(IF(F738&lt;&gt;"",F738,VLOOKUP(MAX(F$2:F738),A$1:B738,2,FALSE)),"")</f>
        <v/>
      </c>
      <c r="C739" s="1" t="str">
        <f t="shared" si="22"/>
        <v/>
      </c>
      <c r="D739" s="1" t="str">
        <f>IFERROR(IF(F739&lt;&gt;"",F739,VLOOKUP(MAX(C$2:C739),A$2:F739,2,FALSE)),"")</f>
        <v>XF</v>
      </c>
      <c r="E739" s="1" t="str">
        <f t="shared" si="23"/>
        <v/>
      </c>
    </row>
    <row r="740" spans="1:5" x14ac:dyDescent="0.25">
      <c r="A740" s="1">
        <v>739</v>
      </c>
      <c r="B740" s="1" t="str">
        <f>IFERROR(IF(F739&lt;&gt;"",F739,VLOOKUP(MAX(F$2:F739),A$1:B739,2,FALSE)),"")</f>
        <v/>
      </c>
      <c r="C740" s="1" t="str">
        <f t="shared" si="22"/>
        <v/>
      </c>
      <c r="D740" s="1" t="str">
        <f>IFERROR(IF(F740&lt;&gt;"",F740,VLOOKUP(MAX(C$2:C740),A$2:F740,2,FALSE)),"")</f>
        <v>XF</v>
      </c>
      <c r="E740" s="1" t="str">
        <f t="shared" si="23"/>
        <v/>
      </c>
    </row>
    <row r="741" spans="1:5" x14ac:dyDescent="0.25">
      <c r="A741" s="1">
        <v>740</v>
      </c>
      <c r="B741" s="1" t="str">
        <f>IFERROR(IF(F740&lt;&gt;"",F740,VLOOKUP(MAX(F$2:F740),A$1:B740,2,FALSE)),"")</f>
        <v/>
      </c>
      <c r="C741" s="1" t="str">
        <f t="shared" si="22"/>
        <v/>
      </c>
      <c r="D741" s="1" t="str">
        <f>IFERROR(IF(F741&lt;&gt;"",F741,VLOOKUP(MAX(C$2:C741),A$2:F741,2,FALSE)),"")</f>
        <v>XF</v>
      </c>
      <c r="E741" s="1" t="str">
        <f t="shared" si="23"/>
        <v/>
      </c>
    </row>
    <row r="742" spans="1:5" x14ac:dyDescent="0.25">
      <c r="A742" s="1">
        <v>741</v>
      </c>
      <c r="B742" s="1" t="str">
        <f>IFERROR(IF(F741&lt;&gt;"",F741,VLOOKUP(MAX(F$2:F741),A$1:B741,2,FALSE)),"")</f>
        <v/>
      </c>
      <c r="C742" s="1" t="str">
        <f t="shared" si="22"/>
        <v/>
      </c>
      <c r="D742" s="1" t="str">
        <f>IFERROR(IF(F742&lt;&gt;"",F742,VLOOKUP(MAX(C$2:C742),A$2:F742,2,FALSE)),"")</f>
        <v>XF</v>
      </c>
      <c r="E742" s="1" t="str">
        <f t="shared" si="23"/>
        <v/>
      </c>
    </row>
    <row r="743" spans="1:5" x14ac:dyDescent="0.25">
      <c r="A743" s="1">
        <v>742</v>
      </c>
      <c r="B743" s="1" t="str">
        <f>IFERROR(IF(F742&lt;&gt;"",F742,VLOOKUP(MAX(F$2:F742),A$1:B742,2,FALSE)),"")</f>
        <v/>
      </c>
      <c r="C743" s="1" t="str">
        <f t="shared" si="22"/>
        <v/>
      </c>
      <c r="D743" s="1" t="str">
        <f>IFERROR(IF(F743&lt;&gt;"",F743,VLOOKUP(MAX(C$2:C743),A$2:F743,2,FALSE)),"")</f>
        <v>XF</v>
      </c>
      <c r="E743" s="1" t="str">
        <f t="shared" si="23"/>
        <v/>
      </c>
    </row>
    <row r="744" spans="1:5" x14ac:dyDescent="0.25">
      <c r="A744" s="1">
        <v>743</v>
      </c>
      <c r="B744" s="1" t="str">
        <f>IFERROR(IF(F743&lt;&gt;"",F743,VLOOKUP(MAX(F$2:F743),A$1:B743,2,FALSE)),"")</f>
        <v/>
      </c>
      <c r="C744" s="1" t="str">
        <f t="shared" si="22"/>
        <v/>
      </c>
      <c r="D744" s="1" t="str">
        <f>IFERROR(IF(F744&lt;&gt;"",F744,VLOOKUP(MAX(C$2:C744),A$2:F744,2,FALSE)),"")</f>
        <v>XF</v>
      </c>
      <c r="E744" s="1" t="str">
        <f t="shared" si="23"/>
        <v/>
      </c>
    </row>
    <row r="745" spans="1:5" x14ac:dyDescent="0.25">
      <c r="A745" s="1">
        <v>744</v>
      </c>
      <c r="B745" s="1" t="str">
        <f>IFERROR(IF(F744&lt;&gt;"",F744,VLOOKUP(MAX(F$2:F744),A$1:B744,2,FALSE)),"")</f>
        <v/>
      </c>
      <c r="C745" s="1" t="str">
        <f t="shared" si="22"/>
        <v/>
      </c>
      <c r="D745" s="1" t="str">
        <f>IFERROR(IF(F745&lt;&gt;"",F745,VLOOKUP(MAX(C$2:C745),A$2:F745,2,FALSE)),"")</f>
        <v>XF</v>
      </c>
      <c r="E745" s="1" t="str">
        <f t="shared" si="23"/>
        <v/>
      </c>
    </row>
    <row r="746" spans="1:5" x14ac:dyDescent="0.25">
      <c r="A746" s="1">
        <v>745</v>
      </c>
      <c r="B746" s="1" t="str">
        <f>IFERROR(IF(F745&lt;&gt;"",F745,VLOOKUP(MAX(F$2:F745),A$1:B745,2,FALSE)),"")</f>
        <v/>
      </c>
      <c r="C746" s="1" t="str">
        <f t="shared" si="22"/>
        <v/>
      </c>
      <c r="D746" s="1" t="str">
        <f>IFERROR(IF(F746&lt;&gt;"",F746,VLOOKUP(MAX(C$2:C746),A$2:F746,2,FALSE)),"")</f>
        <v>XF</v>
      </c>
      <c r="E746" s="1" t="str">
        <f t="shared" si="23"/>
        <v/>
      </c>
    </row>
    <row r="747" spans="1:5" x14ac:dyDescent="0.25">
      <c r="A747" s="1">
        <v>746</v>
      </c>
      <c r="B747" s="1" t="str">
        <f>IFERROR(IF(F746&lt;&gt;"",F746,VLOOKUP(MAX(F$2:F746),A$1:B746,2,FALSE)),"")</f>
        <v/>
      </c>
      <c r="C747" s="1" t="str">
        <f t="shared" si="22"/>
        <v/>
      </c>
      <c r="D747" s="1" t="str">
        <f>IFERROR(IF(F747&lt;&gt;"",F747,VLOOKUP(MAX(C$2:C747),A$2:F747,2,FALSE)),"")</f>
        <v>XF</v>
      </c>
      <c r="E747" s="1" t="str">
        <f t="shared" si="23"/>
        <v/>
      </c>
    </row>
    <row r="748" spans="1:5" x14ac:dyDescent="0.25">
      <c r="A748" s="1">
        <v>747</v>
      </c>
      <c r="B748" s="1" t="str">
        <f>IFERROR(IF(F747&lt;&gt;"",F747,VLOOKUP(MAX(F$2:F747),A$1:B747,2,FALSE)),"")</f>
        <v/>
      </c>
      <c r="C748" s="1" t="str">
        <f t="shared" si="22"/>
        <v/>
      </c>
      <c r="D748" s="1" t="str">
        <f>IFERROR(IF(F748&lt;&gt;"",F748,VLOOKUP(MAX(C$2:C748),A$2:F748,2,FALSE)),"")</f>
        <v>XF</v>
      </c>
      <c r="E748" s="1" t="str">
        <f t="shared" si="23"/>
        <v/>
      </c>
    </row>
    <row r="749" spans="1:5" x14ac:dyDescent="0.25">
      <c r="A749" s="1">
        <v>748</v>
      </c>
      <c r="B749" s="1" t="str">
        <f>IFERROR(IF(F748&lt;&gt;"",F748,VLOOKUP(MAX(F$2:F748),A$1:B748,2,FALSE)),"")</f>
        <v/>
      </c>
      <c r="C749" s="1" t="str">
        <f t="shared" si="22"/>
        <v/>
      </c>
      <c r="D749" s="1" t="str">
        <f>IFERROR(IF(F749&lt;&gt;"",F749,VLOOKUP(MAX(C$2:C749),A$2:F749,2,FALSE)),"")</f>
        <v>XF</v>
      </c>
      <c r="E749" s="1" t="str">
        <f t="shared" si="23"/>
        <v/>
      </c>
    </row>
    <row r="750" spans="1:5" x14ac:dyDescent="0.25">
      <c r="A750" s="1">
        <v>749</v>
      </c>
      <c r="B750" s="1" t="str">
        <f>IFERROR(IF(F749&lt;&gt;"",F749,VLOOKUP(MAX(F$2:F749),A$1:B749,2,FALSE)),"")</f>
        <v/>
      </c>
      <c r="C750" s="1" t="str">
        <f t="shared" si="22"/>
        <v/>
      </c>
      <c r="D750" s="1" t="str">
        <f>IFERROR(IF(F750&lt;&gt;"",F750,VLOOKUP(MAX(C$2:C750),A$2:F750,2,FALSE)),"")</f>
        <v>XF</v>
      </c>
      <c r="E750" s="1" t="str">
        <f t="shared" si="23"/>
        <v/>
      </c>
    </row>
    <row r="751" spans="1:5" x14ac:dyDescent="0.25">
      <c r="A751" s="1">
        <v>750</v>
      </c>
      <c r="B751" s="1" t="str">
        <f>IFERROR(IF(F750&lt;&gt;"",F750,VLOOKUP(MAX(F$2:F750),A$1:B750,2,FALSE)),"")</f>
        <v/>
      </c>
      <c r="C751" s="1" t="str">
        <f t="shared" si="22"/>
        <v/>
      </c>
      <c r="D751" s="1" t="str">
        <f>IFERROR(IF(F751&lt;&gt;"",F751,VLOOKUP(MAX(C$2:C751),A$2:F751,2,FALSE)),"")</f>
        <v>XF</v>
      </c>
      <c r="E751" s="1" t="str">
        <f t="shared" si="23"/>
        <v/>
      </c>
    </row>
    <row r="752" spans="1:5" x14ac:dyDescent="0.25">
      <c r="A752" s="1">
        <v>751</v>
      </c>
      <c r="B752" s="1" t="str">
        <f>IFERROR(IF(F751&lt;&gt;"",F751,VLOOKUP(MAX(F$2:F751),A$1:B751,2,FALSE)),"")</f>
        <v/>
      </c>
      <c r="C752" s="1" t="str">
        <f t="shared" si="22"/>
        <v/>
      </c>
      <c r="D752" s="1" t="str">
        <f>IFERROR(IF(F752&lt;&gt;"",F752,VLOOKUP(MAX(C$2:C752),A$2:F752,2,FALSE)),"")</f>
        <v>XF</v>
      </c>
      <c r="E752" s="1" t="str">
        <f t="shared" si="23"/>
        <v/>
      </c>
    </row>
    <row r="753" spans="1:5" x14ac:dyDescent="0.25">
      <c r="A753" s="1">
        <v>752</v>
      </c>
      <c r="B753" s="1" t="str">
        <f>IFERROR(IF(F752&lt;&gt;"",F752,VLOOKUP(MAX(F$2:F752),A$1:B752,2,FALSE)),"")</f>
        <v/>
      </c>
      <c r="C753" s="1" t="str">
        <f t="shared" si="22"/>
        <v/>
      </c>
      <c r="D753" s="1" t="str">
        <f>IFERROR(IF(F753&lt;&gt;"",F753,VLOOKUP(MAX(C$2:C753),A$2:F753,2,FALSE)),"")</f>
        <v>XF</v>
      </c>
      <c r="E753" s="1" t="str">
        <f t="shared" si="23"/>
        <v/>
      </c>
    </row>
    <row r="754" spans="1:5" x14ac:dyDescent="0.25">
      <c r="A754" s="1">
        <v>753</v>
      </c>
      <c r="B754" s="1" t="str">
        <f>IFERROR(IF(F753&lt;&gt;"",F753,VLOOKUP(MAX(F$2:F753),A$1:B753,2,FALSE)),"")</f>
        <v/>
      </c>
      <c r="C754" s="1" t="str">
        <f t="shared" si="22"/>
        <v/>
      </c>
      <c r="D754" s="1" t="str">
        <f>IFERROR(IF(F754&lt;&gt;"",F754,VLOOKUP(MAX(C$2:C754),A$2:F754,2,FALSE)),"")</f>
        <v>XF</v>
      </c>
      <c r="E754" s="1" t="str">
        <f t="shared" si="23"/>
        <v/>
      </c>
    </row>
    <row r="755" spans="1:5" x14ac:dyDescent="0.25">
      <c r="A755" s="1">
        <v>754</v>
      </c>
      <c r="B755" s="1" t="str">
        <f>IFERROR(IF(F754&lt;&gt;"",F754,VLOOKUP(MAX(F$2:F754),A$1:B754,2,FALSE)),"")</f>
        <v/>
      </c>
      <c r="C755" s="1" t="str">
        <f t="shared" si="22"/>
        <v/>
      </c>
      <c r="D755" s="1" t="str">
        <f>IFERROR(IF(F755&lt;&gt;"",F755,VLOOKUP(MAX(C$2:C755),A$2:F755,2,FALSE)),"")</f>
        <v>XF</v>
      </c>
      <c r="E755" s="1" t="str">
        <f t="shared" si="23"/>
        <v/>
      </c>
    </row>
    <row r="756" spans="1:5" x14ac:dyDescent="0.25">
      <c r="A756" s="1">
        <v>755</v>
      </c>
      <c r="B756" s="1" t="str">
        <f>IFERROR(IF(F755&lt;&gt;"",F755,VLOOKUP(MAX(F$2:F755),A$1:B755,2,FALSE)),"")</f>
        <v/>
      </c>
      <c r="C756" s="1" t="str">
        <f t="shared" si="22"/>
        <v/>
      </c>
      <c r="D756" s="1" t="str">
        <f>IFERROR(IF(F756&lt;&gt;"",F756,VLOOKUP(MAX(C$2:C756),A$2:F756,2,FALSE)),"")</f>
        <v>XF</v>
      </c>
      <c r="E756" s="1" t="str">
        <f t="shared" si="23"/>
        <v/>
      </c>
    </row>
    <row r="757" spans="1:5" x14ac:dyDescent="0.25">
      <c r="A757" s="1">
        <v>756</v>
      </c>
      <c r="B757" s="1" t="str">
        <f>IFERROR(IF(F756&lt;&gt;"",F756,VLOOKUP(MAX(F$2:F756),A$1:B756,2,FALSE)),"")</f>
        <v/>
      </c>
      <c r="C757" s="1" t="str">
        <f t="shared" si="22"/>
        <v/>
      </c>
      <c r="D757" s="1" t="str">
        <f>IFERROR(IF(F757&lt;&gt;"",F757,VLOOKUP(MAX(C$2:C757),A$2:F757,2,FALSE)),"")</f>
        <v>XF</v>
      </c>
      <c r="E757" s="1" t="str">
        <f t="shared" si="23"/>
        <v/>
      </c>
    </row>
    <row r="758" spans="1:5" x14ac:dyDescent="0.25">
      <c r="A758" s="1">
        <v>757</v>
      </c>
      <c r="B758" s="1" t="str">
        <f>IFERROR(IF(F757&lt;&gt;"",F757,VLOOKUP(MAX(F$2:F757),A$1:B757,2,FALSE)),"")</f>
        <v/>
      </c>
      <c r="C758" s="1" t="str">
        <f t="shared" si="22"/>
        <v/>
      </c>
      <c r="D758" s="1" t="str">
        <f>IFERROR(IF(F758&lt;&gt;"",F758,VLOOKUP(MAX(C$2:C758),A$2:F758,2,FALSE)),"")</f>
        <v>XF</v>
      </c>
      <c r="E758" s="1" t="str">
        <f t="shared" si="23"/>
        <v/>
      </c>
    </row>
    <row r="759" spans="1:5" x14ac:dyDescent="0.25">
      <c r="A759" s="1">
        <v>758</v>
      </c>
      <c r="B759" s="1" t="str">
        <f>IFERROR(IF(F758&lt;&gt;"",F758,VLOOKUP(MAX(F$2:F758),A$1:B758,2,FALSE)),"")</f>
        <v/>
      </c>
      <c r="C759" s="1" t="str">
        <f t="shared" si="22"/>
        <v/>
      </c>
      <c r="D759" s="1" t="str">
        <f>IFERROR(IF(F759&lt;&gt;"",F759,VLOOKUP(MAX(C$2:C759),A$2:F759,2,FALSE)),"")</f>
        <v>XF</v>
      </c>
      <c r="E759" s="1" t="str">
        <f t="shared" si="23"/>
        <v/>
      </c>
    </row>
    <row r="760" spans="1:5" x14ac:dyDescent="0.25">
      <c r="A760" s="1">
        <v>759</v>
      </c>
      <c r="B760" s="1" t="str">
        <f>IFERROR(IF(F759&lt;&gt;"",F759,VLOOKUP(MAX(F$2:F759),A$1:B759,2,FALSE)),"")</f>
        <v/>
      </c>
      <c r="C760" s="1" t="str">
        <f t="shared" si="22"/>
        <v/>
      </c>
      <c r="D760" s="1" t="str">
        <f>IFERROR(IF(F760&lt;&gt;"",F760,VLOOKUP(MAX(C$2:C760),A$2:F760,2,FALSE)),"")</f>
        <v>XF</v>
      </c>
      <c r="E760" s="1" t="str">
        <f t="shared" si="23"/>
        <v/>
      </c>
    </row>
    <row r="761" spans="1:5" x14ac:dyDescent="0.25">
      <c r="A761" s="1">
        <v>760</v>
      </c>
      <c r="B761" s="1" t="str">
        <f>IFERROR(IF(F760&lt;&gt;"",F760,VLOOKUP(MAX(F$2:F760),A$1:B760,2,FALSE)),"")</f>
        <v/>
      </c>
      <c r="C761" s="1" t="str">
        <f t="shared" si="22"/>
        <v/>
      </c>
      <c r="D761" s="1" t="str">
        <f>IFERROR(IF(F761&lt;&gt;"",F761,VLOOKUP(MAX(C$2:C761),A$2:F761,2,FALSE)),"")</f>
        <v>XF</v>
      </c>
      <c r="E761" s="1" t="str">
        <f t="shared" si="23"/>
        <v/>
      </c>
    </row>
    <row r="762" spans="1:5" x14ac:dyDescent="0.25">
      <c r="A762" s="1">
        <v>761</v>
      </c>
      <c r="B762" s="1" t="str">
        <f>IFERROR(IF(F761&lt;&gt;"",F761,VLOOKUP(MAX(F$2:F761),A$1:B761,2,FALSE)),"")</f>
        <v/>
      </c>
      <c r="C762" s="1" t="str">
        <f t="shared" si="22"/>
        <v/>
      </c>
      <c r="D762" s="1" t="str">
        <f>IFERROR(IF(F762&lt;&gt;"",F762,VLOOKUP(MAX(C$2:C762),A$2:F762,2,FALSE)),"")</f>
        <v>XF</v>
      </c>
      <c r="E762" s="1" t="str">
        <f t="shared" si="23"/>
        <v/>
      </c>
    </row>
    <row r="763" spans="1:5" x14ac:dyDescent="0.25">
      <c r="A763" s="1">
        <v>762</v>
      </c>
      <c r="B763" s="1" t="str">
        <f>IFERROR(IF(F762&lt;&gt;"",F762,VLOOKUP(MAX(F$2:F762),A$1:B762,2,FALSE)),"")</f>
        <v/>
      </c>
      <c r="C763" s="1" t="str">
        <f t="shared" si="22"/>
        <v/>
      </c>
      <c r="D763" s="1" t="str">
        <f>IFERROR(IF(F763&lt;&gt;"",F763,VLOOKUP(MAX(C$2:C763),A$2:F763,2,FALSE)),"")</f>
        <v>XF</v>
      </c>
      <c r="E763" s="1" t="str">
        <f t="shared" si="23"/>
        <v/>
      </c>
    </row>
    <row r="764" spans="1:5" x14ac:dyDescent="0.25">
      <c r="A764" s="1">
        <v>763</v>
      </c>
      <c r="B764" s="1" t="str">
        <f>IFERROR(IF(F763&lt;&gt;"",F763,VLOOKUP(MAX(F$2:F763),A$1:B763,2,FALSE)),"")</f>
        <v/>
      </c>
      <c r="C764" s="1" t="str">
        <f t="shared" si="22"/>
        <v/>
      </c>
      <c r="D764" s="1" t="str">
        <f>IFERROR(IF(F764&lt;&gt;"",F764,VLOOKUP(MAX(C$2:C764),A$2:F764,2,FALSE)),"")</f>
        <v>XF</v>
      </c>
      <c r="E764" s="1" t="str">
        <f t="shared" si="23"/>
        <v/>
      </c>
    </row>
    <row r="765" spans="1:5" x14ac:dyDescent="0.25">
      <c r="A765" s="1">
        <v>764</v>
      </c>
      <c r="B765" s="1" t="str">
        <f>IFERROR(IF(F764&lt;&gt;"",F764,VLOOKUP(MAX(F$2:F764),A$1:B764,2,FALSE)),"")</f>
        <v/>
      </c>
      <c r="C765" s="1" t="str">
        <f t="shared" si="22"/>
        <v/>
      </c>
      <c r="D765" s="1" t="str">
        <f>IFERROR(IF(F765&lt;&gt;"",F765,VLOOKUP(MAX(C$2:C765),A$2:F765,2,FALSE)),"")</f>
        <v>XF</v>
      </c>
      <c r="E765" s="1" t="str">
        <f t="shared" si="23"/>
        <v/>
      </c>
    </row>
    <row r="766" spans="1:5" x14ac:dyDescent="0.25">
      <c r="A766" s="1">
        <v>765</v>
      </c>
      <c r="B766" s="1" t="str">
        <f>IFERROR(IF(F765&lt;&gt;"",F765,VLOOKUP(MAX(F$2:F765),A$1:B765,2,FALSE)),"")</f>
        <v/>
      </c>
      <c r="C766" s="1" t="str">
        <f t="shared" si="22"/>
        <v/>
      </c>
      <c r="D766" s="1" t="str">
        <f>IFERROR(IF(F766&lt;&gt;"",F766,VLOOKUP(MAX(C$2:C766),A$2:F766,2,FALSE)),"")</f>
        <v>XF</v>
      </c>
      <c r="E766" s="1" t="str">
        <f t="shared" si="23"/>
        <v/>
      </c>
    </row>
    <row r="767" spans="1:5" x14ac:dyDescent="0.25">
      <c r="A767" s="1">
        <v>766</v>
      </c>
      <c r="B767" s="1" t="str">
        <f>IFERROR(IF(F766&lt;&gt;"",F766,VLOOKUP(MAX(F$2:F766),A$1:B766,2,FALSE)),"")</f>
        <v/>
      </c>
      <c r="C767" s="1" t="str">
        <f t="shared" si="22"/>
        <v/>
      </c>
      <c r="D767" s="1" t="str">
        <f>IFERROR(IF(F767&lt;&gt;"",F767,VLOOKUP(MAX(C$2:C767),A$2:F767,2,FALSE)),"")</f>
        <v>XF</v>
      </c>
      <c r="E767" s="1" t="str">
        <f t="shared" si="23"/>
        <v/>
      </c>
    </row>
    <row r="768" spans="1:5" x14ac:dyDescent="0.25">
      <c r="A768" s="1">
        <v>767</v>
      </c>
      <c r="B768" s="1" t="str">
        <f>IFERROR(IF(F767&lt;&gt;"",F767,VLOOKUP(MAX(F$2:F767),A$1:B767,2,FALSE)),"")</f>
        <v/>
      </c>
      <c r="C768" s="1" t="str">
        <f t="shared" si="22"/>
        <v/>
      </c>
      <c r="D768" s="1" t="str">
        <f>IFERROR(IF(F768&lt;&gt;"",F768,VLOOKUP(MAX(C$2:C768),A$2:F768,2,FALSE)),"")</f>
        <v>XF</v>
      </c>
      <c r="E768" s="1" t="str">
        <f t="shared" si="23"/>
        <v/>
      </c>
    </row>
    <row r="769" spans="1:5" x14ac:dyDescent="0.25">
      <c r="A769" s="1">
        <v>768</v>
      </c>
      <c r="B769" s="1" t="str">
        <f>IFERROR(IF(F768&lt;&gt;"",F768,VLOOKUP(MAX(F$2:F768),A$1:B768,2,FALSE)),"")</f>
        <v/>
      </c>
      <c r="C769" s="1" t="str">
        <f t="shared" si="22"/>
        <v/>
      </c>
      <c r="D769" s="1" t="str">
        <f>IFERROR(IF(F769&lt;&gt;"",F769,VLOOKUP(MAX(C$2:C769),A$2:F769,2,FALSE)),"")</f>
        <v>XF</v>
      </c>
      <c r="E769" s="1" t="str">
        <f t="shared" si="23"/>
        <v/>
      </c>
    </row>
    <row r="770" spans="1:5" x14ac:dyDescent="0.25">
      <c r="A770" s="1">
        <v>769</v>
      </c>
      <c r="B770" s="1" t="str">
        <f>IFERROR(IF(F769&lt;&gt;"",F769,VLOOKUP(MAX(F$2:F769),A$1:B769,2,FALSE)),"")</f>
        <v/>
      </c>
      <c r="C770" s="1" t="str">
        <f t="shared" ref="C770:C833" si="24">IF(F770&lt;&gt;"",A770,"")</f>
        <v/>
      </c>
      <c r="D770" s="1" t="str">
        <f>IFERROR(IF(F770&lt;&gt;"",F770,VLOOKUP(MAX(C$2:C770),A$2:F770,2,FALSE)),"")</f>
        <v>XF</v>
      </c>
      <c r="E770" s="1" t="str">
        <f t="shared" si="23"/>
        <v/>
      </c>
    </row>
    <row r="771" spans="1:5" x14ac:dyDescent="0.25">
      <c r="A771" s="1">
        <v>770</v>
      </c>
      <c r="B771" s="1" t="str">
        <f>IFERROR(IF(F770&lt;&gt;"",F770,VLOOKUP(MAX(F$2:F770),A$1:B770,2,FALSE)),"")</f>
        <v/>
      </c>
      <c r="C771" s="1" t="str">
        <f t="shared" si="24"/>
        <v/>
      </c>
      <c r="D771" s="1" t="str">
        <f>IFERROR(IF(F771&lt;&gt;"",F771,VLOOKUP(MAX(C$2:C771),A$2:F771,2,FALSE)),"")</f>
        <v>XF</v>
      </c>
      <c r="E771" s="1" t="str">
        <f t="shared" si="23"/>
        <v/>
      </c>
    </row>
    <row r="772" spans="1:5" x14ac:dyDescent="0.25">
      <c r="A772" s="1">
        <v>771</v>
      </c>
      <c r="B772" s="1" t="str">
        <f>IFERROR(IF(F771&lt;&gt;"",F771,VLOOKUP(MAX(F$2:F771),A$1:B771,2,FALSE)),"")</f>
        <v/>
      </c>
      <c r="C772" s="1" t="str">
        <f t="shared" si="24"/>
        <v/>
      </c>
      <c r="D772" s="1" t="str">
        <f>IFERROR(IF(F772&lt;&gt;"",F772,VLOOKUP(MAX(C$2:C772),A$2:F772,2,FALSE)),"")</f>
        <v>XF</v>
      </c>
      <c r="E772" s="1" t="str">
        <f t="shared" ref="E772:E835" si="25">IF(H772&lt;&gt;"",CONCATENATE(D772,".",H772),"")</f>
        <v/>
      </c>
    </row>
    <row r="773" spans="1:5" x14ac:dyDescent="0.25">
      <c r="A773" s="1">
        <v>772</v>
      </c>
      <c r="B773" s="1" t="str">
        <f>IFERROR(IF(F772&lt;&gt;"",F772,VLOOKUP(MAX(F$2:F772),A$1:B772,2,FALSE)),"")</f>
        <v/>
      </c>
      <c r="C773" s="1" t="str">
        <f t="shared" si="24"/>
        <v/>
      </c>
      <c r="D773" s="1" t="str">
        <f>IFERROR(IF(F773&lt;&gt;"",F773,VLOOKUP(MAX(C$2:C773),A$2:F773,2,FALSE)),"")</f>
        <v>XF</v>
      </c>
      <c r="E773" s="1" t="str">
        <f t="shared" si="25"/>
        <v/>
      </c>
    </row>
    <row r="774" spans="1:5" x14ac:dyDescent="0.25">
      <c r="A774" s="1">
        <v>773</v>
      </c>
      <c r="B774" s="1" t="str">
        <f>IFERROR(IF(F773&lt;&gt;"",F773,VLOOKUP(MAX(F$2:F773),A$1:B773,2,FALSE)),"")</f>
        <v/>
      </c>
      <c r="C774" s="1" t="str">
        <f t="shared" si="24"/>
        <v/>
      </c>
      <c r="D774" s="1" t="str">
        <f>IFERROR(IF(F774&lt;&gt;"",F774,VLOOKUP(MAX(C$2:C774),A$2:F774,2,FALSE)),"")</f>
        <v>XF</v>
      </c>
      <c r="E774" s="1" t="str">
        <f t="shared" si="25"/>
        <v/>
      </c>
    </row>
    <row r="775" spans="1:5" x14ac:dyDescent="0.25">
      <c r="A775" s="1">
        <v>774</v>
      </c>
      <c r="B775" s="1" t="str">
        <f>IFERROR(IF(F774&lt;&gt;"",F774,VLOOKUP(MAX(F$2:F774),A$1:B774,2,FALSE)),"")</f>
        <v/>
      </c>
      <c r="C775" s="1" t="str">
        <f t="shared" si="24"/>
        <v/>
      </c>
      <c r="D775" s="1" t="str">
        <f>IFERROR(IF(F775&lt;&gt;"",F775,VLOOKUP(MAX(C$2:C775),A$2:F775,2,FALSE)),"")</f>
        <v>XF</v>
      </c>
      <c r="E775" s="1" t="str">
        <f t="shared" si="25"/>
        <v/>
      </c>
    </row>
    <row r="776" spans="1:5" x14ac:dyDescent="0.25">
      <c r="A776" s="1">
        <v>775</v>
      </c>
      <c r="B776" s="1" t="str">
        <f>IFERROR(IF(F775&lt;&gt;"",F775,VLOOKUP(MAX(F$2:F775),A$1:B775,2,FALSE)),"")</f>
        <v/>
      </c>
      <c r="C776" s="1" t="str">
        <f t="shared" si="24"/>
        <v/>
      </c>
      <c r="D776" s="1" t="str">
        <f>IFERROR(IF(F776&lt;&gt;"",F776,VLOOKUP(MAX(C$2:C776),A$2:F776,2,FALSE)),"")</f>
        <v>XF</v>
      </c>
      <c r="E776" s="1" t="str">
        <f t="shared" si="25"/>
        <v/>
      </c>
    </row>
    <row r="777" spans="1:5" x14ac:dyDescent="0.25">
      <c r="A777" s="1">
        <v>776</v>
      </c>
      <c r="B777" s="1" t="str">
        <f>IFERROR(IF(F776&lt;&gt;"",F776,VLOOKUP(MAX(F$2:F776),A$1:B776,2,FALSE)),"")</f>
        <v/>
      </c>
      <c r="C777" s="1" t="str">
        <f t="shared" si="24"/>
        <v/>
      </c>
      <c r="D777" s="1" t="str">
        <f>IFERROR(IF(F777&lt;&gt;"",F777,VLOOKUP(MAX(C$2:C777),A$2:F777,2,FALSE)),"")</f>
        <v>XF</v>
      </c>
      <c r="E777" s="1" t="str">
        <f t="shared" si="25"/>
        <v/>
      </c>
    </row>
    <row r="778" spans="1:5" x14ac:dyDescent="0.25">
      <c r="A778" s="1">
        <v>777</v>
      </c>
      <c r="B778" s="1" t="str">
        <f>IFERROR(IF(F777&lt;&gt;"",F777,VLOOKUP(MAX(F$2:F777),A$1:B777,2,FALSE)),"")</f>
        <v/>
      </c>
      <c r="C778" s="1" t="str">
        <f t="shared" si="24"/>
        <v/>
      </c>
      <c r="D778" s="1" t="str">
        <f>IFERROR(IF(F778&lt;&gt;"",F778,VLOOKUP(MAX(C$2:C778),A$2:F778,2,FALSE)),"")</f>
        <v>XF</v>
      </c>
      <c r="E778" s="1" t="str">
        <f t="shared" si="25"/>
        <v/>
      </c>
    </row>
    <row r="779" spans="1:5" x14ac:dyDescent="0.25">
      <c r="A779" s="1">
        <v>778</v>
      </c>
      <c r="B779" s="1" t="str">
        <f>IFERROR(IF(F778&lt;&gt;"",F778,VLOOKUP(MAX(F$2:F778),A$1:B778,2,FALSE)),"")</f>
        <v/>
      </c>
      <c r="C779" s="1" t="str">
        <f t="shared" si="24"/>
        <v/>
      </c>
      <c r="D779" s="1" t="str">
        <f>IFERROR(IF(F779&lt;&gt;"",F779,VLOOKUP(MAX(C$2:C779),A$2:F779,2,FALSE)),"")</f>
        <v>XF</v>
      </c>
      <c r="E779" s="1" t="str">
        <f t="shared" si="25"/>
        <v/>
      </c>
    </row>
    <row r="780" spans="1:5" x14ac:dyDescent="0.25">
      <c r="A780" s="1">
        <v>779</v>
      </c>
      <c r="B780" s="1" t="str">
        <f>IFERROR(IF(F779&lt;&gt;"",F779,VLOOKUP(MAX(F$2:F779),A$1:B779,2,FALSE)),"")</f>
        <v/>
      </c>
      <c r="C780" s="1" t="str">
        <f t="shared" si="24"/>
        <v/>
      </c>
      <c r="D780" s="1" t="str">
        <f>IFERROR(IF(F780&lt;&gt;"",F780,VLOOKUP(MAX(C$2:C780),A$2:F780,2,FALSE)),"")</f>
        <v>XF</v>
      </c>
      <c r="E780" s="1" t="str">
        <f t="shared" si="25"/>
        <v/>
      </c>
    </row>
    <row r="781" spans="1:5" x14ac:dyDescent="0.25">
      <c r="A781" s="1">
        <v>780</v>
      </c>
      <c r="B781" s="1" t="str">
        <f>IFERROR(IF(F780&lt;&gt;"",F780,VLOOKUP(MAX(F$2:F780),A$1:B780,2,FALSE)),"")</f>
        <v/>
      </c>
      <c r="C781" s="1" t="str">
        <f t="shared" si="24"/>
        <v/>
      </c>
      <c r="D781" s="1" t="str">
        <f>IFERROR(IF(F781&lt;&gt;"",F781,VLOOKUP(MAX(C$2:C781),A$2:F781,2,FALSE)),"")</f>
        <v>XF</v>
      </c>
      <c r="E781" s="1" t="str">
        <f t="shared" si="25"/>
        <v/>
      </c>
    </row>
    <row r="782" spans="1:5" x14ac:dyDescent="0.25">
      <c r="A782" s="1">
        <v>781</v>
      </c>
      <c r="B782" s="1" t="str">
        <f>IFERROR(IF(F781&lt;&gt;"",F781,VLOOKUP(MAX(F$2:F781),A$1:B781,2,FALSE)),"")</f>
        <v/>
      </c>
      <c r="C782" s="1" t="str">
        <f t="shared" si="24"/>
        <v/>
      </c>
      <c r="D782" s="1" t="str">
        <f>IFERROR(IF(F782&lt;&gt;"",F782,VLOOKUP(MAX(C$2:C782),A$2:F782,2,FALSE)),"")</f>
        <v>XF</v>
      </c>
      <c r="E782" s="1" t="str">
        <f t="shared" si="25"/>
        <v/>
      </c>
    </row>
    <row r="783" spans="1:5" x14ac:dyDescent="0.25">
      <c r="A783" s="1">
        <v>782</v>
      </c>
      <c r="B783" s="1" t="str">
        <f>IFERROR(IF(F782&lt;&gt;"",F782,VLOOKUP(MAX(F$2:F782),A$1:B782,2,FALSE)),"")</f>
        <v/>
      </c>
      <c r="C783" s="1" t="str">
        <f t="shared" si="24"/>
        <v/>
      </c>
      <c r="D783" s="1" t="str">
        <f>IFERROR(IF(F783&lt;&gt;"",F783,VLOOKUP(MAX(C$2:C783),A$2:F783,2,FALSE)),"")</f>
        <v>XF</v>
      </c>
      <c r="E783" s="1" t="str">
        <f t="shared" si="25"/>
        <v/>
      </c>
    </row>
    <row r="784" spans="1:5" x14ac:dyDescent="0.25">
      <c r="A784" s="1">
        <v>783</v>
      </c>
      <c r="B784" s="1" t="str">
        <f>IFERROR(IF(F783&lt;&gt;"",F783,VLOOKUP(MAX(F$2:F783),A$1:B783,2,FALSE)),"")</f>
        <v/>
      </c>
      <c r="C784" s="1" t="str">
        <f t="shared" si="24"/>
        <v/>
      </c>
      <c r="D784" s="1" t="str">
        <f>IFERROR(IF(F784&lt;&gt;"",F784,VLOOKUP(MAX(C$2:C784),A$2:F784,2,FALSE)),"")</f>
        <v>XF</v>
      </c>
      <c r="E784" s="1" t="str">
        <f t="shared" si="25"/>
        <v/>
      </c>
    </row>
    <row r="785" spans="1:5" x14ac:dyDescent="0.25">
      <c r="A785" s="1">
        <v>784</v>
      </c>
      <c r="B785" s="1" t="str">
        <f>IFERROR(IF(F784&lt;&gt;"",F784,VLOOKUP(MAX(F$2:F784),A$1:B784,2,FALSE)),"")</f>
        <v/>
      </c>
      <c r="C785" s="1" t="str">
        <f t="shared" si="24"/>
        <v/>
      </c>
      <c r="D785" s="1" t="str">
        <f>IFERROR(IF(F785&lt;&gt;"",F785,VLOOKUP(MAX(C$2:C785),A$2:F785,2,FALSE)),"")</f>
        <v>XF</v>
      </c>
      <c r="E785" s="1" t="str">
        <f t="shared" si="25"/>
        <v/>
      </c>
    </row>
    <row r="786" spans="1:5" x14ac:dyDescent="0.25">
      <c r="A786" s="1">
        <v>785</v>
      </c>
      <c r="B786" s="1" t="str">
        <f>IFERROR(IF(F785&lt;&gt;"",F785,VLOOKUP(MAX(F$2:F785),A$1:B785,2,FALSE)),"")</f>
        <v/>
      </c>
      <c r="C786" s="1" t="str">
        <f t="shared" si="24"/>
        <v/>
      </c>
      <c r="D786" s="1" t="str">
        <f>IFERROR(IF(F786&lt;&gt;"",F786,VLOOKUP(MAX(C$2:C786),A$2:F786,2,FALSE)),"")</f>
        <v>XF</v>
      </c>
      <c r="E786" s="1" t="str">
        <f t="shared" si="25"/>
        <v/>
      </c>
    </row>
    <row r="787" spans="1:5" x14ac:dyDescent="0.25">
      <c r="A787" s="1">
        <v>786</v>
      </c>
      <c r="B787" s="1" t="str">
        <f>IFERROR(IF(F786&lt;&gt;"",F786,VLOOKUP(MAX(F$2:F786),A$1:B786,2,FALSE)),"")</f>
        <v/>
      </c>
      <c r="C787" s="1" t="str">
        <f t="shared" si="24"/>
        <v/>
      </c>
      <c r="D787" s="1" t="str">
        <f>IFERROR(IF(F787&lt;&gt;"",F787,VLOOKUP(MAX(C$2:C787),A$2:F787,2,FALSE)),"")</f>
        <v>XF</v>
      </c>
      <c r="E787" s="1" t="str">
        <f t="shared" si="25"/>
        <v/>
      </c>
    </row>
    <row r="788" spans="1:5" x14ac:dyDescent="0.25">
      <c r="A788" s="1">
        <v>787</v>
      </c>
      <c r="B788" s="1" t="str">
        <f>IFERROR(IF(F787&lt;&gt;"",F787,VLOOKUP(MAX(F$2:F787),A$1:B787,2,FALSE)),"")</f>
        <v/>
      </c>
      <c r="C788" s="1" t="str">
        <f t="shared" si="24"/>
        <v/>
      </c>
      <c r="D788" s="1" t="str">
        <f>IFERROR(IF(F788&lt;&gt;"",F788,VLOOKUP(MAX(C$2:C788),A$2:F788,2,FALSE)),"")</f>
        <v>XF</v>
      </c>
      <c r="E788" s="1" t="str">
        <f t="shared" si="25"/>
        <v/>
      </c>
    </row>
    <row r="789" spans="1:5" x14ac:dyDescent="0.25">
      <c r="A789" s="1">
        <v>788</v>
      </c>
      <c r="B789" s="1" t="str">
        <f>IFERROR(IF(F788&lt;&gt;"",F788,VLOOKUP(MAX(F$2:F788),A$1:B788,2,FALSE)),"")</f>
        <v/>
      </c>
      <c r="C789" s="1" t="str">
        <f t="shared" si="24"/>
        <v/>
      </c>
      <c r="D789" s="1" t="str">
        <f>IFERROR(IF(F789&lt;&gt;"",F789,VLOOKUP(MAX(C$2:C789),A$2:F789,2,FALSE)),"")</f>
        <v>XF</v>
      </c>
      <c r="E789" s="1" t="str">
        <f t="shared" si="25"/>
        <v/>
      </c>
    </row>
    <row r="790" spans="1:5" x14ac:dyDescent="0.25">
      <c r="A790" s="1">
        <v>789</v>
      </c>
      <c r="B790" s="1" t="str">
        <f>IFERROR(IF(F789&lt;&gt;"",F789,VLOOKUP(MAX(F$2:F789),A$1:B789,2,FALSE)),"")</f>
        <v/>
      </c>
      <c r="C790" s="1" t="str">
        <f t="shared" si="24"/>
        <v/>
      </c>
      <c r="D790" s="1" t="str">
        <f>IFERROR(IF(F790&lt;&gt;"",F790,VLOOKUP(MAX(C$2:C790),A$2:F790,2,FALSE)),"")</f>
        <v>XF</v>
      </c>
      <c r="E790" s="1" t="str">
        <f t="shared" si="25"/>
        <v/>
      </c>
    </row>
    <row r="791" spans="1:5" x14ac:dyDescent="0.25">
      <c r="A791" s="1">
        <v>790</v>
      </c>
      <c r="B791" s="1" t="str">
        <f>IFERROR(IF(F790&lt;&gt;"",F790,VLOOKUP(MAX(F$2:F790),A$1:B790,2,FALSE)),"")</f>
        <v/>
      </c>
      <c r="C791" s="1" t="str">
        <f t="shared" si="24"/>
        <v/>
      </c>
      <c r="D791" s="1" t="str">
        <f>IFERROR(IF(F791&lt;&gt;"",F791,VLOOKUP(MAX(C$2:C791),A$2:F791,2,FALSE)),"")</f>
        <v>XF</v>
      </c>
      <c r="E791" s="1" t="str">
        <f t="shared" si="25"/>
        <v/>
      </c>
    </row>
    <row r="792" spans="1:5" x14ac:dyDescent="0.25">
      <c r="A792" s="1">
        <v>791</v>
      </c>
      <c r="B792" s="1" t="str">
        <f>IFERROR(IF(F791&lt;&gt;"",F791,VLOOKUP(MAX(F$2:F791),A$1:B791,2,FALSE)),"")</f>
        <v/>
      </c>
      <c r="C792" s="1" t="str">
        <f t="shared" si="24"/>
        <v/>
      </c>
      <c r="D792" s="1" t="str">
        <f>IFERROR(IF(F792&lt;&gt;"",F792,VLOOKUP(MAX(C$2:C792),A$2:F792,2,FALSE)),"")</f>
        <v>XF</v>
      </c>
      <c r="E792" s="1" t="str">
        <f t="shared" si="25"/>
        <v/>
      </c>
    </row>
    <row r="793" spans="1:5" x14ac:dyDescent="0.25">
      <c r="A793" s="1">
        <v>792</v>
      </c>
      <c r="B793" s="1" t="str">
        <f>IFERROR(IF(F792&lt;&gt;"",F792,VLOOKUP(MAX(F$2:F792),A$1:B792,2,FALSE)),"")</f>
        <v/>
      </c>
      <c r="C793" s="1" t="str">
        <f t="shared" si="24"/>
        <v/>
      </c>
      <c r="D793" s="1" t="str">
        <f>IFERROR(IF(F793&lt;&gt;"",F793,VLOOKUP(MAX(C$2:C793),A$2:F793,2,FALSE)),"")</f>
        <v>XF</v>
      </c>
      <c r="E793" s="1" t="str">
        <f t="shared" si="25"/>
        <v/>
      </c>
    </row>
    <row r="794" spans="1:5" x14ac:dyDescent="0.25">
      <c r="A794" s="1">
        <v>793</v>
      </c>
      <c r="B794" s="1" t="str">
        <f>IFERROR(IF(F793&lt;&gt;"",F793,VLOOKUP(MAX(F$2:F793),A$1:B793,2,FALSE)),"")</f>
        <v/>
      </c>
      <c r="C794" s="1" t="str">
        <f t="shared" si="24"/>
        <v/>
      </c>
      <c r="D794" s="1" t="str">
        <f>IFERROR(IF(F794&lt;&gt;"",F794,VLOOKUP(MAX(C$2:C794),A$2:F794,2,FALSE)),"")</f>
        <v>XF</v>
      </c>
      <c r="E794" s="1" t="str">
        <f t="shared" si="25"/>
        <v/>
      </c>
    </row>
    <row r="795" spans="1:5" x14ac:dyDescent="0.25">
      <c r="A795" s="1">
        <v>794</v>
      </c>
      <c r="B795" s="1" t="str">
        <f>IFERROR(IF(F794&lt;&gt;"",F794,VLOOKUP(MAX(F$2:F794),A$1:B794,2,FALSE)),"")</f>
        <v/>
      </c>
      <c r="C795" s="1" t="str">
        <f t="shared" si="24"/>
        <v/>
      </c>
      <c r="D795" s="1" t="str">
        <f>IFERROR(IF(F795&lt;&gt;"",F795,VLOOKUP(MAX(C$2:C795),A$2:F795,2,FALSE)),"")</f>
        <v>XF</v>
      </c>
      <c r="E795" s="1" t="str">
        <f t="shared" si="25"/>
        <v/>
      </c>
    </row>
    <row r="796" spans="1:5" x14ac:dyDescent="0.25">
      <c r="A796" s="1">
        <v>795</v>
      </c>
      <c r="B796" s="1" t="str">
        <f>IFERROR(IF(F795&lt;&gt;"",F795,VLOOKUP(MAX(F$2:F795),A$1:B795,2,FALSE)),"")</f>
        <v/>
      </c>
      <c r="C796" s="1" t="str">
        <f t="shared" si="24"/>
        <v/>
      </c>
      <c r="D796" s="1" t="str">
        <f>IFERROR(IF(F796&lt;&gt;"",F796,VLOOKUP(MAX(C$2:C796),A$2:F796,2,FALSE)),"")</f>
        <v>XF</v>
      </c>
      <c r="E796" s="1" t="str">
        <f t="shared" si="25"/>
        <v/>
      </c>
    </row>
    <row r="797" spans="1:5" x14ac:dyDescent="0.25">
      <c r="A797" s="1">
        <v>796</v>
      </c>
      <c r="B797" s="1" t="str">
        <f>IFERROR(IF(F796&lt;&gt;"",F796,VLOOKUP(MAX(F$2:F796),A$1:B796,2,FALSE)),"")</f>
        <v/>
      </c>
      <c r="C797" s="1" t="str">
        <f t="shared" si="24"/>
        <v/>
      </c>
      <c r="D797" s="1" t="str">
        <f>IFERROR(IF(F797&lt;&gt;"",F797,VLOOKUP(MAX(C$2:C797),A$2:F797,2,FALSE)),"")</f>
        <v>XF</v>
      </c>
      <c r="E797" s="1" t="str">
        <f t="shared" si="25"/>
        <v/>
      </c>
    </row>
    <row r="798" spans="1:5" x14ac:dyDescent="0.25">
      <c r="A798" s="1">
        <v>797</v>
      </c>
      <c r="B798" s="1" t="str">
        <f>IFERROR(IF(F797&lt;&gt;"",F797,VLOOKUP(MAX(F$2:F797),A$1:B797,2,FALSE)),"")</f>
        <v/>
      </c>
      <c r="C798" s="1" t="str">
        <f t="shared" si="24"/>
        <v/>
      </c>
      <c r="D798" s="1" t="str">
        <f>IFERROR(IF(F798&lt;&gt;"",F798,VLOOKUP(MAX(C$2:C798),A$2:F798,2,FALSE)),"")</f>
        <v>XF</v>
      </c>
      <c r="E798" s="1" t="str">
        <f t="shared" si="25"/>
        <v/>
      </c>
    </row>
    <row r="799" spans="1:5" x14ac:dyDescent="0.25">
      <c r="A799" s="1">
        <v>798</v>
      </c>
      <c r="B799" s="1" t="str">
        <f>IFERROR(IF(F798&lt;&gt;"",F798,VLOOKUP(MAX(F$2:F798),A$1:B798,2,FALSE)),"")</f>
        <v/>
      </c>
      <c r="C799" s="1" t="str">
        <f t="shared" si="24"/>
        <v/>
      </c>
      <c r="D799" s="1" t="str">
        <f>IFERROR(IF(F799&lt;&gt;"",F799,VLOOKUP(MAX(C$2:C799),A$2:F799,2,FALSE)),"")</f>
        <v>XF</v>
      </c>
      <c r="E799" s="1" t="str">
        <f t="shared" si="25"/>
        <v/>
      </c>
    </row>
    <row r="800" spans="1:5" x14ac:dyDescent="0.25">
      <c r="A800" s="1">
        <v>799</v>
      </c>
      <c r="B800" s="1" t="str">
        <f>IFERROR(IF(F799&lt;&gt;"",F799,VLOOKUP(MAX(F$2:F799),A$1:B799,2,FALSE)),"")</f>
        <v/>
      </c>
      <c r="C800" s="1" t="str">
        <f t="shared" si="24"/>
        <v/>
      </c>
      <c r="D800" s="1" t="str">
        <f>IFERROR(IF(F800&lt;&gt;"",F800,VLOOKUP(MAX(C$2:C800),A$2:F800,2,FALSE)),"")</f>
        <v>XF</v>
      </c>
      <c r="E800" s="1" t="str">
        <f t="shared" si="25"/>
        <v/>
      </c>
    </row>
    <row r="801" spans="1:5" x14ac:dyDescent="0.25">
      <c r="A801" s="1">
        <v>800</v>
      </c>
      <c r="B801" s="1" t="str">
        <f>IFERROR(IF(F800&lt;&gt;"",F800,VLOOKUP(MAX(F$2:F800),A$1:B800,2,FALSE)),"")</f>
        <v/>
      </c>
      <c r="C801" s="1" t="str">
        <f t="shared" si="24"/>
        <v/>
      </c>
      <c r="D801" s="1" t="str">
        <f>IFERROR(IF(F801&lt;&gt;"",F801,VLOOKUP(MAX(C$2:C801),A$2:F801,2,FALSE)),"")</f>
        <v>XF</v>
      </c>
      <c r="E801" s="1" t="str">
        <f t="shared" si="25"/>
        <v/>
      </c>
    </row>
    <row r="802" spans="1:5" x14ac:dyDescent="0.25">
      <c r="A802" s="1">
        <v>801</v>
      </c>
      <c r="B802" s="1" t="str">
        <f>IFERROR(IF(F801&lt;&gt;"",F801,VLOOKUP(MAX(F$2:F801),A$1:B801,2,FALSE)),"")</f>
        <v/>
      </c>
      <c r="C802" s="1" t="str">
        <f t="shared" si="24"/>
        <v/>
      </c>
      <c r="D802" s="1" t="str">
        <f>IFERROR(IF(F802&lt;&gt;"",F802,VLOOKUP(MAX(C$2:C802),A$2:F802,2,FALSE)),"")</f>
        <v>XF</v>
      </c>
      <c r="E802" s="1" t="str">
        <f t="shared" si="25"/>
        <v/>
      </c>
    </row>
    <row r="803" spans="1:5" x14ac:dyDescent="0.25">
      <c r="A803" s="1">
        <v>802</v>
      </c>
      <c r="B803" s="1" t="str">
        <f>IFERROR(IF(F802&lt;&gt;"",F802,VLOOKUP(MAX(F$2:F802),A$1:B802,2,FALSE)),"")</f>
        <v/>
      </c>
      <c r="C803" s="1" t="str">
        <f t="shared" si="24"/>
        <v/>
      </c>
      <c r="D803" s="1" t="str">
        <f>IFERROR(IF(F803&lt;&gt;"",F803,VLOOKUP(MAX(C$2:C803),A$2:F803,2,FALSE)),"")</f>
        <v>XF</v>
      </c>
      <c r="E803" s="1" t="str">
        <f t="shared" si="25"/>
        <v/>
      </c>
    </row>
    <row r="804" spans="1:5" x14ac:dyDescent="0.25">
      <c r="A804" s="1">
        <v>803</v>
      </c>
      <c r="B804" s="1" t="str">
        <f>IFERROR(IF(F803&lt;&gt;"",F803,VLOOKUP(MAX(F$2:F803),A$1:B803,2,FALSE)),"")</f>
        <v/>
      </c>
      <c r="C804" s="1" t="str">
        <f t="shared" si="24"/>
        <v/>
      </c>
      <c r="D804" s="1" t="str">
        <f>IFERROR(IF(F804&lt;&gt;"",F804,VLOOKUP(MAX(C$2:C804),A$2:F804,2,FALSE)),"")</f>
        <v>XF</v>
      </c>
      <c r="E804" s="1" t="str">
        <f t="shared" si="25"/>
        <v/>
      </c>
    </row>
    <row r="805" spans="1:5" x14ac:dyDescent="0.25">
      <c r="A805" s="1">
        <v>804</v>
      </c>
      <c r="B805" s="1" t="str">
        <f>IFERROR(IF(F804&lt;&gt;"",F804,VLOOKUP(MAX(F$2:F804),A$1:B804,2,FALSE)),"")</f>
        <v/>
      </c>
      <c r="C805" s="1" t="str">
        <f t="shared" si="24"/>
        <v/>
      </c>
      <c r="D805" s="1" t="str">
        <f>IFERROR(IF(F805&lt;&gt;"",F805,VLOOKUP(MAX(C$2:C805),A$2:F805,2,FALSE)),"")</f>
        <v>XF</v>
      </c>
      <c r="E805" s="1" t="str">
        <f t="shared" si="25"/>
        <v/>
      </c>
    </row>
    <row r="806" spans="1:5" x14ac:dyDescent="0.25">
      <c r="A806" s="1">
        <v>805</v>
      </c>
      <c r="B806" s="1" t="str">
        <f>IFERROR(IF(F805&lt;&gt;"",F805,VLOOKUP(MAX(F$2:F805),A$1:B805,2,FALSE)),"")</f>
        <v/>
      </c>
      <c r="C806" s="1" t="str">
        <f t="shared" si="24"/>
        <v/>
      </c>
      <c r="D806" s="1" t="str">
        <f>IFERROR(IF(F806&lt;&gt;"",F806,VLOOKUP(MAX(C$2:C806),A$2:F806,2,FALSE)),"")</f>
        <v>XF</v>
      </c>
      <c r="E806" s="1" t="str">
        <f t="shared" si="25"/>
        <v/>
      </c>
    </row>
    <row r="807" spans="1:5" x14ac:dyDescent="0.25">
      <c r="A807" s="1">
        <v>806</v>
      </c>
      <c r="B807" s="1" t="str">
        <f>IFERROR(IF(F806&lt;&gt;"",F806,VLOOKUP(MAX(F$2:F806),A$1:B806,2,FALSE)),"")</f>
        <v/>
      </c>
      <c r="C807" s="1" t="str">
        <f t="shared" si="24"/>
        <v/>
      </c>
      <c r="D807" s="1" t="str">
        <f>IFERROR(IF(F807&lt;&gt;"",F807,VLOOKUP(MAX(C$2:C807),A$2:F807,2,FALSE)),"")</f>
        <v>XF</v>
      </c>
      <c r="E807" s="1" t="str">
        <f t="shared" si="25"/>
        <v/>
      </c>
    </row>
    <row r="808" spans="1:5" x14ac:dyDescent="0.25">
      <c r="A808" s="1">
        <v>807</v>
      </c>
      <c r="B808" s="1" t="str">
        <f>IFERROR(IF(F807&lt;&gt;"",F807,VLOOKUP(MAX(F$2:F807),A$1:B807,2,FALSE)),"")</f>
        <v/>
      </c>
      <c r="C808" s="1" t="str">
        <f t="shared" si="24"/>
        <v/>
      </c>
      <c r="D808" s="1" t="str">
        <f>IFERROR(IF(F808&lt;&gt;"",F808,VLOOKUP(MAX(C$2:C808),A$2:F808,2,FALSE)),"")</f>
        <v>XF</v>
      </c>
      <c r="E808" s="1" t="str">
        <f t="shared" si="25"/>
        <v/>
      </c>
    </row>
    <row r="809" spans="1:5" x14ac:dyDescent="0.25">
      <c r="A809" s="1">
        <v>808</v>
      </c>
      <c r="B809" s="1" t="str">
        <f>IFERROR(IF(F808&lt;&gt;"",F808,VLOOKUP(MAX(F$2:F808),A$1:B808,2,FALSE)),"")</f>
        <v/>
      </c>
      <c r="C809" s="1" t="str">
        <f t="shared" si="24"/>
        <v/>
      </c>
      <c r="D809" s="1" t="str">
        <f>IFERROR(IF(F809&lt;&gt;"",F809,VLOOKUP(MAX(C$2:C809),A$2:F809,2,FALSE)),"")</f>
        <v>XF</v>
      </c>
      <c r="E809" s="1" t="str">
        <f t="shared" si="25"/>
        <v/>
      </c>
    </row>
    <row r="810" spans="1:5" x14ac:dyDescent="0.25">
      <c r="A810" s="1">
        <v>809</v>
      </c>
      <c r="B810" s="1" t="str">
        <f>IFERROR(IF(F809&lt;&gt;"",F809,VLOOKUP(MAX(F$2:F809),A$1:B809,2,FALSE)),"")</f>
        <v/>
      </c>
      <c r="C810" s="1" t="str">
        <f t="shared" si="24"/>
        <v/>
      </c>
      <c r="D810" s="1" t="str">
        <f>IFERROR(IF(F810&lt;&gt;"",F810,VLOOKUP(MAX(C$2:C810),A$2:F810,2,FALSE)),"")</f>
        <v>XF</v>
      </c>
      <c r="E810" s="1" t="str">
        <f t="shared" si="25"/>
        <v/>
      </c>
    </row>
    <row r="811" spans="1:5" x14ac:dyDescent="0.25">
      <c r="A811" s="1">
        <v>810</v>
      </c>
      <c r="B811" s="1" t="str">
        <f>IFERROR(IF(F810&lt;&gt;"",F810,VLOOKUP(MAX(F$2:F810),A$1:B810,2,FALSE)),"")</f>
        <v/>
      </c>
      <c r="C811" s="1" t="str">
        <f t="shared" si="24"/>
        <v/>
      </c>
      <c r="D811" s="1" t="str">
        <f>IFERROR(IF(F811&lt;&gt;"",F811,VLOOKUP(MAX(C$2:C811),A$2:F811,2,FALSE)),"")</f>
        <v>XF</v>
      </c>
      <c r="E811" s="1" t="str">
        <f t="shared" si="25"/>
        <v/>
      </c>
    </row>
    <row r="812" spans="1:5" x14ac:dyDescent="0.25">
      <c r="A812" s="1">
        <v>811</v>
      </c>
      <c r="B812" s="1" t="str">
        <f>IFERROR(IF(F811&lt;&gt;"",F811,VLOOKUP(MAX(F$2:F811),A$1:B811,2,FALSE)),"")</f>
        <v/>
      </c>
      <c r="C812" s="1" t="str">
        <f t="shared" si="24"/>
        <v/>
      </c>
      <c r="D812" s="1" t="str">
        <f>IFERROR(IF(F812&lt;&gt;"",F812,VLOOKUP(MAX(C$2:C812),A$2:F812,2,FALSE)),"")</f>
        <v>XF</v>
      </c>
      <c r="E812" s="1" t="str">
        <f t="shared" si="25"/>
        <v/>
      </c>
    </row>
    <row r="813" spans="1:5" x14ac:dyDescent="0.25">
      <c r="A813" s="1">
        <v>812</v>
      </c>
      <c r="B813" s="1" t="str">
        <f>IFERROR(IF(F812&lt;&gt;"",F812,VLOOKUP(MAX(F$2:F812),A$1:B812,2,FALSE)),"")</f>
        <v/>
      </c>
      <c r="C813" s="1" t="str">
        <f t="shared" si="24"/>
        <v/>
      </c>
      <c r="D813" s="1" t="str">
        <f>IFERROR(IF(F813&lt;&gt;"",F813,VLOOKUP(MAX(C$2:C813),A$2:F813,2,FALSE)),"")</f>
        <v>XF</v>
      </c>
      <c r="E813" s="1" t="str">
        <f t="shared" si="25"/>
        <v/>
      </c>
    </row>
    <row r="814" spans="1:5" x14ac:dyDescent="0.25">
      <c r="A814" s="1">
        <v>813</v>
      </c>
      <c r="B814" s="1" t="str">
        <f>IFERROR(IF(F813&lt;&gt;"",F813,VLOOKUP(MAX(F$2:F813),A$1:B813,2,FALSE)),"")</f>
        <v/>
      </c>
      <c r="C814" s="1" t="str">
        <f t="shared" si="24"/>
        <v/>
      </c>
      <c r="D814" s="1" t="str">
        <f>IFERROR(IF(F814&lt;&gt;"",F814,VLOOKUP(MAX(C$2:C814),A$2:F814,2,FALSE)),"")</f>
        <v>XF</v>
      </c>
      <c r="E814" s="1" t="str">
        <f t="shared" si="25"/>
        <v/>
      </c>
    </row>
    <row r="815" spans="1:5" x14ac:dyDescent="0.25">
      <c r="A815" s="1">
        <v>814</v>
      </c>
      <c r="B815" s="1" t="str">
        <f>IFERROR(IF(F814&lt;&gt;"",F814,VLOOKUP(MAX(F$2:F814),A$1:B814,2,FALSE)),"")</f>
        <v/>
      </c>
      <c r="C815" s="1" t="str">
        <f t="shared" si="24"/>
        <v/>
      </c>
      <c r="D815" s="1" t="str">
        <f>IFERROR(IF(F815&lt;&gt;"",F815,VLOOKUP(MAX(C$2:C815),A$2:F815,2,FALSE)),"")</f>
        <v>XF</v>
      </c>
      <c r="E815" s="1" t="str">
        <f t="shared" si="25"/>
        <v/>
      </c>
    </row>
    <row r="816" spans="1:5" x14ac:dyDescent="0.25">
      <c r="A816" s="1">
        <v>815</v>
      </c>
      <c r="B816" s="1" t="str">
        <f>IFERROR(IF(F815&lt;&gt;"",F815,VLOOKUP(MAX(F$2:F815),A$1:B815,2,FALSE)),"")</f>
        <v/>
      </c>
      <c r="C816" s="1" t="str">
        <f t="shared" si="24"/>
        <v/>
      </c>
      <c r="D816" s="1" t="str">
        <f>IFERROR(IF(F816&lt;&gt;"",F816,VLOOKUP(MAX(C$2:C816),A$2:F816,2,FALSE)),"")</f>
        <v>XF</v>
      </c>
      <c r="E816" s="1" t="str">
        <f t="shared" si="25"/>
        <v/>
      </c>
    </row>
    <row r="817" spans="1:5" x14ac:dyDescent="0.25">
      <c r="A817" s="1">
        <v>816</v>
      </c>
      <c r="B817" s="1" t="str">
        <f>IFERROR(IF(F816&lt;&gt;"",F816,VLOOKUP(MAX(F$2:F816),A$1:B816,2,FALSE)),"")</f>
        <v/>
      </c>
      <c r="C817" s="1" t="str">
        <f t="shared" si="24"/>
        <v/>
      </c>
      <c r="D817" s="1" t="str">
        <f>IFERROR(IF(F817&lt;&gt;"",F817,VLOOKUP(MAX(C$2:C817),A$2:F817,2,FALSE)),"")</f>
        <v>XF</v>
      </c>
      <c r="E817" s="1" t="str">
        <f t="shared" si="25"/>
        <v/>
      </c>
    </row>
    <row r="818" spans="1:5" x14ac:dyDescent="0.25">
      <c r="A818" s="1">
        <v>817</v>
      </c>
      <c r="B818" s="1" t="str">
        <f>IFERROR(IF(F817&lt;&gt;"",F817,VLOOKUP(MAX(F$2:F817),A$1:B817,2,FALSE)),"")</f>
        <v/>
      </c>
      <c r="C818" s="1" t="str">
        <f t="shared" si="24"/>
        <v/>
      </c>
      <c r="D818" s="1" t="str">
        <f>IFERROR(IF(F818&lt;&gt;"",F818,VLOOKUP(MAX(C$2:C818),A$2:F818,2,FALSE)),"")</f>
        <v>XF</v>
      </c>
      <c r="E818" s="1" t="str">
        <f t="shared" si="25"/>
        <v/>
      </c>
    </row>
    <row r="819" spans="1:5" x14ac:dyDescent="0.25">
      <c r="A819" s="1">
        <v>818</v>
      </c>
      <c r="B819" s="1" t="str">
        <f>IFERROR(IF(F818&lt;&gt;"",F818,VLOOKUP(MAX(F$2:F818),A$1:B818,2,FALSE)),"")</f>
        <v/>
      </c>
      <c r="C819" s="1" t="str">
        <f t="shared" si="24"/>
        <v/>
      </c>
      <c r="D819" s="1" t="str">
        <f>IFERROR(IF(F819&lt;&gt;"",F819,VLOOKUP(MAX(C$2:C819),A$2:F819,2,FALSE)),"")</f>
        <v>XF</v>
      </c>
      <c r="E819" s="1" t="str">
        <f t="shared" si="25"/>
        <v/>
      </c>
    </row>
    <row r="820" spans="1:5" x14ac:dyDescent="0.25">
      <c r="A820" s="1">
        <v>819</v>
      </c>
      <c r="B820" s="1" t="str">
        <f>IFERROR(IF(F819&lt;&gt;"",F819,VLOOKUP(MAX(F$2:F819),A$1:B819,2,FALSE)),"")</f>
        <v/>
      </c>
      <c r="C820" s="1" t="str">
        <f t="shared" si="24"/>
        <v/>
      </c>
      <c r="D820" s="1" t="str">
        <f>IFERROR(IF(F820&lt;&gt;"",F820,VLOOKUP(MAX(C$2:C820),A$2:F820,2,FALSE)),"")</f>
        <v>XF</v>
      </c>
      <c r="E820" s="1" t="str">
        <f t="shared" si="25"/>
        <v/>
      </c>
    </row>
    <row r="821" spans="1:5" x14ac:dyDescent="0.25">
      <c r="A821" s="1">
        <v>820</v>
      </c>
      <c r="B821" s="1" t="str">
        <f>IFERROR(IF(F820&lt;&gt;"",F820,VLOOKUP(MAX(F$2:F820),A$1:B820,2,FALSE)),"")</f>
        <v/>
      </c>
      <c r="C821" s="1" t="str">
        <f t="shared" si="24"/>
        <v/>
      </c>
      <c r="D821" s="1" t="str">
        <f>IFERROR(IF(F821&lt;&gt;"",F821,VLOOKUP(MAX(C$2:C821),A$2:F821,2,FALSE)),"")</f>
        <v>XF</v>
      </c>
      <c r="E821" s="1" t="str">
        <f t="shared" si="25"/>
        <v/>
      </c>
    </row>
    <row r="822" spans="1:5" x14ac:dyDescent="0.25">
      <c r="A822" s="1">
        <v>821</v>
      </c>
      <c r="B822" s="1" t="str">
        <f>IFERROR(IF(F821&lt;&gt;"",F821,VLOOKUP(MAX(F$2:F821),A$1:B821,2,FALSE)),"")</f>
        <v/>
      </c>
      <c r="C822" s="1" t="str">
        <f t="shared" si="24"/>
        <v/>
      </c>
      <c r="D822" s="1" t="str">
        <f>IFERROR(IF(F822&lt;&gt;"",F822,VLOOKUP(MAX(C$2:C822),A$2:F822,2,FALSE)),"")</f>
        <v>XF</v>
      </c>
      <c r="E822" s="1" t="str">
        <f t="shared" si="25"/>
        <v/>
      </c>
    </row>
    <row r="823" spans="1:5" x14ac:dyDescent="0.25">
      <c r="A823" s="1">
        <v>822</v>
      </c>
      <c r="B823" s="1" t="str">
        <f>IFERROR(IF(F822&lt;&gt;"",F822,VLOOKUP(MAX(F$2:F822),A$1:B822,2,FALSE)),"")</f>
        <v/>
      </c>
      <c r="C823" s="1" t="str">
        <f t="shared" si="24"/>
        <v/>
      </c>
      <c r="D823" s="1" t="str">
        <f>IFERROR(IF(F823&lt;&gt;"",F823,VLOOKUP(MAX(C$2:C823),A$2:F823,2,FALSE)),"")</f>
        <v>XF</v>
      </c>
      <c r="E823" s="1" t="str">
        <f t="shared" si="25"/>
        <v/>
      </c>
    </row>
    <row r="824" spans="1:5" x14ac:dyDescent="0.25">
      <c r="A824" s="1">
        <v>823</v>
      </c>
      <c r="B824" s="1" t="str">
        <f>IFERROR(IF(F823&lt;&gt;"",F823,VLOOKUP(MAX(F$2:F823),A$1:B823,2,FALSE)),"")</f>
        <v/>
      </c>
      <c r="C824" s="1" t="str">
        <f t="shared" si="24"/>
        <v/>
      </c>
      <c r="D824" s="1" t="str">
        <f>IFERROR(IF(F824&lt;&gt;"",F824,VLOOKUP(MAX(C$2:C824),A$2:F824,2,FALSE)),"")</f>
        <v>XF</v>
      </c>
      <c r="E824" s="1" t="str">
        <f t="shared" si="25"/>
        <v/>
      </c>
    </row>
    <row r="825" spans="1:5" x14ac:dyDescent="0.25">
      <c r="A825" s="1">
        <v>824</v>
      </c>
      <c r="B825" s="1" t="str">
        <f>IFERROR(IF(F824&lt;&gt;"",F824,VLOOKUP(MAX(F$2:F824),A$1:B824,2,FALSE)),"")</f>
        <v/>
      </c>
      <c r="C825" s="1" t="str">
        <f t="shared" si="24"/>
        <v/>
      </c>
      <c r="D825" s="1" t="str">
        <f>IFERROR(IF(F825&lt;&gt;"",F825,VLOOKUP(MAX(C$2:C825),A$2:F825,2,FALSE)),"")</f>
        <v>XF</v>
      </c>
      <c r="E825" s="1" t="str">
        <f t="shared" si="25"/>
        <v/>
      </c>
    </row>
    <row r="826" spans="1:5" x14ac:dyDescent="0.25">
      <c r="A826" s="1">
        <v>825</v>
      </c>
      <c r="B826" s="1" t="str">
        <f>IFERROR(IF(F825&lt;&gt;"",F825,VLOOKUP(MAX(F$2:F825),A$1:B825,2,FALSE)),"")</f>
        <v/>
      </c>
      <c r="C826" s="1" t="str">
        <f t="shared" si="24"/>
        <v/>
      </c>
      <c r="D826" s="1" t="str">
        <f>IFERROR(IF(F826&lt;&gt;"",F826,VLOOKUP(MAX(C$2:C826),A$2:F826,2,FALSE)),"")</f>
        <v>XF</v>
      </c>
      <c r="E826" s="1" t="str">
        <f t="shared" si="25"/>
        <v/>
      </c>
    </row>
    <row r="827" spans="1:5" x14ac:dyDescent="0.25">
      <c r="A827" s="1">
        <v>826</v>
      </c>
      <c r="B827" s="1" t="str">
        <f>IFERROR(IF(F826&lt;&gt;"",F826,VLOOKUP(MAX(F$2:F826),A$1:B826,2,FALSE)),"")</f>
        <v/>
      </c>
      <c r="C827" s="1" t="str">
        <f t="shared" si="24"/>
        <v/>
      </c>
      <c r="D827" s="1" t="str">
        <f>IFERROR(IF(F827&lt;&gt;"",F827,VLOOKUP(MAX(C$2:C827),A$2:F827,2,FALSE)),"")</f>
        <v>XF</v>
      </c>
      <c r="E827" s="1" t="str">
        <f t="shared" si="25"/>
        <v/>
      </c>
    </row>
    <row r="828" spans="1:5" x14ac:dyDescent="0.25">
      <c r="A828" s="1">
        <v>827</v>
      </c>
      <c r="B828" s="1" t="str">
        <f>IFERROR(IF(F827&lt;&gt;"",F827,VLOOKUP(MAX(F$2:F827),A$1:B827,2,FALSE)),"")</f>
        <v/>
      </c>
      <c r="C828" s="1" t="str">
        <f t="shared" si="24"/>
        <v/>
      </c>
      <c r="D828" s="1" t="str">
        <f>IFERROR(IF(F828&lt;&gt;"",F828,VLOOKUP(MAX(C$2:C828),A$2:F828,2,FALSE)),"")</f>
        <v>XF</v>
      </c>
      <c r="E828" s="1" t="str">
        <f t="shared" si="25"/>
        <v/>
      </c>
    </row>
    <row r="829" spans="1:5" x14ac:dyDescent="0.25">
      <c r="A829" s="1">
        <v>828</v>
      </c>
      <c r="B829" s="1" t="str">
        <f>IFERROR(IF(F828&lt;&gt;"",F828,VLOOKUP(MAX(F$2:F828),A$1:B828,2,FALSE)),"")</f>
        <v/>
      </c>
      <c r="C829" s="1" t="str">
        <f t="shared" si="24"/>
        <v/>
      </c>
      <c r="D829" s="1" t="str">
        <f>IFERROR(IF(F829&lt;&gt;"",F829,VLOOKUP(MAX(C$2:C829),A$2:F829,2,FALSE)),"")</f>
        <v>XF</v>
      </c>
      <c r="E829" s="1" t="str">
        <f t="shared" si="25"/>
        <v/>
      </c>
    </row>
    <row r="830" spans="1:5" x14ac:dyDescent="0.25">
      <c r="A830" s="1">
        <v>829</v>
      </c>
      <c r="B830" s="1" t="str">
        <f>IFERROR(IF(F829&lt;&gt;"",F829,VLOOKUP(MAX(F$2:F829),A$1:B829,2,FALSE)),"")</f>
        <v/>
      </c>
      <c r="C830" s="1" t="str">
        <f t="shared" si="24"/>
        <v/>
      </c>
      <c r="D830" s="1" t="str">
        <f>IFERROR(IF(F830&lt;&gt;"",F830,VLOOKUP(MAX(C$2:C830),A$2:F830,2,FALSE)),"")</f>
        <v>XF</v>
      </c>
      <c r="E830" s="1" t="str">
        <f t="shared" si="25"/>
        <v/>
      </c>
    </row>
    <row r="831" spans="1:5" x14ac:dyDescent="0.25">
      <c r="A831" s="1">
        <v>830</v>
      </c>
      <c r="B831" s="1" t="str">
        <f>IFERROR(IF(F830&lt;&gt;"",F830,VLOOKUP(MAX(F$2:F830),A$1:B830,2,FALSE)),"")</f>
        <v/>
      </c>
      <c r="C831" s="1" t="str">
        <f t="shared" si="24"/>
        <v/>
      </c>
      <c r="D831" s="1" t="str">
        <f>IFERROR(IF(F831&lt;&gt;"",F831,VLOOKUP(MAX(C$2:C831),A$2:F831,2,FALSE)),"")</f>
        <v>XF</v>
      </c>
      <c r="E831" s="1" t="str">
        <f t="shared" si="25"/>
        <v/>
      </c>
    </row>
    <row r="832" spans="1:5" x14ac:dyDescent="0.25">
      <c r="A832" s="1">
        <v>831</v>
      </c>
      <c r="B832" s="1" t="str">
        <f>IFERROR(IF(F831&lt;&gt;"",F831,VLOOKUP(MAX(F$2:F831),A$1:B831,2,FALSE)),"")</f>
        <v/>
      </c>
      <c r="C832" s="1" t="str">
        <f t="shared" si="24"/>
        <v/>
      </c>
      <c r="D832" s="1" t="str">
        <f>IFERROR(IF(F832&lt;&gt;"",F832,VLOOKUP(MAX(C$2:C832),A$2:F832,2,FALSE)),"")</f>
        <v>XF</v>
      </c>
      <c r="E832" s="1" t="str">
        <f t="shared" si="25"/>
        <v/>
      </c>
    </row>
    <row r="833" spans="1:5" x14ac:dyDescent="0.25">
      <c r="A833" s="1">
        <v>832</v>
      </c>
      <c r="B833" s="1" t="str">
        <f>IFERROR(IF(F832&lt;&gt;"",F832,VLOOKUP(MAX(F$2:F832),A$1:B832,2,FALSE)),"")</f>
        <v/>
      </c>
      <c r="C833" s="1" t="str">
        <f t="shared" si="24"/>
        <v/>
      </c>
      <c r="D833" s="1" t="str">
        <f>IFERROR(IF(F833&lt;&gt;"",F833,VLOOKUP(MAX(C$2:C833),A$2:F833,2,FALSE)),"")</f>
        <v>XF</v>
      </c>
      <c r="E833" s="1" t="str">
        <f t="shared" si="25"/>
        <v/>
      </c>
    </row>
    <row r="834" spans="1:5" x14ac:dyDescent="0.25">
      <c r="A834" s="1">
        <v>833</v>
      </c>
      <c r="B834" s="1" t="str">
        <f>IFERROR(IF(F833&lt;&gt;"",F833,VLOOKUP(MAX(F$2:F833),A$1:B833,2,FALSE)),"")</f>
        <v/>
      </c>
      <c r="C834" s="1" t="str">
        <f t="shared" ref="C834:C897" si="26">IF(F834&lt;&gt;"",A834,"")</f>
        <v/>
      </c>
      <c r="D834" s="1" t="str">
        <f>IFERROR(IF(F834&lt;&gt;"",F834,VLOOKUP(MAX(C$2:C834),A$2:F834,2,FALSE)),"")</f>
        <v>XF</v>
      </c>
      <c r="E834" s="1" t="str">
        <f t="shared" si="25"/>
        <v/>
      </c>
    </row>
    <row r="835" spans="1:5" x14ac:dyDescent="0.25">
      <c r="A835" s="1">
        <v>834</v>
      </c>
      <c r="B835" s="1" t="str">
        <f>IFERROR(IF(F834&lt;&gt;"",F834,VLOOKUP(MAX(F$2:F834),A$1:B834,2,FALSE)),"")</f>
        <v/>
      </c>
      <c r="C835" s="1" t="str">
        <f t="shared" si="26"/>
        <v/>
      </c>
      <c r="D835" s="1" t="str">
        <f>IFERROR(IF(F835&lt;&gt;"",F835,VLOOKUP(MAX(C$2:C835),A$2:F835,2,FALSE)),"")</f>
        <v>XF</v>
      </c>
      <c r="E835" s="1" t="str">
        <f t="shared" si="25"/>
        <v/>
      </c>
    </row>
    <row r="836" spans="1:5" x14ac:dyDescent="0.25">
      <c r="A836" s="1">
        <v>835</v>
      </c>
      <c r="B836" s="1" t="str">
        <f>IFERROR(IF(F835&lt;&gt;"",F835,VLOOKUP(MAX(F$2:F835),A$1:B835,2,FALSE)),"")</f>
        <v/>
      </c>
      <c r="C836" s="1" t="str">
        <f t="shared" si="26"/>
        <v/>
      </c>
      <c r="D836" s="1" t="str">
        <f>IFERROR(IF(F836&lt;&gt;"",F836,VLOOKUP(MAX(C$2:C836),A$2:F836,2,FALSE)),"")</f>
        <v>XF</v>
      </c>
      <c r="E836" s="1" t="str">
        <f t="shared" ref="E836:E899" si="27">IF(H836&lt;&gt;"",CONCATENATE(D836,".",H836),"")</f>
        <v/>
      </c>
    </row>
    <row r="837" spans="1:5" x14ac:dyDescent="0.25">
      <c r="A837" s="1">
        <v>836</v>
      </c>
      <c r="B837" s="1" t="str">
        <f>IFERROR(IF(F836&lt;&gt;"",F836,VLOOKUP(MAX(F$2:F836),A$1:B836,2,FALSE)),"")</f>
        <v/>
      </c>
      <c r="C837" s="1" t="str">
        <f t="shared" si="26"/>
        <v/>
      </c>
      <c r="D837" s="1" t="str">
        <f>IFERROR(IF(F837&lt;&gt;"",F837,VLOOKUP(MAX(C$2:C837),A$2:F837,2,FALSE)),"")</f>
        <v>XF</v>
      </c>
      <c r="E837" s="1" t="str">
        <f t="shared" si="27"/>
        <v/>
      </c>
    </row>
    <row r="838" spans="1:5" x14ac:dyDescent="0.25">
      <c r="A838" s="1">
        <v>837</v>
      </c>
      <c r="B838" s="1" t="str">
        <f>IFERROR(IF(F837&lt;&gt;"",F837,VLOOKUP(MAX(F$2:F837),A$1:B837,2,FALSE)),"")</f>
        <v/>
      </c>
      <c r="C838" s="1" t="str">
        <f t="shared" si="26"/>
        <v/>
      </c>
      <c r="D838" s="1" t="str">
        <f>IFERROR(IF(F838&lt;&gt;"",F838,VLOOKUP(MAX(C$2:C838),A$2:F838,2,FALSE)),"")</f>
        <v>XF</v>
      </c>
      <c r="E838" s="1" t="str">
        <f t="shared" si="27"/>
        <v/>
      </c>
    </row>
    <row r="839" spans="1:5" x14ac:dyDescent="0.25">
      <c r="A839" s="1">
        <v>838</v>
      </c>
      <c r="B839" s="1" t="str">
        <f>IFERROR(IF(F838&lt;&gt;"",F838,VLOOKUP(MAX(F$2:F838),A$1:B838,2,FALSE)),"")</f>
        <v/>
      </c>
      <c r="C839" s="1" t="str">
        <f t="shared" si="26"/>
        <v/>
      </c>
      <c r="D839" s="1" t="str">
        <f>IFERROR(IF(F839&lt;&gt;"",F839,VLOOKUP(MAX(C$2:C839),A$2:F839,2,FALSE)),"")</f>
        <v>XF</v>
      </c>
      <c r="E839" s="1" t="str">
        <f t="shared" si="27"/>
        <v/>
      </c>
    </row>
    <row r="840" spans="1:5" x14ac:dyDescent="0.25">
      <c r="A840" s="1">
        <v>839</v>
      </c>
      <c r="B840" s="1" t="str">
        <f>IFERROR(IF(F839&lt;&gt;"",F839,VLOOKUP(MAX(F$2:F839),A$1:B839,2,FALSE)),"")</f>
        <v/>
      </c>
      <c r="C840" s="1" t="str">
        <f t="shared" si="26"/>
        <v/>
      </c>
      <c r="D840" s="1" t="str">
        <f>IFERROR(IF(F840&lt;&gt;"",F840,VLOOKUP(MAX(C$2:C840),A$2:F840,2,FALSE)),"")</f>
        <v>XF</v>
      </c>
      <c r="E840" s="1" t="str">
        <f t="shared" si="27"/>
        <v/>
      </c>
    </row>
    <row r="841" spans="1:5" x14ac:dyDescent="0.25">
      <c r="A841" s="1">
        <v>840</v>
      </c>
      <c r="B841" s="1" t="str">
        <f>IFERROR(IF(F840&lt;&gt;"",F840,VLOOKUP(MAX(F$2:F840),A$1:B840,2,FALSE)),"")</f>
        <v/>
      </c>
      <c r="C841" s="1" t="str">
        <f t="shared" si="26"/>
        <v/>
      </c>
      <c r="D841" s="1" t="str">
        <f>IFERROR(IF(F841&lt;&gt;"",F841,VLOOKUP(MAX(C$2:C841),A$2:F841,2,FALSE)),"")</f>
        <v>XF</v>
      </c>
      <c r="E841" s="1" t="str">
        <f t="shared" si="27"/>
        <v/>
      </c>
    </row>
    <row r="842" spans="1:5" x14ac:dyDescent="0.25">
      <c r="A842" s="1">
        <v>841</v>
      </c>
      <c r="B842" s="1" t="str">
        <f>IFERROR(IF(F841&lt;&gt;"",F841,VLOOKUP(MAX(F$2:F841),A$1:B841,2,FALSE)),"")</f>
        <v/>
      </c>
      <c r="C842" s="1" t="str">
        <f t="shared" si="26"/>
        <v/>
      </c>
      <c r="D842" s="1" t="str">
        <f>IFERROR(IF(F842&lt;&gt;"",F842,VLOOKUP(MAX(C$2:C842),A$2:F842,2,FALSE)),"")</f>
        <v>XF</v>
      </c>
      <c r="E842" s="1" t="str">
        <f t="shared" si="27"/>
        <v/>
      </c>
    </row>
    <row r="843" spans="1:5" x14ac:dyDescent="0.25">
      <c r="A843" s="1">
        <v>842</v>
      </c>
      <c r="B843" s="1" t="str">
        <f>IFERROR(IF(F842&lt;&gt;"",F842,VLOOKUP(MAX(F$2:F842),A$1:B842,2,FALSE)),"")</f>
        <v/>
      </c>
      <c r="C843" s="1" t="str">
        <f t="shared" si="26"/>
        <v/>
      </c>
      <c r="D843" s="1" t="str">
        <f>IFERROR(IF(F843&lt;&gt;"",F843,VLOOKUP(MAX(C$2:C843),A$2:F843,2,FALSE)),"")</f>
        <v>XF</v>
      </c>
      <c r="E843" s="1" t="str">
        <f t="shared" si="27"/>
        <v/>
      </c>
    </row>
    <row r="844" spans="1:5" x14ac:dyDescent="0.25">
      <c r="A844" s="1">
        <v>843</v>
      </c>
      <c r="B844" s="1" t="str">
        <f>IFERROR(IF(F843&lt;&gt;"",F843,VLOOKUP(MAX(F$2:F843),A$1:B843,2,FALSE)),"")</f>
        <v/>
      </c>
      <c r="C844" s="1" t="str">
        <f t="shared" si="26"/>
        <v/>
      </c>
      <c r="D844" s="1" t="str">
        <f>IFERROR(IF(F844&lt;&gt;"",F844,VLOOKUP(MAX(C$2:C844),A$2:F844,2,FALSE)),"")</f>
        <v>XF</v>
      </c>
      <c r="E844" s="1" t="str">
        <f t="shared" si="27"/>
        <v/>
      </c>
    </row>
    <row r="845" spans="1:5" x14ac:dyDescent="0.25">
      <c r="A845" s="1">
        <v>844</v>
      </c>
      <c r="B845" s="1" t="str">
        <f>IFERROR(IF(F844&lt;&gt;"",F844,VLOOKUP(MAX(F$2:F844),A$1:B844,2,FALSE)),"")</f>
        <v/>
      </c>
      <c r="C845" s="1" t="str">
        <f t="shared" si="26"/>
        <v/>
      </c>
      <c r="D845" s="1" t="str">
        <f>IFERROR(IF(F845&lt;&gt;"",F845,VLOOKUP(MAX(C$2:C845),A$2:F845,2,FALSE)),"")</f>
        <v>XF</v>
      </c>
      <c r="E845" s="1" t="str">
        <f t="shared" si="27"/>
        <v/>
      </c>
    </row>
    <row r="846" spans="1:5" x14ac:dyDescent="0.25">
      <c r="A846" s="1">
        <v>845</v>
      </c>
      <c r="B846" s="1" t="str">
        <f>IFERROR(IF(F845&lt;&gt;"",F845,VLOOKUP(MAX(F$2:F845),A$1:B845,2,FALSE)),"")</f>
        <v/>
      </c>
      <c r="C846" s="1" t="str">
        <f t="shared" si="26"/>
        <v/>
      </c>
      <c r="D846" s="1" t="str">
        <f>IFERROR(IF(F846&lt;&gt;"",F846,VLOOKUP(MAX(C$2:C846),A$2:F846,2,FALSE)),"")</f>
        <v>XF</v>
      </c>
      <c r="E846" s="1" t="str">
        <f t="shared" si="27"/>
        <v/>
      </c>
    </row>
    <row r="847" spans="1:5" x14ac:dyDescent="0.25">
      <c r="A847" s="1">
        <v>846</v>
      </c>
      <c r="B847" s="1" t="str">
        <f>IFERROR(IF(F846&lt;&gt;"",F846,VLOOKUP(MAX(F$2:F846),A$1:B846,2,FALSE)),"")</f>
        <v/>
      </c>
      <c r="C847" s="1" t="str">
        <f t="shared" si="26"/>
        <v/>
      </c>
      <c r="D847" s="1" t="str">
        <f>IFERROR(IF(F847&lt;&gt;"",F847,VLOOKUP(MAX(C$2:C847),A$2:F847,2,FALSE)),"")</f>
        <v>XF</v>
      </c>
      <c r="E847" s="1" t="str">
        <f t="shared" si="27"/>
        <v/>
      </c>
    </row>
    <row r="848" spans="1:5" x14ac:dyDescent="0.25">
      <c r="A848" s="1">
        <v>847</v>
      </c>
      <c r="B848" s="1" t="str">
        <f>IFERROR(IF(F847&lt;&gt;"",F847,VLOOKUP(MAX(F$2:F847),A$1:B847,2,FALSE)),"")</f>
        <v/>
      </c>
      <c r="C848" s="1" t="str">
        <f t="shared" si="26"/>
        <v/>
      </c>
      <c r="D848" s="1" t="str">
        <f>IFERROR(IF(F848&lt;&gt;"",F848,VLOOKUP(MAX(C$2:C848),A$2:F848,2,FALSE)),"")</f>
        <v>XF</v>
      </c>
      <c r="E848" s="1" t="str">
        <f t="shared" si="27"/>
        <v/>
      </c>
    </row>
    <row r="849" spans="1:5" x14ac:dyDescent="0.25">
      <c r="A849" s="1">
        <v>848</v>
      </c>
      <c r="B849" s="1" t="str">
        <f>IFERROR(IF(F848&lt;&gt;"",F848,VLOOKUP(MAX(F$2:F848),A$1:B848,2,FALSE)),"")</f>
        <v/>
      </c>
      <c r="C849" s="1" t="str">
        <f t="shared" si="26"/>
        <v/>
      </c>
      <c r="D849" s="1" t="str">
        <f>IFERROR(IF(F849&lt;&gt;"",F849,VLOOKUP(MAX(C$2:C849),A$2:F849,2,FALSE)),"")</f>
        <v>XF</v>
      </c>
      <c r="E849" s="1" t="str">
        <f t="shared" si="27"/>
        <v/>
      </c>
    </row>
    <row r="850" spans="1:5" x14ac:dyDescent="0.25">
      <c r="A850" s="1">
        <v>849</v>
      </c>
      <c r="B850" s="1" t="str">
        <f>IFERROR(IF(F849&lt;&gt;"",F849,VLOOKUP(MAX(F$2:F849),A$1:B849,2,FALSE)),"")</f>
        <v/>
      </c>
      <c r="C850" s="1" t="str">
        <f t="shared" si="26"/>
        <v/>
      </c>
      <c r="D850" s="1" t="str">
        <f>IFERROR(IF(F850&lt;&gt;"",F850,VLOOKUP(MAX(C$2:C850),A$2:F850,2,FALSE)),"")</f>
        <v>XF</v>
      </c>
      <c r="E850" s="1" t="str">
        <f t="shared" si="27"/>
        <v/>
      </c>
    </row>
    <row r="851" spans="1:5" x14ac:dyDescent="0.25">
      <c r="A851" s="1">
        <v>850</v>
      </c>
      <c r="B851" s="1" t="str">
        <f>IFERROR(IF(F850&lt;&gt;"",F850,VLOOKUP(MAX(F$2:F850),A$1:B850,2,FALSE)),"")</f>
        <v/>
      </c>
      <c r="C851" s="1" t="str">
        <f t="shared" si="26"/>
        <v/>
      </c>
      <c r="D851" s="1" t="str">
        <f>IFERROR(IF(F851&lt;&gt;"",F851,VLOOKUP(MAX(C$2:C851),A$2:F851,2,FALSE)),"")</f>
        <v>XF</v>
      </c>
      <c r="E851" s="1" t="str">
        <f t="shared" si="27"/>
        <v/>
      </c>
    </row>
    <row r="852" spans="1:5" x14ac:dyDescent="0.25">
      <c r="A852" s="1">
        <v>851</v>
      </c>
      <c r="B852" s="1" t="str">
        <f>IFERROR(IF(F851&lt;&gt;"",F851,VLOOKUP(MAX(F$2:F851),A$1:B851,2,FALSE)),"")</f>
        <v/>
      </c>
      <c r="C852" s="1" t="str">
        <f t="shared" si="26"/>
        <v/>
      </c>
      <c r="D852" s="1" t="str">
        <f>IFERROR(IF(F852&lt;&gt;"",F852,VLOOKUP(MAX(C$2:C852),A$2:F852,2,FALSE)),"")</f>
        <v>XF</v>
      </c>
      <c r="E852" s="1" t="str">
        <f t="shared" si="27"/>
        <v/>
      </c>
    </row>
    <row r="853" spans="1:5" x14ac:dyDescent="0.25">
      <c r="A853" s="1">
        <v>852</v>
      </c>
      <c r="B853" s="1" t="str">
        <f>IFERROR(IF(F852&lt;&gt;"",F852,VLOOKUP(MAX(F$2:F852),A$1:B852,2,FALSE)),"")</f>
        <v/>
      </c>
      <c r="C853" s="1" t="str">
        <f t="shared" si="26"/>
        <v/>
      </c>
      <c r="D853" s="1" t="str">
        <f>IFERROR(IF(F853&lt;&gt;"",F853,VLOOKUP(MAX(C$2:C853),A$2:F853,2,FALSE)),"")</f>
        <v>XF</v>
      </c>
      <c r="E853" s="1" t="str">
        <f t="shared" si="27"/>
        <v/>
      </c>
    </row>
    <row r="854" spans="1:5" x14ac:dyDescent="0.25">
      <c r="A854" s="1">
        <v>853</v>
      </c>
      <c r="B854" s="1" t="str">
        <f>IFERROR(IF(F853&lt;&gt;"",F853,VLOOKUP(MAX(F$2:F853),A$1:B853,2,FALSE)),"")</f>
        <v/>
      </c>
      <c r="C854" s="1" t="str">
        <f t="shared" si="26"/>
        <v/>
      </c>
      <c r="D854" s="1" t="str">
        <f>IFERROR(IF(F854&lt;&gt;"",F854,VLOOKUP(MAX(C$2:C854),A$2:F854,2,FALSE)),"")</f>
        <v>XF</v>
      </c>
      <c r="E854" s="1" t="str">
        <f t="shared" si="27"/>
        <v/>
      </c>
    </row>
    <row r="855" spans="1:5" x14ac:dyDescent="0.25">
      <c r="A855" s="1">
        <v>854</v>
      </c>
      <c r="B855" s="1" t="str">
        <f>IFERROR(IF(F854&lt;&gt;"",F854,VLOOKUP(MAX(F$2:F854),A$1:B854,2,FALSE)),"")</f>
        <v/>
      </c>
      <c r="C855" s="1" t="str">
        <f t="shared" si="26"/>
        <v/>
      </c>
      <c r="D855" s="1" t="str">
        <f>IFERROR(IF(F855&lt;&gt;"",F855,VLOOKUP(MAX(C$2:C855),A$2:F855,2,FALSE)),"")</f>
        <v>XF</v>
      </c>
      <c r="E855" s="1" t="str">
        <f t="shared" si="27"/>
        <v/>
      </c>
    </row>
    <row r="856" spans="1:5" x14ac:dyDescent="0.25">
      <c r="A856" s="1">
        <v>855</v>
      </c>
      <c r="B856" s="1" t="str">
        <f>IFERROR(IF(F855&lt;&gt;"",F855,VLOOKUP(MAX(F$2:F855),A$1:B855,2,FALSE)),"")</f>
        <v/>
      </c>
      <c r="C856" s="1" t="str">
        <f t="shared" si="26"/>
        <v/>
      </c>
      <c r="D856" s="1" t="str">
        <f>IFERROR(IF(F856&lt;&gt;"",F856,VLOOKUP(MAX(C$2:C856),A$2:F856,2,FALSE)),"")</f>
        <v>XF</v>
      </c>
      <c r="E856" s="1" t="str">
        <f t="shared" si="27"/>
        <v/>
      </c>
    </row>
    <row r="857" spans="1:5" x14ac:dyDescent="0.25">
      <c r="A857" s="1">
        <v>856</v>
      </c>
      <c r="B857" s="1" t="str">
        <f>IFERROR(IF(F856&lt;&gt;"",F856,VLOOKUP(MAX(F$2:F856),A$1:B856,2,FALSE)),"")</f>
        <v/>
      </c>
      <c r="C857" s="1" t="str">
        <f t="shared" si="26"/>
        <v/>
      </c>
      <c r="D857" s="1" t="str">
        <f>IFERROR(IF(F857&lt;&gt;"",F857,VLOOKUP(MAX(C$2:C857),A$2:F857,2,FALSE)),"")</f>
        <v>XF</v>
      </c>
      <c r="E857" s="1" t="str">
        <f t="shared" si="27"/>
        <v/>
      </c>
    </row>
    <row r="858" spans="1:5" x14ac:dyDescent="0.25">
      <c r="A858" s="1">
        <v>857</v>
      </c>
      <c r="B858" s="1" t="str">
        <f>IFERROR(IF(F857&lt;&gt;"",F857,VLOOKUP(MAX(F$2:F857),A$1:B857,2,FALSE)),"")</f>
        <v/>
      </c>
      <c r="C858" s="1" t="str">
        <f t="shared" si="26"/>
        <v/>
      </c>
      <c r="D858" s="1" t="str">
        <f>IFERROR(IF(F858&lt;&gt;"",F858,VLOOKUP(MAX(C$2:C858),A$2:F858,2,FALSE)),"")</f>
        <v>XF</v>
      </c>
      <c r="E858" s="1" t="str">
        <f t="shared" si="27"/>
        <v/>
      </c>
    </row>
    <row r="859" spans="1:5" x14ac:dyDescent="0.25">
      <c r="A859" s="1">
        <v>858</v>
      </c>
      <c r="B859" s="1" t="str">
        <f>IFERROR(IF(F858&lt;&gt;"",F858,VLOOKUP(MAX(F$2:F858),A$1:B858,2,FALSE)),"")</f>
        <v/>
      </c>
      <c r="C859" s="1" t="str">
        <f t="shared" si="26"/>
        <v/>
      </c>
      <c r="D859" s="1" t="str">
        <f>IFERROR(IF(F859&lt;&gt;"",F859,VLOOKUP(MAX(C$2:C859),A$2:F859,2,FALSE)),"")</f>
        <v>XF</v>
      </c>
      <c r="E859" s="1" t="str">
        <f t="shared" si="27"/>
        <v/>
      </c>
    </row>
    <row r="860" spans="1:5" x14ac:dyDescent="0.25">
      <c r="A860" s="1">
        <v>859</v>
      </c>
      <c r="B860" s="1" t="str">
        <f>IFERROR(IF(F859&lt;&gt;"",F859,VLOOKUP(MAX(F$2:F859),A$1:B859,2,FALSE)),"")</f>
        <v/>
      </c>
      <c r="C860" s="1" t="str">
        <f t="shared" si="26"/>
        <v/>
      </c>
      <c r="D860" s="1" t="str">
        <f>IFERROR(IF(F860&lt;&gt;"",F860,VLOOKUP(MAX(C$2:C860),A$2:F860,2,FALSE)),"")</f>
        <v>XF</v>
      </c>
      <c r="E860" s="1" t="str">
        <f t="shared" si="27"/>
        <v/>
      </c>
    </row>
    <row r="861" spans="1:5" x14ac:dyDescent="0.25">
      <c r="A861" s="1">
        <v>860</v>
      </c>
      <c r="B861" s="1" t="str">
        <f>IFERROR(IF(F860&lt;&gt;"",F860,VLOOKUP(MAX(F$2:F860),A$1:B860,2,FALSE)),"")</f>
        <v/>
      </c>
      <c r="C861" s="1" t="str">
        <f t="shared" si="26"/>
        <v/>
      </c>
      <c r="D861" s="1" t="str">
        <f>IFERROR(IF(F861&lt;&gt;"",F861,VLOOKUP(MAX(C$2:C861),A$2:F861,2,FALSE)),"")</f>
        <v>XF</v>
      </c>
      <c r="E861" s="1" t="str">
        <f t="shared" si="27"/>
        <v/>
      </c>
    </row>
    <row r="862" spans="1:5" x14ac:dyDescent="0.25">
      <c r="A862" s="1">
        <v>861</v>
      </c>
      <c r="B862" s="1" t="str">
        <f>IFERROR(IF(F861&lt;&gt;"",F861,VLOOKUP(MAX(F$2:F861),A$1:B861,2,FALSE)),"")</f>
        <v/>
      </c>
      <c r="C862" s="1" t="str">
        <f t="shared" si="26"/>
        <v/>
      </c>
      <c r="D862" s="1" t="str">
        <f>IFERROR(IF(F862&lt;&gt;"",F862,VLOOKUP(MAX(C$2:C862),A$2:F862,2,FALSE)),"")</f>
        <v>XF</v>
      </c>
      <c r="E862" s="1" t="str">
        <f t="shared" si="27"/>
        <v/>
      </c>
    </row>
    <row r="863" spans="1:5" x14ac:dyDescent="0.25">
      <c r="A863" s="1">
        <v>862</v>
      </c>
      <c r="B863" s="1" t="str">
        <f>IFERROR(IF(F862&lt;&gt;"",F862,VLOOKUP(MAX(F$2:F862),A$1:B862,2,FALSE)),"")</f>
        <v/>
      </c>
      <c r="C863" s="1" t="str">
        <f t="shared" si="26"/>
        <v/>
      </c>
      <c r="D863" s="1" t="str">
        <f>IFERROR(IF(F863&lt;&gt;"",F863,VLOOKUP(MAX(C$2:C863),A$2:F863,2,FALSE)),"")</f>
        <v>XF</v>
      </c>
      <c r="E863" s="1" t="str">
        <f t="shared" si="27"/>
        <v/>
      </c>
    </row>
    <row r="864" spans="1:5" x14ac:dyDescent="0.25">
      <c r="A864" s="1">
        <v>863</v>
      </c>
      <c r="B864" s="1" t="str">
        <f>IFERROR(IF(F863&lt;&gt;"",F863,VLOOKUP(MAX(F$2:F863),A$1:B863,2,FALSE)),"")</f>
        <v/>
      </c>
      <c r="C864" s="1" t="str">
        <f t="shared" si="26"/>
        <v/>
      </c>
      <c r="D864" s="1" t="str">
        <f>IFERROR(IF(F864&lt;&gt;"",F864,VLOOKUP(MAX(C$2:C864),A$2:F864,2,FALSE)),"")</f>
        <v>XF</v>
      </c>
      <c r="E864" s="1" t="str">
        <f t="shared" si="27"/>
        <v/>
      </c>
    </row>
    <row r="865" spans="1:5" x14ac:dyDescent="0.25">
      <c r="A865" s="1">
        <v>864</v>
      </c>
      <c r="B865" s="1" t="str">
        <f>IFERROR(IF(F864&lt;&gt;"",F864,VLOOKUP(MAX(F$2:F864),A$1:B864,2,FALSE)),"")</f>
        <v/>
      </c>
      <c r="C865" s="1" t="str">
        <f t="shared" si="26"/>
        <v/>
      </c>
      <c r="D865" s="1" t="str">
        <f>IFERROR(IF(F865&lt;&gt;"",F865,VLOOKUP(MAX(C$2:C865),A$2:F865,2,FALSE)),"")</f>
        <v>XF</v>
      </c>
      <c r="E865" s="1" t="str">
        <f t="shared" si="27"/>
        <v/>
      </c>
    </row>
    <row r="866" spans="1:5" x14ac:dyDescent="0.25">
      <c r="A866" s="1">
        <v>865</v>
      </c>
      <c r="B866" s="1" t="str">
        <f>IFERROR(IF(F865&lt;&gt;"",F865,VLOOKUP(MAX(F$2:F865),A$1:B865,2,FALSE)),"")</f>
        <v/>
      </c>
      <c r="C866" s="1" t="str">
        <f t="shared" si="26"/>
        <v/>
      </c>
      <c r="D866" s="1" t="str">
        <f>IFERROR(IF(F866&lt;&gt;"",F866,VLOOKUP(MAX(C$2:C866),A$2:F866,2,FALSE)),"")</f>
        <v>XF</v>
      </c>
      <c r="E866" s="1" t="str">
        <f t="shared" si="27"/>
        <v/>
      </c>
    </row>
    <row r="867" spans="1:5" x14ac:dyDescent="0.25">
      <c r="A867" s="1">
        <v>866</v>
      </c>
      <c r="B867" s="1" t="str">
        <f>IFERROR(IF(F866&lt;&gt;"",F866,VLOOKUP(MAX(F$2:F866),A$1:B866,2,FALSE)),"")</f>
        <v/>
      </c>
      <c r="C867" s="1" t="str">
        <f t="shared" si="26"/>
        <v/>
      </c>
      <c r="D867" s="1" t="str">
        <f>IFERROR(IF(F867&lt;&gt;"",F867,VLOOKUP(MAX(C$2:C867),A$2:F867,2,FALSE)),"")</f>
        <v>XF</v>
      </c>
      <c r="E867" s="1" t="str">
        <f t="shared" si="27"/>
        <v/>
      </c>
    </row>
    <row r="868" spans="1:5" x14ac:dyDescent="0.25">
      <c r="A868" s="1">
        <v>867</v>
      </c>
      <c r="B868" s="1" t="str">
        <f>IFERROR(IF(F867&lt;&gt;"",F867,VLOOKUP(MAX(F$2:F867),A$1:B867,2,FALSE)),"")</f>
        <v/>
      </c>
      <c r="C868" s="1" t="str">
        <f t="shared" si="26"/>
        <v/>
      </c>
      <c r="D868" s="1" t="str">
        <f>IFERROR(IF(F868&lt;&gt;"",F868,VLOOKUP(MAX(C$2:C868),A$2:F868,2,FALSE)),"")</f>
        <v>XF</v>
      </c>
      <c r="E868" s="1" t="str">
        <f t="shared" si="27"/>
        <v/>
      </c>
    </row>
    <row r="869" spans="1:5" x14ac:dyDescent="0.25">
      <c r="A869" s="1">
        <v>868</v>
      </c>
      <c r="B869" s="1" t="str">
        <f>IFERROR(IF(F868&lt;&gt;"",F868,VLOOKUP(MAX(F$2:F868),A$1:B868,2,FALSE)),"")</f>
        <v/>
      </c>
      <c r="C869" s="1" t="str">
        <f t="shared" si="26"/>
        <v/>
      </c>
      <c r="D869" s="1" t="str">
        <f>IFERROR(IF(F869&lt;&gt;"",F869,VLOOKUP(MAX(C$2:C869),A$2:F869,2,FALSE)),"")</f>
        <v>XF</v>
      </c>
      <c r="E869" s="1" t="str">
        <f t="shared" si="27"/>
        <v/>
      </c>
    </row>
    <row r="870" spans="1:5" x14ac:dyDescent="0.25">
      <c r="A870" s="1">
        <v>869</v>
      </c>
      <c r="B870" s="1" t="str">
        <f>IFERROR(IF(F869&lt;&gt;"",F869,VLOOKUP(MAX(F$2:F869),A$1:B869,2,FALSE)),"")</f>
        <v/>
      </c>
      <c r="C870" s="1" t="str">
        <f t="shared" si="26"/>
        <v/>
      </c>
      <c r="D870" s="1" t="str">
        <f>IFERROR(IF(F870&lt;&gt;"",F870,VLOOKUP(MAX(C$2:C870),A$2:F870,2,FALSE)),"")</f>
        <v>XF</v>
      </c>
      <c r="E870" s="1" t="str">
        <f t="shared" si="27"/>
        <v/>
      </c>
    </row>
    <row r="871" spans="1:5" x14ac:dyDescent="0.25">
      <c r="A871" s="1">
        <v>870</v>
      </c>
      <c r="B871" s="1" t="str">
        <f>IFERROR(IF(F870&lt;&gt;"",F870,VLOOKUP(MAX(F$2:F870),A$1:B870,2,FALSE)),"")</f>
        <v/>
      </c>
      <c r="C871" s="1" t="str">
        <f t="shared" si="26"/>
        <v/>
      </c>
      <c r="D871" s="1" t="str">
        <f>IFERROR(IF(F871&lt;&gt;"",F871,VLOOKUP(MAX(C$2:C871),A$2:F871,2,FALSE)),"")</f>
        <v>XF</v>
      </c>
      <c r="E871" s="1" t="str">
        <f t="shared" si="27"/>
        <v/>
      </c>
    </row>
    <row r="872" spans="1:5" x14ac:dyDescent="0.25">
      <c r="A872" s="1">
        <v>871</v>
      </c>
      <c r="B872" s="1" t="str">
        <f>IFERROR(IF(F871&lt;&gt;"",F871,VLOOKUP(MAX(F$2:F871),A$1:B871,2,FALSE)),"")</f>
        <v/>
      </c>
      <c r="C872" s="1" t="str">
        <f t="shared" si="26"/>
        <v/>
      </c>
      <c r="D872" s="1" t="str">
        <f>IFERROR(IF(F872&lt;&gt;"",F872,VLOOKUP(MAX(C$2:C872),A$2:F872,2,FALSE)),"")</f>
        <v>XF</v>
      </c>
      <c r="E872" s="1" t="str">
        <f t="shared" si="27"/>
        <v/>
      </c>
    </row>
    <row r="873" spans="1:5" x14ac:dyDescent="0.25">
      <c r="A873" s="1">
        <v>872</v>
      </c>
      <c r="B873" s="1" t="str">
        <f>IFERROR(IF(F872&lt;&gt;"",F872,VLOOKUP(MAX(F$2:F872),A$1:B872,2,FALSE)),"")</f>
        <v/>
      </c>
      <c r="C873" s="1" t="str">
        <f t="shared" si="26"/>
        <v/>
      </c>
      <c r="D873" s="1" t="str">
        <f>IFERROR(IF(F873&lt;&gt;"",F873,VLOOKUP(MAX(C$2:C873),A$2:F873,2,FALSE)),"")</f>
        <v>XF</v>
      </c>
      <c r="E873" s="1" t="str">
        <f t="shared" si="27"/>
        <v/>
      </c>
    </row>
    <row r="874" spans="1:5" x14ac:dyDescent="0.25">
      <c r="A874" s="1">
        <v>873</v>
      </c>
      <c r="B874" s="1" t="str">
        <f>IFERROR(IF(F873&lt;&gt;"",F873,VLOOKUP(MAX(F$2:F873),A$1:B873,2,FALSE)),"")</f>
        <v/>
      </c>
      <c r="C874" s="1" t="str">
        <f t="shared" si="26"/>
        <v/>
      </c>
      <c r="D874" s="1" t="str">
        <f>IFERROR(IF(F874&lt;&gt;"",F874,VLOOKUP(MAX(C$2:C874),A$2:F874,2,FALSE)),"")</f>
        <v>XF</v>
      </c>
      <c r="E874" s="1" t="str">
        <f t="shared" si="27"/>
        <v/>
      </c>
    </row>
    <row r="875" spans="1:5" x14ac:dyDescent="0.25">
      <c r="A875" s="1">
        <v>874</v>
      </c>
      <c r="B875" s="1" t="str">
        <f>IFERROR(IF(F874&lt;&gt;"",F874,VLOOKUP(MAX(F$2:F874),A$1:B874,2,FALSE)),"")</f>
        <v/>
      </c>
      <c r="C875" s="1" t="str">
        <f t="shared" si="26"/>
        <v/>
      </c>
      <c r="D875" s="1" t="str">
        <f>IFERROR(IF(F875&lt;&gt;"",F875,VLOOKUP(MAX(C$2:C875),A$2:F875,2,FALSE)),"")</f>
        <v>XF</v>
      </c>
      <c r="E875" s="1" t="str">
        <f t="shared" si="27"/>
        <v/>
      </c>
    </row>
    <row r="876" spans="1:5" x14ac:dyDescent="0.25">
      <c r="A876" s="1">
        <v>875</v>
      </c>
      <c r="B876" s="1" t="str">
        <f>IFERROR(IF(F875&lt;&gt;"",F875,VLOOKUP(MAX(F$2:F875),A$1:B875,2,FALSE)),"")</f>
        <v/>
      </c>
      <c r="C876" s="1" t="str">
        <f t="shared" si="26"/>
        <v/>
      </c>
      <c r="D876" s="1" t="str">
        <f>IFERROR(IF(F876&lt;&gt;"",F876,VLOOKUP(MAX(C$2:C876),A$2:F876,2,FALSE)),"")</f>
        <v>XF</v>
      </c>
      <c r="E876" s="1" t="str">
        <f t="shared" si="27"/>
        <v/>
      </c>
    </row>
    <row r="877" spans="1:5" x14ac:dyDescent="0.25">
      <c r="A877" s="1">
        <v>876</v>
      </c>
      <c r="B877" s="1" t="str">
        <f>IFERROR(IF(F876&lt;&gt;"",F876,VLOOKUP(MAX(F$2:F876),A$1:B876,2,FALSE)),"")</f>
        <v/>
      </c>
      <c r="C877" s="1" t="str">
        <f t="shared" si="26"/>
        <v/>
      </c>
      <c r="D877" s="1" t="str">
        <f>IFERROR(IF(F877&lt;&gt;"",F877,VLOOKUP(MAX(C$2:C877),A$2:F877,2,FALSE)),"")</f>
        <v>XF</v>
      </c>
      <c r="E877" s="1" t="str">
        <f t="shared" si="27"/>
        <v/>
      </c>
    </row>
    <row r="878" spans="1:5" x14ac:dyDescent="0.25">
      <c r="A878" s="1">
        <v>877</v>
      </c>
      <c r="B878" s="1" t="str">
        <f>IFERROR(IF(F877&lt;&gt;"",F877,VLOOKUP(MAX(F$2:F877),A$1:B877,2,FALSE)),"")</f>
        <v/>
      </c>
      <c r="C878" s="1" t="str">
        <f t="shared" si="26"/>
        <v/>
      </c>
      <c r="D878" s="1" t="str">
        <f>IFERROR(IF(F878&lt;&gt;"",F878,VLOOKUP(MAX(C$2:C878),A$2:F878,2,FALSE)),"")</f>
        <v>XF</v>
      </c>
      <c r="E878" s="1" t="str">
        <f t="shared" si="27"/>
        <v/>
      </c>
    </row>
    <row r="879" spans="1:5" x14ac:dyDescent="0.25">
      <c r="A879" s="1">
        <v>878</v>
      </c>
      <c r="B879" s="1" t="str">
        <f>IFERROR(IF(F878&lt;&gt;"",F878,VLOOKUP(MAX(F$2:F878),A$1:B878,2,FALSE)),"")</f>
        <v/>
      </c>
      <c r="C879" s="1" t="str">
        <f t="shared" si="26"/>
        <v/>
      </c>
      <c r="D879" s="1" t="str">
        <f>IFERROR(IF(F879&lt;&gt;"",F879,VLOOKUP(MAX(C$2:C879),A$2:F879,2,FALSE)),"")</f>
        <v>XF</v>
      </c>
      <c r="E879" s="1" t="str">
        <f t="shared" si="27"/>
        <v/>
      </c>
    </row>
    <row r="880" spans="1:5" x14ac:dyDescent="0.25">
      <c r="A880" s="1">
        <v>879</v>
      </c>
      <c r="B880" s="1" t="str">
        <f>IFERROR(IF(F879&lt;&gt;"",F879,VLOOKUP(MAX(F$2:F879),A$1:B879,2,FALSE)),"")</f>
        <v/>
      </c>
      <c r="C880" s="1" t="str">
        <f t="shared" si="26"/>
        <v/>
      </c>
      <c r="D880" s="1" t="str">
        <f>IFERROR(IF(F880&lt;&gt;"",F880,VLOOKUP(MAX(C$2:C880),A$2:F880,2,FALSE)),"")</f>
        <v>XF</v>
      </c>
      <c r="E880" s="1" t="str">
        <f t="shared" si="27"/>
        <v/>
      </c>
    </row>
    <row r="881" spans="1:5" x14ac:dyDescent="0.25">
      <c r="A881" s="1">
        <v>880</v>
      </c>
      <c r="B881" s="1" t="str">
        <f>IFERROR(IF(F880&lt;&gt;"",F880,VLOOKUP(MAX(F$2:F880),A$1:B880,2,FALSE)),"")</f>
        <v/>
      </c>
      <c r="C881" s="1" t="str">
        <f t="shared" si="26"/>
        <v/>
      </c>
      <c r="D881" s="1" t="str">
        <f>IFERROR(IF(F881&lt;&gt;"",F881,VLOOKUP(MAX(C$2:C881),A$2:F881,2,FALSE)),"")</f>
        <v>XF</v>
      </c>
      <c r="E881" s="1" t="str">
        <f t="shared" si="27"/>
        <v/>
      </c>
    </row>
    <row r="882" spans="1:5" x14ac:dyDescent="0.25">
      <c r="A882" s="1">
        <v>881</v>
      </c>
      <c r="B882" s="1" t="str">
        <f>IFERROR(IF(F881&lt;&gt;"",F881,VLOOKUP(MAX(F$2:F881),A$1:B881,2,FALSE)),"")</f>
        <v/>
      </c>
      <c r="C882" s="1" t="str">
        <f t="shared" si="26"/>
        <v/>
      </c>
      <c r="D882" s="1" t="str">
        <f>IFERROR(IF(F882&lt;&gt;"",F882,VLOOKUP(MAX(C$2:C882),A$2:F882,2,FALSE)),"")</f>
        <v>XF</v>
      </c>
      <c r="E882" s="1" t="str">
        <f t="shared" si="27"/>
        <v/>
      </c>
    </row>
    <row r="883" spans="1:5" x14ac:dyDescent="0.25">
      <c r="A883" s="1">
        <v>882</v>
      </c>
      <c r="B883" s="1" t="str">
        <f>IFERROR(IF(F882&lt;&gt;"",F882,VLOOKUP(MAX(F$2:F882),A$1:B882,2,FALSE)),"")</f>
        <v/>
      </c>
      <c r="C883" s="1" t="str">
        <f t="shared" si="26"/>
        <v/>
      </c>
      <c r="D883" s="1" t="str">
        <f>IFERROR(IF(F883&lt;&gt;"",F883,VLOOKUP(MAX(C$2:C883),A$2:F883,2,FALSE)),"")</f>
        <v>XF</v>
      </c>
      <c r="E883" s="1" t="str">
        <f t="shared" si="27"/>
        <v/>
      </c>
    </row>
    <row r="884" spans="1:5" x14ac:dyDescent="0.25">
      <c r="A884" s="1">
        <v>883</v>
      </c>
      <c r="B884" s="1" t="str">
        <f>IFERROR(IF(F883&lt;&gt;"",F883,VLOOKUP(MAX(F$2:F883),A$1:B883,2,FALSE)),"")</f>
        <v/>
      </c>
      <c r="C884" s="1" t="str">
        <f t="shared" si="26"/>
        <v/>
      </c>
      <c r="D884" s="1" t="str">
        <f>IFERROR(IF(F884&lt;&gt;"",F884,VLOOKUP(MAX(C$2:C884),A$2:F884,2,FALSE)),"")</f>
        <v>XF</v>
      </c>
      <c r="E884" s="1" t="str">
        <f t="shared" si="27"/>
        <v/>
      </c>
    </row>
    <row r="885" spans="1:5" x14ac:dyDescent="0.25">
      <c r="A885" s="1">
        <v>884</v>
      </c>
      <c r="B885" s="1" t="str">
        <f>IFERROR(IF(F884&lt;&gt;"",F884,VLOOKUP(MAX(F$2:F884),A$1:B884,2,FALSE)),"")</f>
        <v/>
      </c>
      <c r="C885" s="1" t="str">
        <f t="shared" si="26"/>
        <v/>
      </c>
      <c r="D885" s="1" t="str">
        <f>IFERROR(IF(F885&lt;&gt;"",F885,VLOOKUP(MAX(C$2:C885),A$2:F885,2,FALSE)),"")</f>
        <v>XF</v>
      </c>
      <c r="E885" s="1" t="str">
        <f t="shared" si="27"/>
        <v/>
      </c>
    </row>
    <row r="886" spans="1:5" x14ac:dyDescent="0.25">
      <c r="A886" s="1">
        <v>885</v>
      </c>
      <c r="B886" s="1" t="str">
        <f>IFERROR(IF(F885&lt;&gt;"",F885,VLOOKUP(MAX(F$2:F885),A$1:B885,2,FALSE)),"")</f>
        <v/>
      </c>
      <c r="C886" s="1" t="str">
        <f t="shared" si="26"/>
        <v/>
      </c>
      <c r="D886" s="1" t="str">
        <f>IFERROR(IF(F886&lt;&gt;"",F886,VLOOKUP(MAX(C$2:C886),A$2:F886,2,FALSE)),"")</f>
        <v>XF</v>
      </c>
      <c r="E886" s="1" t="str">
        <f t="shared" si="27"/>
        <v/>
      </c>
    </row>
    <row r="887" spans="1:5" x14ac:dyDescent="0.25">
      <c r="A887" s="1">
        <v>886</v>
      </c>
      <c r="B887" s="1" t="str">
        <f>IFERROR(IF(F886&lt;&gt;"",F886,VLOOKUP(MAX(F$2:F886),A$1:B886,2,FALSE)),"")</f>
        <v/>
      </c>
      <c r="C887" s="1" t="str">
        <f t="shared" si="26"/>
        <v/>
      </c>
      <c r="D887" s="1" t="str">
        <f>IFERROR(IF(F887&lt;&gt;"",F887,VLOOKUP(MAX(C$2:C887),A$2:F887,2,FALSE)),"")</f>
        <v>XF</v>
      </c>
      <c r="E887" s="1" t="str">
        <f t="shared" si="27"/>
        <v/>
      </c>
    </row>
    <row r="888" spans="1:5" x14ac:dyDescent="0.25">
      <c r="A888" s="1">
        <v>887</v>
      </c>
      <c r="B888" s="1" t="str">
        <f>IFERROR(IF(F887&lt;&gt;"",F887,VLOOKUP(MAX(F$2:F887),A$1:B887,2,FALSE)),"")</f>
        <v/>
      </c>
      <c r="C888" s="1" t="str">
        <f t="shared" si="26"/>
        <v/>
      </c>
      <c r="D888" s="1" t="str">
        <f>IFERROR(IF(F888&lt;&gt;"",F888,VLOOKUP(MAX(C$2:C888),A$2:F888,2,FALSE)),"")</f>
        <v>XF</v>
      </c>
      <c r="E888" s="1" t="str">
        <f t="shared" si="27"/>
        <v/>
      </c>
    </row>
    <row r="889" spans="1:5" x14ac:dyDescent="0.25">
      <c r="A889" s="1">
        <v>888</v>
      </c>
      <c r="B889" s="1" t="str">
        <f>IFERROR(IF(F888&lt;&gt;"",F888,VLOOKUP(MAX(F$2:F888),A$1:B888,2,FALSE)),"")</f>
        <v/>
      </c>
      <c r="C889" s="1" t="str">
        <f t="shared" si="26"/>
        <v/>
      </c>
      <c r="D889" s="1" t="str">
        <f>IFERROR(IF(F889&lt;&gt;"",F889,VLOOKUP(MAX(C$2:C889),A$2:F889,2,FALSE)),"")</f>
        <v>XF</v>
      </c>
      <c r="E889" s="1" t="str">
        <f t="shared" si="27"/>
        <v/>
      </c>
    </row>
    <row r="890" spans="1:5" x14ac:dyDescent="0.25">
      <c r="A890" s="1">
        <v>889</v>
      </c>
      <c r="B890" s="1" t="str">
        <f>IFERROR(IF(F889&lt;&gt;"",F889,VLOOKUP(MAX(F$2:F889),A$1:B889,2,FALSE)),"")</f>
        <v/>
      </c>
      <c r="C890" s="1" t="str">
        <f t="shared" si="26"/>
        <v/>
      </c>
      <c r="D890" s="1" t="str">
        <f>IFERROR(IF(F890&lt;&gt;"",F890,VLOOKUP(MAX(C$2:C890),A$2:F890,2,FALSE)),"")</f>
        <v>XF</v>
      </c>
      <c r="E890" s="1" t="str">
        <f t="shared" si="27"/>
        <v/>
      </c>
    </row>
    <row r="891" spans="1:5" x14ac:dyDescent="0.25">
      <c r="A891" s="1">
        <v>890</v>
      </c>
      <c r="B891" s="1" t="str">
        <f>IFERROR(IF(F890&lt;&gt;"",F890,VLOOKUP(MAX(F$2:F890),A$1:B890,2,FALSE)),"")</f>
        <v/>
      </c>
      <c r="C891" s="1" t="str">
        <f t="shared" si="26"/>
        <v/>
      </c>
      <c r="D891" s="1" t="str">
        <f>IFERROR(IF(F891&lt;&gt;"",F891,VLOOKUP(MAX(C$2:C891),A$2:F891,2,FALSE)),"")</f>
        <v>XF</v>
      </c>
      <c r="E891" s="1" t="str">
        <f t="shared" si="27"/>
        <v/>
      </c>
    </row>
    <row r="892" spans="1:5" x14ac:dyDescent="0.25">
      <c r="A892" s="1">
        <v>891</v>
      </c>
      <c r="B892" s="1" t="str">
        <f>IFERROR(IF(F891&lt;&gt;"",F891,VLOOKUP(MAX(F$2:F891),A$1:B891,2,FALSE)),"")</f>
        <v/>
      </c>
      <c r="C892" s="1" t="str">
        <f t="shared" si="26"/>
        <v/>
      </c>
      <c r="D892" s="1" t="str">
        <f>IFERROR(IF(F892&lt;&gt;"",F892,VLOOKUP(MAX(C$2:C892),A$2:F892,2,FALSE)),"")</f>
        <v>XF</v>
      </c>
      <c r="E892" s="1" t="str">
        <f t="shared" si="27"/>
        <v/>
      </c>
    </row>
    <row r="893" spans="1:5" x14ac:dyDescent="0.25">
      <c r="A893" s="1">
        <v>892</v>
      </c>
      <c r="B893" s="1" t="str">
        <f>IFERROR(IF(F892&lt;&gt;"",F892,VLOOKUP(MAX(F$2:F892),A$1:B892,2,FALSE)),"")</f>
        <v/>
      </c>
      <c r="C893" s="1" t="str">
        <f t="shared" si="26"/>
        <v/>
      </c>
      <c r="D893" s="1" t="str">
        <f>IFERROR(IF(F893&lt;&gt;"",F893,VLOOKUP(MAX(C$2:C893),A$2:F893,2,FALSE)),"")</f>
        <v>XF</v>
      </c>
      <c r="E893" s="1" t="str">
        <f t="shared" si="27"/>
        <v/>
      </c>
    </row>
    <row r="894" spans="1:5" x14ac:dyDescent="0.25">
      <c r="A894" s="1">
        <v>893</v>
      </c>
      <c r="B894" s="1" t="str">
        <f>IFERROR(IF(F893&lt;&gt;"",F893,VLOOKUP(MAX(F$2:F893),A$1:B893,2,FALSE)),"")</f>
        <v/>
      </c>
      <c r="C894" s="1" t="str">
        <f t="shared" si="26"/>
        <v/>
      </c>
      <c r="D894" s="1" t="str">
        <f>IFERROR(IF(F894&lt;&gt;"",F894,VLOOKUP(MAX(C$2:C894),A$2:F894,2,FALSE)),"")</f>
        <v>XF</v>
      </c>
      <c r="E894" s="1" t="str">
        <f t="shared" si="27"/>
        <v/>
      </c>
    </row>
    <row r="895" spans="1:5" x14ac:dyDescent="0.25">
      <c r="A895" s="1">
        <v>894</v>
      </c>
      <c r="B895" s="1" t="str">
        <f>IFERROR(IF(F894&lt;&gt;"",F894,VLOOKUP(MAX(F$2:F894),A$1:B894,2,FALSE)),"")</f>
        <v/>
      </c>
      <c r="C895" s="1" t="str">
        <f t="shared" si="26"/>
        <v/>
      </c>
      <c r="D895" s="1" t="str">
        <f>IFERROR(IF(F895&lt;&gt;"",F895,VLOOKUP(MAX(C$2:C895),A$2:F895,2,FALSE)),"")</f>
        <v>XF</v>
      </c>
      <c r="E895" s="1" t="str">
        <f t="shared" si="27"/>
        <v/>
      </c>
    </row>
    <row r="896" spans="1:5" x14ac:dyDescent="0.25">
      <c r="A896" s="1">
        <v>895</v>
      </c>
      <c r="B896" s="1" t="str">
        <f>IFERROR(IF(F895&lt;&gt;"",F895,VLOOKUP(MAX(F$2:F895),A$1:B895,2,FALSE)),"")</f>
        <v/>
      </c>
      <c r="C896" s="1" t="str">
        <f t="shared" si="26"/>
        <v/>
      </c>
      <c r="D896" s="1" t="str">
        <f>IFERROR(IF(F896&lt;&gt;"",F896,VLOOKUP(MAX(C$2:C896),A$2:F896,2,FALSE)),"")</f>
        <v>XF</v>
      </c>
      <c r="E896" s="1" t="str">
        <f t="shared" si="27"/>
        <v/>
      </c>
    </row>
    <row r="897" spans="1:5" x14ac:dyDescent="0.25">
      <c r="A897" s="1">
        <v>896</v>
      </c>
      <c r="B897" s="1" t="str">
        <f>IFERROR(IF(F896&lt;&gt;"",F896,VLOOKUP(MAX(F$2:F896),A$1:B896,2,FALSE)),"")</f>
        <v/>
      </c>
      <c r="C897" s="1" t="str">
        <f t="shared" si="26"/>
        <v/>
      </c>
      <c r="D897" s="1" t="str">
        <f>IFERROR(IF(F897&lt;&gt;"",F897,VLOOKUP(MAX(C$2:C897),A$2:F897,2,FALSE)),"")</f>
        <v>XF</v>
      </c>
      <c r="E897" s="1" t="str">
        <f t="shared" si="27"/>
        <v/>
      </c>
    </row>
    <row r="898" spans="1:5" x14ac:dyDescent="0.25">
      <c r="A898" s="1">
        <v>897</v>
      </c>
      <c r="B898" s="1" t="str">
        <f>IFERROR(IF(F897&lt;&gt;"",F897,VLOOKUP(MAX(F$2:F897),A$1:B897,2,FALSE)),"")</f>
        <v/>
      </c>
      <c r="C898" s="1" t="str">
        <f t="shared" ref="C898:C961" si="28">IF(F898&lt;&gt;"",A898,"")</f>
        <v/>
      </c>
      <c r="D898" s="1" t="str">
        <f>IFERROR(IF(F898&lt;&gt;"",F898,VLOOKUP(MAX(C$2:C898),A$2:F898,2,FALSE)),"")</f>
        <v>XF</v>
      </c>
      <c r="E898" s="1" t="str">
        <f t="shared" si="27"/>
        <v/>
      </c>
    </row>
    <row r="899" spans="1:5" x14ac:dyDescent="0.25">
      <c r="A899" s="1">
        <v>898</v>
      </c>
      <c r="B899" s="1" t="str">
        <f>IFERROR(IF(F898&lt;&gt;"",F898,VLOOKUP(MAX(F$2:F898),A$1:B898,2,FALSE)),"")</f>
        <v/>
      </c>
      <c r="C899" s="1" t="str">
        <f t="shared" si="28"/>
        <v/>
      </c>
      <c r="D899" s="1" t="str">
        <f>IFERROR(IF(F899&lt;&gt;"",F899,VLOOKUP(MAX(C$2:C899),A$2:F899,2,FALSE)),"")</f>
        <v>XF</v>
      </c>
      <c r="E899" s="1" t="str">
        <f t="shared" si="27"/>
        <v/>
      </c>
    </row>
    <row r="900" spans="1:5" x14ac:dyDescent="0.25">
      <c r="A900" s="1">
        <v>899</v>
      </c>
      <c r="B900" s="1" t="str">
        <f>IFERROR(IF(F899&lt;&gt;"",F899,VLOOKUP(MAX(F$2:F899),A$1:B899,2,FALSE)),"")</f>
        <v/>
      </c>
      <c r="C900" s="1" t="str">
        <f t="shared" si="28"/>
        <v/>
      </c>
      <c r="D900" s="1" t="str">
        <f>IFERROR(IF(F900&lt;&gt;"",F900,VLOOKUP(MAX(C$2:C900),A$2:F900,2,FALSE)),"")</f>
        <v>XF</v>
      </c>
      <c r="E900" s="1" t="str">
        <f t="shared" ref="E900:E963" si="29">IF(H900&lt;&gt;"",CONCATENATE(D900,".",H900),"")</f>
        <v/>
      </c>
    </row>
    <row r="901" spans="1:5" x14ac:dyDescent="0.25">
      <c r="A901" s="1">
        <v>900</v>
      </c>
      <c r="B901" s="1" t="str">
        <f>IFERROR(IF(F900&lt;&gt;"",F900,VLOOKUP(MAX(F$2:F900),A$1:B900,2,FALSE)),"")</f>
        <v/>
      </c>
      <c r="C901" s="1" t="str">
        <f t="shared" si="28"/>
        <v/>
      </c>
      <c r="D901" s="1" t="str">
        <f>IFERROR(IF(F901&lt;&gt;"",F901,VLOOKUP(MAX(C$2:C901),A$2:F901,2,FALSE)),"")</f>
        <v>XF</v>
      </c>
      <c r="E901" s="1" t="str">
        <f t="shared" si="29"/>
        <v/>
      </c>
    </row>
    <row r="902" spans="1:5" x14ac:dyDescent="0.25">
      <c r="A902" s="1">
        <v>901</v>
      </c>
      <c r="B902" s="1" t="str">
        <f>IFERROR(IF(F901&lt;&gt;"",F901,VLOOKUP(MAX(F$2:F901),A$1:B901,2,FALSE)),"")</f>
        <v/>
      </c>
      <c r="C902" s="1" t="str">
        <f t="shared" si="28"/>
        <v/>
      </c>
      <c r="D902" s="1" t="str">
        <f>IFERROR(IF(F902&lt;&gt;"",F902,VLOOKUP(MAX(C$2:C902),A$2:F902,2,FALSE)),"")</f>
        <v>XF</v>
      </c>
      <c r="E902" s="1" t="str">
        <f t="shared" si="29"/>
        <v/>
      </c>
    </row>
    <row r="903" spans="1:5" x14ac:dyDescent="0.25">
      <c r="A903" s="1">
        <v>902</v>
      </c>
      <c r="B903" s="1" t="str">
        <f>IFERROR(IF(F902&lt;&gt;"",F902,VLOOKUP(MAX(F$2:F902),A$1:B902,2,FALSE)),"")</f>
        <v/>
      </c>
      <c r="C903" s="1" t="str">
        <f t="shared" si="28"/>
        <v/>
      </c>
      <c r="D903" s="1" t="str">
        <f>IFERROR(IF(F903&lt;&gt;"",F903,VLOOKUP(MAX(C$2:C903),A$2:F903,2,FALSE)),"")</f>
        <v>XF</v>
      </c>
      <c r="E903" s="1" t="str">
        <f t="shared" si="29"/>
        <v/>
      </c>
    </row>
    <row r="904" spans="1:5" x14ac:dyDescent="0.25">
      <c r="A904" s="1">
        <v>903</v>
      </c>
      <c r="B904" s="1" t="str">
        <f>IFERROR(IF(F903&lt;&gt;"",F903,VLOOKUP(MAX(F$2:F903),A$1:B903,2,FALSE)),"")</f>
        <v/>
      </c>
      <c r="C904" s="1" t="str">
        <f t="shared" si="28"/>
        <v/>
      </c>
      <c r="D904" s="1" t="str">
        <f>IFERROR(IF(F904&lt;&gt;"",F904,VLOOKUP(MAX(C$2:C904),A$2:F904,2,FALSE)),"")</f>
        <v>XF</v>
      </c>
      <c r="E904" s="1" t="str">
        <f t="shared" si="29"/>
        <v/>
      </c>
    </row>
    <row r="905" spans="1:5" x14ac:dyDescent="0.25">
      <c r="A905" s="1">
        <v>904</v>
      </c>
      <c r="B905" s="1" t="str">
        <f>IFERROR(IF(F904&lt;&gt;"",F904,VLOOKUP(MAX(F$2:F904),A$1:B904,2,FALSE)),"")</f>
        <v/>
      </c>
      <c r="C905" s="1" t="str">
        <f t="shared" si="28"/>
        <v/>
      </c>
      <c r="D905" s="1" t="str">
        <f>IFERROR(IF(F905&lt;&gt;"",F905,VLOOKUP(MAX(C$2:C905),A$2:F905,2,FALSE)),"")</f>
        <v>XF</v>
      </c>
      <c r="E905" s="1" t="str">
        <f t="shared" si="29"/>
        <v/>
      </c>
    </row>
    <row r="906" spans="1:5" x14ac:dyDescent="0.25">
      <c r="A906" s="1">
        <v>905</v>
      </c>
      <c r="B906" s="1" t="str">
        <f>IFERROR(IF(F905&lt;&gt;"",F905,VLOOKUP(MAX(F$2:F905),A$1:B905,2,FALSE)),"")</f>
        <v/>
      </c>
      <c r="C906" s="1" t="str">
        <f t="shared" si="28"/>
        <v/>
      </c>
      <c r="D906" s="1" t="str">
        <f>IFERROR(IF(F906&lt;&gt;"",F906,VLOOKUP(MAX(C$2:C906),A$2:F906,2,FALSE)),"")</f>
        <v>XF</v>
      </c>
      <c r="E906" s="1" t="str">
        <f t="shared" si="29"/>
        <v/>
      </c>
    </row>
    <row r="907" spans="1:5" x14ac:dyDescent="0.25">
      <c r="A907" s="1">
        <v>906</v>
      </c>
      <c r="B907" s="1" t="str">
        <f>IFERROR(IF(F906&lt;&gt;"",F906,VLOOKUP(MAX(F$2:F906),A$1:B906,2,FALSE)),"")</f>
        <v/>
      </c>
      <c r="C907" s="1" t="str">
        <f t="shared" si="28"/>
        <v/>
      </c>
      <c r="D907" s="1" t="str">
        <f>IFERROR(IF(F907&lt;&gt;"",F907,VLOOKUP(MAX(C$2:C907),A$2:F907,2,FALSE)),"")</f>
        <v>XF</v>
      </c>
      <c r="E907" s="1" t="str">
        <f t="shared" si="29"/>
        <v/>
      </c>
    </row>
    <row r="908" spans="1:5" x14ac:dyDescent="0.25">
      <c r="A908" s="1">
        <v>907</v>
      </c>
      <c r="B908" s="1" t="str">
        <f>IFERROR(IF(F907&lt;&gt;"",F907,VLOOKUP(MAX(F$2:F907),A$1:B907,2,FALSE)),"")</f>
        <v/>
      </c>
      <c r="C908" s="1" t="str">
        <f t="shared" si="28"/>
        <v/>
      </c>
      <c r="D908" s="1" t="str">
        <f>IFERROR(IF(F908&lt;&gt;"",F908,VLOOKUP(MAX(C$2:C908),A$2:F908,2,FALSE)),"")</f>
        <v>XF</v>
      </c>
      <c r="E908" s="1" t="str">
        <f t="shared" si="29"/>
        <v/>
      </c>
    </row>
    <row r="909" spans="1:5" x14ac:dyDescent="0.25">
      <c r="A909" s="1">
        <v>908</v>
      </c>
      <c r="B909" s="1" t="str">
        <f>IFERROR(IF(F908&lt;&gt;"",F908,VLOOKUP(MAX(F$2:F908),A$1:B908,2,FALSE)),"")</f>
        <v/>
      </c>
      <c r="C909" s="1" t="str">
        <f t="shared" si="28"/>
        <v/>
      </c>
      <c r="D909" s="1" t="str">
        <f>IFERROR(IF(F909&lt;&gt;"",F909,VLOOKUP(MAX(C$2:C909),A$2:F909,2,FALSE)),"")</f>
        <v>XF</v>
      </c>
      <c r="E909" s="1" t="str">
        <f t="shared" si="29"/>
        <v/>
      </c>
    </row>
    <row r="910" spans="1:5" x14ac:dyDescent="0.25">
      <c r="A910" s="1">
        <v>909</v>
      </c>
      <c r="B910" s="1" t="str">
        <f>IFERROR(IF(F909&lt;&gt;"",F909,VLOOKUP(MAX(F$2:F909),A$1:B909,2,FALSE)),"")</f>
        <v/>
      </c>
      <c r="C910" s="1" t="str">
        <f t="shared" si="28"/>
        <v/>
      </c>
      <c r="D910" s="1" t="str">
        <f>IFERROR(IF(F910&lt;&gt;"",F910,VLOOKUP(MAX(C$2:C910),A$2:F910,2,FALSE)),"")</f>
        <v>XF</v>
      </c>
      <c r="E910" s="1" t="str">
        <f t="shared" si="29"/>
        <v/>
      </c>
    </row>
    <row r="911" spans="1:5" x14ac:dyDescent="0.25">
      <c r="A911" s="1">
        <v>910</v>
      </c>
      <c r="B911" s="1" t="str">
        <f>IFERROR(IF(F910&lt;&gt;"",F910,VLOOKUP(MAX(F$2:F910),A$1:B910,2,FALSE)),"")</f>
        <v/>
      </c>
      <c r="C911" s="1" t="str">
        <f t="shared" si="28"/>
        <v/>
      </c>
      <c r="D911" s="1" t="str">
        <f>IFERROR(IF(F911&lt;&gt;"",F911,VLOOKUP(MAX(C$2:C911),A$2:F911,2,FALSE)),"")</f>
        <v>XF</v>
      </c>
      <c r="E911" s="1" t="str">
        <f t="shared" si="29"/>
        <v/>
      </c>
    </row>
    <row r="912" spans="1:5" x14ac:dyDescent="0.25">
      <c r="A912" s="1">
        <v>911</v>
      </c>
      <c r="B912" s="1" t="str">
        <f>IFERROR(IF(F911&lt;&gt;"",F911,VLOOKUP(MAX(F$2:F911),A$1:B911,2,FALSE)),"")</f>
        <v/>
      </c>
      <c r="C912" s="1" t="str">
        <f t="shared" si="28"/>
        <v/>
      </c>
      <c r="D912" s="1" t="str">
        <f>IFERROR(IF(F912&lt;&gt;"",F912,VLOOKUP(MAX(C$2:C912),A$2:F912,2,FALSE)),"")</f>
        <v>XF</v>
      </c>
      <c r="E912" s="1" t="str">
        <f t="shared" si="29"/>
        <v/>
      </c>
    </row>
    <row r="913" spans="1:5" x14ac:dyDescent="0.25">
      <c r="A913" s="1">
        <v>912</v>
      </c>
      <c r="B913" s="1" t="str">
        <f>IFERROR(IF(F912&lt;&gt;"",F912,VLOOKUP(MAX(F$2:F912),A$1:B912,2,FALSE)),"")</f>
        <v/>
      </c>
      <c r="C913" s="1" t="str">
        <f t="shared" si="28"/>
        <v/>
      </c>
      <c r="D913" s="1" t="str">
        <f>IFERROR(IF(F913&lt;&gt;"",F913,VLOOKUP(MAX(C$2:C913),A$2:F913,2,FALSE)),"")</f>
        <v>XF</v>
      </c>
      <c r="E913" s="1" t="str">
        <f t="shared" si="29"/>
        <v/>
      </c>
    </row>
    <row r="914" spans="1:5" x14ac:dyDescent="0.25">
      <c r="A914" s="1">
        <v>913</v>
      </c>
      <c r="B914" s="1" t="str">
        <f>IFERROR(IF(F913&lt;&gt;"",F913,VLOOKUP(MAX(F$2:F913),A$1:B913,2,FALSE)),"")</f>
        <v/>
      </c>
      <c r="C914" s="1" t="str">
        <f t="shared" si="28"/>
        <v/>
      </c>
      <c r="D914" s="1" t="str">
        <f>IFERROR(IF(F914&lt;&gt;"",F914,VLOOKUP(MAX(C$2:C914),A$2:F914,2,FALSE)),"")</f>
        <v>XF</v>
      </c>
      <c r="E914" s="1" t="str">
        <f t="shared" si="29"/>
        <v/>
      </c>
    </row>
    <row r="915" spans="1:5" x14ac:dyDescent="0.25">
      <c r="A915" s="1">
        <v>914</v>
      </c>
      <c r="B915" s="1" t="str">
        <f>IFERROR(IF(F914&lt;&gt;"",F914,VLOOKUP(MAX(F$2:F914),A$1:B914,2,FALSE)),"")</f>
        <v/>
      </c>
      <c r="C915" s="1" t="str">
        <f t="shared" si="28"/>
        <v/>
      </c>
      <c r="D915" s="1" t="str">
        <f>IFERROR(IF(F915&lt;&gt;"",F915,VLOOKUP(MAX(C$2:C915),A$2:F915,2,FALSE)),"")</f>
        <v>XF</v>
      </c>
      <c r="E915" s="1" t="str">
        <f t="shared" si="29"/>
        <v/>
      </c>
    </row>
    <row r="916" spans="1:5" x14ac:dyDescent="0.25">
      <c r="A916" s="1">
        <v>915</v>
      </c>
      <c r="B916" s="1" t="str">
        <f>IFERROR(IF(F915&lt;&gt;"",F915,VLOOKUP(MAX(F$2:F915),A$1:B915,2,FALSE)),"")</f>
        <v/>
      </c>
      <c r="C916" s="1" t="str">
        <f t="shared" si="28"/>
        <v/>
      </c>
      <c r="D916" s="1" t="str">
        <f>IFERROR(IF(F916&lt;&gt;"",F916,VLOOKUP(MAX(C$2:C916),A$2:F916,2,FALSE)),"")</f>
        <v>XF</v>
      </c>
      <c r="E916" s="1" t="str">
        <f t="shared" si="29"/>
        <v/>
      </c>
    </row>
    <row r="917" spans="1:5" x14ac:dyDescent="0.25">
      <c r="A917" s="1">
        <v>916</v>
      </c>
      <c r="B917" s="1" t="str">
        <f>IFERROR(IF(F916&lt;&gt;"",F916,VLOOKUP(MAX(F$2:F916),A$1:B916,2,FALSE)),"")</f>
        <v/>
      </c>
      <c r="C917" s="1" t="str">
        <f t="shared" si="28"/>
        <v/>
      </c>
      <c r="D917" s="1" t="str">
        <f>IFERROR(IF(F917&lt;&gt;"",F917,VLOOKUP(MAX(C$2:C917),A$2:F917,2,FALSE)),"")</f>
        <v>XF</v>
      </c>
      <c r="E917" s="1" t="str">
        <f t="shared" si="29"/>
        <v/>
      </c>
    </row>
    <row r="918" spans="1:5" x14ac:dyDescent="0.25">
      <c r="A918" s="1">
        <v>917</v>
      </c>
      <c r="B918" s="1" t="str">
        <f>IFERROR(IF(F917&lt;&gt;"",F917,VLOOKUP(MAX(F$2:F917),A$1:B917,2,FALSE)),"")</f>
        <v/>
      </c>
      <c r="C918" s="1" t="str">
        <f t="shared" si="28"/>
        <v/>
      </c>
      <c r="D918" s="1" t="str">
        <f>IFERROR(IF(F918&lt;&gt;"",F918,VLOOKUP(MAX(C$2:C918),A$2:F918,2,FALSE)),"")</f>
        <v>XF</v>
      </c>
      <c r="E918" s="1" t="str">
        <f t="shared" si="29"/>
        <v/>
      </c>
    </row>
    <row r="919" spans="1:5" x14ac:dyDescent="0.25">
      <c r="A919" s="1">
        <v>918</v>
      </c>
      <c r="B919" s="1" t="str">
        <f>IFERROR(IF(F918&lt;&gt;"",F918,VLOOKUP(MAX(F$2:F918),A$1:B918,2,FALSE)),"")</f>
        <v/>
      </c>
      <c r="C919" s="1" t="str">
        <f t="shared" si="28"/>
        <v/>
      </c>
      <c r="D919" s="1" t="str">
        <f>IFERROR(IF(F919&lt;&gt;"",F919,VLOOKUP(MAX(C$2:C919),A$2:F919,2,FALSE)),"")</f>
        <v>XF</v>
      </c>
      <c r="E919" s="1" t="str">
        <f t="shared" si="29"/>
        <v/>
      </c>
    </row>
    <row r="920" spans="1:5" x14ac:dyDescent="0.25">
      <c r="A920" s="1">
        <v>919</v>
      </c>
      <c r="B920" s="1" t="str">
        <f>IFERROR(IF(F919&lt;&gt;"",F919,VLOOKUP(MAX(F$2:F919),A$1:B919,2,FALSE)),"")</f>
        <v/>
      </c>
      <c r="C920" s="1" t="str">
        <f t="shared" si="28"/>
        <v/>
      </c>
      <c r="D920" s="1" t="str">
        <f>IFERROR(IF(F920&lt;&gt;"",F920,VLOOKUP(MAX(C$2:C920),A$2:F920,2,FALSE)),"")</f>
        <v>XF</v>
      </c>
      <c r="E920" s="1" t="str">
        <f t="shared" si="29"/>
        <v/>
      </c>
    </row>
    <row r="921" spans="1:5" x14ac:dyDescent="0.25">
      <c r="A921" s="1">
        <v>920</v>
      </c>
      <c r="B921" s="1" t="str">
        <f>IFERROR(IF(F920&lt;&gt;"",F920,VLOOKUP(MAX(F$2:F920),A$1:B920,2,FALSE)),"")</f>
        <v/>
      </c>
      <c r="C921" s="1" t="str">
        <f t="shared" si="28"/>
        <v/>
      </c>
      <c r="D921" s="1" t="str">
        <f>IFERROR(IF(F921&lt;&gt;"",F921,VLOOKUP(MAX(C$2:C921),A$2:F921,2,FALSE)),"")</f>
        <v>XF</v>
      </c>
      <c r="E921" s="1" t="str">
        <f t="shared" si="29"/>
        <v/>
      </c>
    </row>
    <row r="922" spans="1:5" x14ac:dyDescent="0.25">
      <c r="A922" s="1">
        <v>921</v>
      </c>
      <c r="B922" s="1" t="str">
        <f>IFERROR(IF(F921&lt;&gt;"",F921,VLOOKUP(MAX(F$2:F921),A$1:B921,2,FALSE)),"")</f>
        <v/>
      </c>
      <c r="C922" s="1" t="str">
        <f t="shared" si="28"/>
        <v/>
      </c>
      <c r="D922" s="1" t="str">
        <f>IFERROR(IF(F922&lt;&gt;"",F922,VLOOKUP(MAX(C$2:C922),A$2:F922,2,FALSE)),"")</f>
        <v>XF</v>
      </c>
      <c r="E922" s="1" t="str">
        <f t="shared" si="29"/>
        <v/>
      </c>
    </row>
    <row r="923" spans="1:5" x14ac:dyDescent="0.25">
      <c r="A923" s="1">
        <v>922</v>
      </c>
      <c r="B923" s="1" t="str">
        <f>IFERROR(IF(F922&lt;&gt;"",F922,VLOOKUP(MAX(F$2:F922),A$1:B922,2,FALSE)),"")</f>
        <v/>
      </c>
      <c r="C923" s="1" t="str">
        <f t="shared" si="28"/>
        <v/>
      </c>
      <c r="D923" s="1" t="str">
        <f>IFERROR(IF(F923&lt;&gt;"",F923,VLOOKUP(MAX(C$2:C923),A$2:F923,2,FALSE)),"")</f>
        <v>XF</v>
      </c>
      <c r="E923" s="1" t="str">
        <f t="shared" si="29"/>
        <v/>
      </c>
    </row>
    <row r="924" spans="1:5" x14ac:dyDescent="0.25">
      <c r="A924" s="1">
        <v>923</v>
      </c>
      <c r="B924" s="1" t="str">
        <f>IFERROR(IF(F923&lt;&gt;"",F923,VLOOKUP(MAX(F$2:F923),A$1:B923,2,FALSE)),"")</f>
        <v/>
      </c>
      <c r="C924" s="1" t="str">
        <f t="shared" si="28"/>
        <v/>
      </c>
      <c r="D924" s="1" t="str">
        <f>IFERROR(IF(F924&lt;&gt;"",F924,VLOOKUP(MAX(C$2:C924),A$2:F924,2,FALSE)),"")</f>
        <v>XF</v>
      </c>
      <c r="E924" s="1" t="str">
        <f t="shared" si="29"/>
        <v/>
      </c>
    </row>
    <row r="925" spans="1:5" x14ac:dyDescent="0.25">
      <c r="A925" s="1">
        <v>924</v>
      </c>
      <c r="B925" s="1" t="str">
        <f>IFERROR(IF(F924&lt;&gt;"",F924,VLOOKUP(MAX(F$2:F924),A$1:B924,2,FALSE)),"")</f>
        <v/>
      </c>
      <c r="C925" s="1" t="str">
        <f t="shared" si="28"/>
        <v/>
      </c>
      <c r="D925" s="1" t="str">
        <f>IFERROR(IF(F925&lt;&gt;"",F925,VLOOKUP(MAX(C$2:C925),A$2:F925,2,FALSE)),"")</f>
        <v>XF</v>
      </c>
      <c r="E925" s="1" t="str">
        <f t="shared" si="29"/>
        <v/>
      </c>
    </row>
    <row r="926" spans="1:5" x14ac:dyDescent="0.25">
      <c r="A926" s="1">
        <v>925</v>
      </c>
      <c r="B926" s="1" t="str">
        <f>IFERROR(IF(F925&lt;&gt;"",F925,VLOOKUP(MAX(F$2:F925),A$1:B925,2,FALSE)),"")</f>
        <v/>
      </c>
      <c r="C926" s="1" t="str">
        <f t="shared" si="28"/>
        <v/>
      </c>
      <c r="D926" s="1" t="str">
        <f>IFERROR(IF(F926&lt;&gt;"",F926,VLOOKUP(MAX(C$2:C926),A$2:F926,2,FALSE)),"")</f>
        <v>XF</v>
      </c>
      <c r="E926" s="1" t="str">
        <f t="shared" si="29"/>
        <v/>
      </c>
    </row>
    <row r="927" spans="1:5" x14ac:dyDescent="0.25">
      <c r="A927" s="1">
        <v>926</v>
      </c>
      <c r="B927" s="1" t="str">
        <f>IFERROR(IF(F926&lt;&gt;"",F926,VLOOKUP(MAX(F$2:F926),A$1:B926,2,FALSE)),"")</f>
        <v/>
      </c>
      <c r="C927" s="1" t="str">
        <f t="shared" si="28"/>
        <v/>
      </c>
      <c r="D927" s="1" t="str">
        <f>IFERROR(IF(F927&lt;&gt;"",F927,VLOOKUP(MAX(C$2:C927),A$2:F927,2,FALSE)),"")</f>
        <v>XF</v>
      </c>
      <c r="E927" s="1" t="str">
        <f t="shared" si="29"/>
        <v/>
      </c>
    </row>
    <row r="928" spans="1:5" x14ac:dyDescent="0.25">
      <c r="A928" s="1">
        <v>927</v>
      </c>
      <c r="B928" s="1" t="str">
        <f>IFERROR(IF(F927&lt;&gt;"",F927,VLOOKUP(MAX(F$2:F927),A$1:B927,2,FALSE)),"")</f>
        <v/>
      </c>
      <c r="C928" s="1" t="str">
        <f t="shared" si="28"/>
        <v/>
      </c>
      <c r="D928" s="1" t="str">
        <f>IFERROR(IF(F928&lt;&gt;"",F928,VLOOKUP(MAX(C$2:C928),A$2:F928,2,FALSE)),"")</f>
        <v>XF</v>
      </c>
      <c r="E928" s="1" t="str">
        <f t="shared" si="29"/>
        <v/>
      </c>
    </row>
    <row r="929" spans="1:5" x14ac:dyDescent="0.25">
      <c r="A929" s="1">
        <v>928</v>
      </c>
      <c r="B929" s="1" t="str">
        <f>IFERROR(IF(F928&lt;&gt;"",F928,VLOOKUP(MAX(F$2:F928),A$1:B928,2,FALSE)),"")</f>
        <v/>
      </c>
      <c r="C929" s="1" t="str">
        <f t="shared" si="28"/>
        <v/>
      </c>
      <c r="D929" s="1" t="str">
        <f>IFERROR(IF(F929&lt;&gt;"",F929,VLOOKUP(MAX(C$2:C929),A$2:F929,2,FALSE)),"")</f>
        <v>XF</v>
      </c>
      <c r="E929" s="1" t="str">
        <f t="shared" si="29"/>
        <v/>
      </c>
    </row>
    <row r="930" spans="1:5" x14ac:dyDescent="0.25">
      <c r="A930" s="1">
        <v>929</v>
      </c>
      <c r="B930" s="1" t="str">
        <f>IFERROR(IF(F929&lt;&gt;"",F929,VLOOKUP(MAX(F$2:F929),A$1:B929,2,FALSE)),"")</f>
        <v/>
      </c>
      <c r="C930" s="1" t="str">
        <f t="shared" si="28"/>
        <v/>
      </c>
      <c r="D930" s="1" t="str">
        <f>IFERROR(IF(F930&lt;&gt;"",F930,VLOOKUP(MAX(C$2:C930),A$2:F930,2,FALSE)),"")</f>
        <v>XF</v>
      </c>
      <c r="E930" s="1" t="str">
        <f t="shared" si="29"/>
        <v/>
      </c>
    </row>
    <row r="931" spans="1:5" x14ac:dyDescent="0.25">
      <c r="A931" s="1">
        <v>930</v>
      </c>
      <c r="B931" s="1" t="str">
        <f>IFERROR(IF(F930&lt;&gt;"",F930,VLOOKUP(MAX(F$2:F930),A$1:B930,2,FALSE)),"")</f>
        <v/>
      </c>
      <c r="C931" s="1" t="str">
        <f t="shared" si="28"/>
        <v/>
      </c>
      <c r="D931" s="1" t="str">
        <f>IFERROR(IF(F931&lt;&gt;"",F931,VLOOKUP(MAX(C$2:C931),A$2:F931,2,FALSE)),"")</f>
        <v>XF</v>
      </c>
      <c r="E931" s="1" t="str">
        <f t="shared" si="29"/>
        <v/>
      </c>
    </row>
    <row r="932" spans="1:5" x14ac:dyDescent="0.25">
      <c r="A932" s="1">
        <v>931</v>
      </c>
      <c r="B932" s="1" t="str">
        <f>IFERROR(IF(F931&lt;&gt;"",F931,VLOOKUP(MAX(F$2:F931),A$1:B931,2,FALSE)),"")</f>
        <v/>
      </c>
      <c r="C932" s="1" t="str">
        <f t="shared" si="28"/>
        <v/>
      </c>
      <c r="D932" s="1" t="str">
        <f>IFERROR(IF(F932&lt;&gt;"",F932,VLOOKUP(MAX(C$2:C932),A$2:F932,2,FALSE)),"")</f>
        <v>XF</v>
      </c>
      <c r="E932" s="1" t="str">
        <f t="shared" si="29"/>
        <v/>
      </c>
    </row>
    <row r="933" spans="1:5" x14ac:dyDescent="0.25">
      <c r="A933" s="1">
        <v>932</v>
      </c>
      <c r="B933" s="1" t="str">
        <f>IFERROR(IF(F932&lt;&gt;"",F932,VLOOKUP(MAX(F$2:F932),A$1:B932,2,FALSE)),"")</f>
        <v/>
      </c>
      <c r="C933" s="1" t="str">
        <f t="shared" si="28"/>
        <v/>
      </c>
      <c r="D933" s="1" t="str">
        <f>IFERROR(IF(F933&lt;&gt;"",F933,VLOOKUP(MAX(C$2:C933),A$2:F933,2,FALSE)),"")</f>
        <v>XF</v>
      </c>
      <c r="E933" s="1" t="str">
        <f t="shared" si="29"/>
        <v/>
      </c>
    </row>
    <row r="934" spans="1:5" x14ac:dyDescent="0.25">
      <c r="A934" s="1">
        <v>933</v>
      </c>
      <c r="B934" s="1" t="str">
        <f>IFERROR(IF(F933&lt;&gt;"",F933,VLOOKUP(MAX(F$2:F933),A$1:B933,2,FALSE)),"")</f>
        <v/>
      </c>
      <c r="C934" s="1" t="str">
        <f t="shared" si="28"/>
        <v/>
      </c>
      <c r="D934" s="1" t="str">
        <f>IFERROR(IF(F934&lt;&gt;"",F934,VLOOKUP(MAX(C$2:C934),A$2:F934,2,FALSE)),"")</f>
        <v>XF</v>
      </c>
      <c r="E934" s="1" t="str">
        <f t="shared" si="29"/>
        <v/>
      </c>
    </row>
    <row r="935" spans="1:5" x14ac:dyDescent="0.25">
      <c r="A935" s="1">
        <v>934</v>
      </c>
      <c r="B935" s="1" t="str">
        <f>IFERROR(IF(F934&lt;&gt;"",F934,VLOOKUP(MAX(F$2:F934),A$1:B934,2,FALSE)),"")</f>
        <v/>
      </c>
      <c r="C935" s="1" t="str">
        <f t="shared" si="28"/>
        <v/>
      </c>
      <c r="D935" s="1" t="str">
        <f>IFERROR(IF(F935&lt;&gt;"",F935,VLOOKUP(MAX(C$2:C935),A$2:F935,2,FALSE)),"")</f>
        <v>XF</v>
      </c>
      <c r="E935" s="1" t="str">
        <f t="shared" si="29"/>
        <v/>
      </c>
    </row>
    <row r="936" spans="1:5" x14ac:dyDescent="0.25">
      <c r="A936" s="1">
        <v>935</v>
      </c>
      <c r="B936" s="1" t="str">
        <f>IFERROR(IF(F935&lt;&gt;"",F935,VLOOKUP(MAX(F$2:F935),A$1:B935,2,FALSE)),"")</f>
        <v/>
      </c>
      <c r="C936" s="1" t="str">
        <f t="shared" si="28"/>
        <v/>
      </c>
      <c r="D936" s="1" t="str">
        <f>IFERROR(IF(F936&lt;&gt;"",F936,VLOOKUP(MAX(C$2:C936),A$2:F936,2,FALSE)),"")</f>
        <v>XF</v>
      </c>
      <c r="E936" s="1" t="str">
        <f t="shared" si="29"/>
        <v/>
      </c>
    </row>
    <row r="937" spans="1:5" x14ac:dyDescent="0.25">
      <c r="A937" s="1">
        <v>936</v>
      </c>
      <c r="B937" s="1" t="str">
        <f>IFERROR(IF(F936&lt;&gt;"",F936,VLOOKUP(MAX(F$2:F936),A$1:B936,2,FALSE)),"")</f>
        <v/>
      </c>
      <c r="C937" s="1" t="str">
        <f t="shared" si="28"/>
        <v/>
      </c>
      <c r="D937" s="1" t="str">
        <f>IFERROR(IF(F937&lt;&gt;"",F937,VLOOKUP(MAX(C$2:C937),A$2:F937,2,FALSE)),"")</f>
        <v>XF</v>
      </c>
      <c r="E937" s="1" t="str">
        <f t="shared" si="29"/>
        <v/>
      </c>
    </row>
    <row r="938" spans="1:5" x14ac:dyDescent="0.25">
      <c r="A938" s="1">
        <v>937</v>
      </c>
      <c r="B938" s="1" t="str">
        <f>IFERROR(IF(F937&lt;&gt;"",F937,VLOOKUP(MAX(F$2:F937),A$1:B937,2,FALSE)),"")</f>
        <v/>
      </c>
      <c r="C938" s="1" t="str">
        <f t="shared" si="28"/>
        <v/>
      </c>
      <c r="D938" s="1" t="str">
        <f>IFERROR(IF(F938&lt;&gt;"",F938,VLOOKUP(MAX(C$2:C938),A$2:F938,2,FALSE)),"")</f>
        <v>XF</v>
      </c>
      <c r="E938" s="1" t="str">
        <f t="shared" si="29"/>
        <v/>
      </c>
    </row>
    <row r="939" spans="1:5" x14ac:dyDescent="0.25">
      <c r="A939" s="1">
        <v>938</v>
      </c>
      <c r="B939" s="1" t="str">
        <f>IFERROR(IF(F938&lt;&gt;"",F938,VLOOKUP(MAX(F$2:F938),A$1:B938,2,FALSE)),"")</f>
        <v/>
      </c>
      <c r="C939" s="1" t="str">
        <f t="shared" si="28"/>
        <v/>
      </c>
      <c r="D939" s="1" t="str">
        <f>IFERROR(IF(F939&lt;&gt;"",F939,VLOOKUP(MAX(C$2:C939),A$2:F939,2,FALSE)),"")</f>
        <v>XF</v>
      </c>
      <c r="E939" s="1" t="str">
        <f t="shared" si="29"/>
        <v/>
      </c>
    </row>
    <row r="940" spans="1:5" x14ac:dyDescent="0.25">
      <c r="A940" s="1">
        <v>939</v>
      </c>
      <c r="B940" s="1" t="str">
        <f>IFERROR(IF(F939&lt;&gt;"",F939,VLOOKUP(MAX(F$2:F939),A$1:B939,2,FALSE)),"")</f>
        <v/>
      </c>
      <c r="C940" s="1" t="str">
        <f t="shared" si="28"/>
        <v/>
      </c>
      <c r="D940" s="1" t="str">
        <f>IFERROR(IF(F940&lt;&gt;"",F940,VLOOKUP(MAX(C$2:C940),A$2:F940,2,FALSE)),"")</f>
        <v>XF</v>
      </c>
      <c r="E940" s="1" t="str">
        <f t="shared" si="29"/>
        <v/>
      </c>
    </row>
    <row r="941" spans="1:5" x14ac:dyDescent="0.25">
      <c r="A941" s="1">
        <v>940</v>
      </c>
      <c r="B941" s="1" t="str">
        <f>IFERROR(IF(F940&lt;&gt;"",F940,VLOOKUP(MAX(F$2:F940),A$1:B940,2,FALSE)),"")</f>
        <v/>
      </c>
      <c r="C941" s="1" t="str">
        <f t="shared" si="28"/>
        <v/>
      </c>
      <c r="D941" s="1" t="str">
        <f>IFERROR(IF(F941&lt;&gt;"",F941,VLOOKUP(MAX(C$2:C941),A$2:F941,2,FALSE)),"")</f>
        <v>XF</v>
      </c>
      <c r="E941" s="1" t="str">
        <f t="shared" si="29"/>
        <v/>
      </c>
    </row>
    <row r="942" spans="1:5" x14ac:dyDescent="0.25">
      <c r="A942" s="1">
        <v>941</v>
      </c>
      <c r="B942" s="1" t="str">
        <f>IFERROR(IF(F941&lt;&gt;"",F941,VLOOKUP(MAX(F$2:F941),A$1:B941,2,FALSE)),"")</f>
        <v/>
      </c>
      <c r="C942" s="1" t="str">
        <f t="shared" si="28"/>
        <v/>
      </c>
      <c r="D942" s="1" t="str">
        <f>IFERROR(IF(F942&lt;&gt;"",F942,VLOOKUP(MAX(C$2:C942),A$2:F942,2,FALSE)),"")</f>
        <v>XF</v>
      </c>
      <c r="E942" s="1" t="str">
        <f t="shared" si="29"/>
        <v/>
      </c>
    </row>
    <row r="943" spans="1:5" x14ac:dyDescent="0.25">
      <c r="A943" s="1">
        <v>942</v>
      </c>
      <c r="B943" s="1" t="str">
        <f>IFERROR(IF(F942&lt;&gt;"",F942,VLOOKUP(MAX(F$2:F942),A$1:B942,2,FALSE)),"")</f>
        <v/>
      </c>
      <c r="C943" s="1" t="str">
        <f t="shared" si="28"/>
        <v/>
      </c>
      <c r="D943" s="1" t="str">
        <f>IFERROR(IF(F943&lt;&gt;"",F943,VLOOKUP(MAX(C$2:C943),A$2:F943,2,FALSE)),"")</f>
        <v>XF</v>
      </c>
      <c r="E943" s="1" t="str">
        <f t="shared" si="29"/>
        <v/>
      </c>
    </row>
    <row r="944" spans="1:5" x14ac:dyDescent="0.25">
      <c r="A944" s="1">
        <v>943</v>
      </c>
      <c r="B944" s="1" t="str">
        <f>IFERROR(IF(F943&lt;&gt;"",F943,VLOOKUP(MAX(F$2:F943),A$1:B943,2,FALSE)),"")</f>
        <v/>
      </c>
      <c r="C944" s="1" t="str">
        <f t="shared" si="28"/>
        <v/>
      </c>
      <c r="D944" s="1" t="str">
        <f>IFERROR(IF(F944&lt;&gt;"",F944,VLOOKUP(MAX(C$2:C944),A$2:F944,2,FALSE)),"")</f>
        <v>XF</v>
      </c>
      <c r="E944" s="1" t="str">
        <f t="shared" si="29"/>
        <v/>
      </c>
    </row>
    <row r="945" spans="1:5" x14ac:dyDescent="0.25">
      <c r="A945" s="1">
        <v>944</v>
      </c>
      <c r="B945" s="1" t="str">
        <f>IFERROR(IF(F944&lt;&gt;"",F944,VLOOKUP(MAX(F$2:F944),A$1:B944,2,FALSE)),"")</f>
        <v/>
      </c>
      <c r="C945" s="1" t="str">
        <f t="shared" si="28"/>
        <v/>
      </c>
      <c r="D945" s="1" t="str">
        <f>IFERROR(IF(F945&lt;&gt;"",F945,VLOOKUP(MAX(C$2:C945),A$2:F945,2,FALSE)),"")</f>
        <v>XF</v>
      </c>
      <c r="E945" s="1" t="str">
        <f t="shared" si="29"/>
        <v/>
      </c>
    </row>
    <row r="946" spans="1:5" x14ac:dyDescent="0.25">
      <c r="A946" s="1">
        <v>945</v>
      </c>
      <c r="B946" s="1" t="str">
        <f>IFERROR(IF(F945&lt;&gt;"",F945,VLOOKUP(MAX(F$2:F945),A$1:B945,2,FALSE)),"")</f>
        <v/>
      </c>
      <c r="C946" s="1" t="str">
        <f t="shared" si="28"/>
        <v/>
      </c>
      <c r="D946" s="1" t="str">
        <f>IFERROR(IF(F946&lt;&gt;"",F946,VLOOKUP(MAX(C$2:C946),A$2:F946,2,FALSE)),"")</f>
        <v>XF</v>
      </c>
      <c r="E946" s="1" t="str">
        <f t="shared" si="29"/>
        <v/>
      </c>
    </row>
    <row r="947" spans="1:5" x14ac:dyDescent="0.25">
      <c r="A947" s="1">
        <v>946</v>
      </c>
      <c r="B947" s="1" t="str">
        <f>IFERROR(IF(F946&lt;&gt;"",F946,VLOOKUP(MAX(F$2:F946),A$1:B946,2,FALSE)),"")</f>
        <v/>
      </c>
      <c r="C947" s="1" t="str">
        <f t="shared" si="28"/>
        <v/>
      </c>
      <c r="D947" s="1" t="str">
        <f>IFERROR(IF(F947&lt;&gt;"",F947,VLOOKUP(MAX(C$2:C947),A$2:F947,2,FALSE)),"")</f>
        <v>XF</v>
      </c>
      <c r="E947" s="1" t="str">
        <f t="shared" si="29"/>
        <v/>
      </c>
    </row>
    <row r="948" spans="1:5" x14ac:dyDescent="0.25">
      <c r="A948" s="1">
        <v>947</v>
      </c>
      <c r="B948" s="1" t="str">
        <f>IFERROR(IF(F947&lt;&gt;"",F947,VLOOKUP(MAX(F$2:F947),A$1:B947,2,FALSE)),"")</f>
        <v/>
      </c>
      <c r="C948" s="1" t="str">
        <f t="shared" si="28"/>
        <v/>
      </c>
      <c r="D948" s="1" t="str">
        <f>IFERROR(IF(F948&lt;&gt;"",F948,VLOOKUP(MAX(C$2:C948),A$2:F948,2,FALSE)),"")</f>
        <v>XF</v>
      </c>
      <c r="E948" s="1" t="str">
        <f t="shared" si="29"/>
        <v/>
      </c>
    </row>
    <row r="949" spans="1:5" x14ac:dyDescent="0.25">
      <c r="A949" s="1">
        <v>948</v>
      </c>
      <c r="B949" s="1" t="str">
        <f>IFERROR(IF(F948&lt;&gt;"",F948,VLOOKUP(MAX(F$2:F948),A$1:B948,2,FALSE)),"")</f>
        <v/>
      </c>
      <c r="C949" s="1" t="str">
        <f t="shared" si="28"/>
        <v/>
      </c>
      <c r="D949" s="1" t="str">
        <f>IFERROR(IF(F949&lt;&gt;"",F949,VLOOKUP(MAX(C$2:C949),A$2:F949,2,FALSE)),"")</f>
        <v>XF</v>
      </c>
      <c r="E949" s="1" t="str">
        <f t="shared" si="29"/>
        <v/>
      </c>
    </row>
    <row r="950" spans="1:5" x14ac:dyDescent="0.25">
      <c r="A950" s="1">
        <v>949</v>
      </c>
      <c r="B950" s="1" t="str">
        <f>IFERROR(IF(F949&lt;&gt;"",F949,VLOOKUP(MAX(F$2:F949),A$1:B949,2,FALSE)),"")</f>
        <v/>
      </c>
      <c r="C950" s="1" t="str">
        <f t="shared" si="28"/>
        <v/>
      </c>
      <c r="D950" s="1" t="str">
        <f>IFERROR(IF(F950&lt;&gt;"",F950,VLOOKUP(MAX(C$2:C950),A$2:F950,2,FALSE)),"")</f>
        <v>XF</v>
      </c>
      <c r="E950" s="1" t="str">
        <f t="shared" si="29"/>
        <v/>
      </c>
    </row>
    <row r="951" spans="1:5" x14ac:dyDescent="0.25">
      <c r="A951" s="1">
        <v>950</v>
      </c>
      <c r="B951" s="1" t="str">
        <f>IFERROR(IF(F950&lt;&gt;"",F950,VLOOKUP(MAX(F$2:F950),A$1:B950,2,FALSE)),"")</f>
        <v/>
      </c>
      <c r="C951" s="1" t="str">
        <f t="shared" si="28"/>
        <v/>
      </c>
      <c r="D951" s="1" t="str">
        <f>IFERROR(IF(F951&lt;&gt;"",F951,VLOOKUP(MAX(C$2:C951),A$2:F951,2,FALSE)),"")</f>
        <v>XF</v>
      </c>
      <c r="E951" s="1" t="str">
        <f t="shared" si="29"/>
        <v/>
      </c>
    </row>
    <row r="952" spans="1:5" x14ac:dyDescent="0.25">
      <c r="A952" s="1">
        <v>951</v>
      </c>
      <c r="B952" s="1" t="str">
        <f>IFERROR(IF(F951&lt;&gt;"",F951,VLOOKUP(MAX(F$2:F951),A$1:B951,2,FALSE)),"")</f>
        <v/>
      </c>
      <c r="C952" s="1" t="str">
        <f t="shared" si="28"/>
        <v/>
      </c>
      <c r="D952" s="1" t="str">
        <f>IFERROR(IF(F952&lt;&gt;"",F952,VLOOKUP(MAX(C$2:C952),A$2:F952,2,FALSE)),"")</f>
        <v>XF</v>
      </c>
      <c r="E952" s="1" t="str">
        <f t="shared" si="29"/>
        <v/>
      </c>
    </row>
    <row r="953" spans="1:5" x14ac:dyDescent="0.25">
      <c r="A953" s="1">
        <v>952</v>
      </c>
      <c r="B953" s="1" t="str">
        <f>IFERROR(IF(F952&lt;&gt;"",F952,VLOOKUP(MAX(F$2:F952),A$1:B952,2,FALSE)),"")</f>
        <v/>
      </c>
      <c r="C953" s="1" t="str">
        <f t="shared" si="28"/>
        <v/>
      </c>
      <c r="D953" s="1" t="str">
        <f>IFERROR(IF(F953&lt;&gt;"",F953,VLOOKUP(MAX(C$2:C953),A$2:F953,2,FALSE)),"")</f>
        <v>XF</v>
      </c>
      <c r="E953" s="1" t="str">
        <f t="shared" si="29"/>
        <v/>
      </c>
    </row>
    <row r="954" spans="1:5" x14ac:dyDescent="0.25">
      <c r="A954" s="1">
        <v>953</v>
      </c>
      <c r="B954" s="1" t="str">
        <f>IFERROR(IF(F953&lt;&gt;"",F953,VLOOKUP(MAX(F$2:F953),A$1:B953,2,FALSE)),"")</f>
        <v/>
      </c>
      <c r="C954" s="1" t="str">
        <f t="shared" si="28"/>
        <v/>
      </c>
      <c r="D954" s="1" t="str">
        <f>IFERROR(IF(F954&lt;&gt;"",F954,VLOOKUP(MAX(C$2:C954),A$2:F954,2,FALSE)),"")</f>
        <v>XF</v>
      </c>
      <c r="E954" s="1" t="str">
        <f t="shared" si="29"/>
        <v/>
      </c>
    </row>
    <row r="955" spans="1:5" x14ac:dyDescent="0.25">
      <c r="A955" s="1">
        <v>954</v>
      </c>
      <c r="B955" s="1" t="str">
        <f>IFERROR(IF(F954&lt;&gt;"",F954,VLOOKUP(MAX(F$2:F954),A$1:B954,2,FALSE)),"")</f>
        <v/>
      </c>
      <c r="C955" s="1" t="str">
        <f t="shared" si="28"/>
        <v/>
      </c>
      <c r="D955" s="1" t="str">
        <f>IFERROR(IF(F955&lt;&gt;"",F955,VLOOKUP(MAX(C$2:C955),A$2:F955,2,FALSE)),"")</f>
        <v>XF</v>
      </c>
      <c r="E955" s="1" t="str">
        <f t="shared" si="29"/>
        <v/>
      </c>
    </row>
    <row r="956" spans="1:5" x14ac:dyDescent="0.25">
      <c r="A956" s="1">
        <v>955</v>
      </c>
      <c r="B956" s="1" t="str">
        <f>IFERROR(IF(F955&lt;&gt;"",F955,VLOOKUP(MAX(F$2:F955),A$1:B955,2,FALSE)),"")</f>
        <v/>
      </c>
      <c r="C956" s="1" t="str">
        <f t="shared" si="28"/>
        <v/>
      </c>
      <c r="D956" s="1" t="str">
        <f>IFERROR(IF(F956&lt;&gt;"",F956,VLOOKUP(MAX(C$2:C956),A$2:F956,2,FALSE)),"")</f>
        <v>XF</v>
      </c>
      <c r="E956" s="1" t="str">
        <f t="shared" si="29"/>
        <v/>
      </c>
    </row>
    <row r="957" spans="1:5" x14ac:dyDescent="0.25">
      <c r="A957" s="1">
        <v>956</v>
      </c>
      <c r="B957" s="1" t="str">
        <f>IFERROR(IF(F956&lt;&gt;"",F956,VLOOKUP(MAX(F$2:F956),A$1:B956,2,FALSE)),"")</f>
        <v/>
      </c>
      <c r="C957" s="1" t="str">
        <f t="shared" si="28"/>
        <v/>
      </c>
      <c r="D957" s="1" t="str">
        <f>IFERROR(IF(F957&lt;&gt;"",F957,VLOOKUP(MAX(C$2:C957),A$2:F957,2,FALSE)),"")</f>
        <v>XF</v>
      </c>
      <c r="E957" s="1" t="str">
        <f t="shared" si="29"/>
        <v/>
      </c>
    </row>
    <row r="958" spans="1:5" x14ac:dyDescent="0.25">
      <c r="A958" s="1">
        <v>957</v>
      </c>
      <c r="B958" s="1" t="str">
        <f>IFERROR(IF(F957&lt;&gt;"",F957,VLOOKUP(MAX(F$2:F957),A$1:B957,2,FALSE)),"")</f>
        <v/>
      </c>
      <c r="C958" s="1" t="str">
        <f t="shared" si="28"/>
        <v/>
      </c>
      <c r="D958" s="1" t="str">
        <f>IFERROR(IF(F958&lt;&gt;"",F958,VLOOKUP(MAX(C$2:C958),A$2:F958,2,FALSE)),"")</f>
        <v>XF</v>
      </c>
      <c r="E958" s="1" t="str">
        <f t="shared" si="29"/>
        <v/>
      </c>
    </row>
    <row r="959" spans="1:5" x14ac:dyDescent="0.25">
      <c r="A959" s="1">
        <v>958</v>
      </c>
      <c r="B959" s="1" t="str">
        <f>IFERROR(IF(F958&lt;&gt;"",F958,VLOOKUP(MAX(F$2:F958),A$1:B958,2,FALSE)),"")</f>
        <v/>
      </c>
      <c r="C959" s="1" t="str">
        <f t="shared" si="28"/>
        <v/>
      </c>
      <c r="D959" s="1" t="str">
        <f>IFERROR(IF(F959&lt;&gt;"",F959,VLOOKUP(MAX(C$2:C959),A$2:F959,2,FALSE)),"")</f>
        <v>XF</v>
      </c>
      <c r="E959" s="1" t="str">
        <f t="shared" si="29"/>
        <v/>
      </c>
    </row>
    <row r="960" spans="1:5" x14ac:dyDescent="0.25">
      <c r="A960" s="1">
        <v>959</v>
      </c>
      <c r="B960" s="1" t="str">
        <f>IFERROR(IF(F959&lt;&gt;"",F959,VLOOKUP(MAX(F$2:F959),A$1:B959,2,FALSE)),"")</f>
        <v/>
      </c>
      <c r="C960" s="1" t="str">
        <f t="shared" si="28"/>
        <v/>
      </c>
      <c r="D960" s="1" t="str">
        <f>IFERROR(IF(F960&lt;&gt;"",F960,VLOOKUP(MAX(C$2:C960),A$2:F960,2,FALSE)),"")</f>
        <v>XF</v>
      </c>
      <c r="E960" s="1" t="str">
        <f t="shared" si="29"/>
        <v/>
      </c>
    </row>
    <row r="961" spans="1:5" x14ac:dyDescent="0.25">
      <c r="A961" s="1">
        <v>960</v>
      </c>
      <c r="B961" s="1" t="str">
        <f>IFERROR(IF(F960&lt;&gt;"",F960,VLOOKUP(MAX(F$2:F960),A$1:B960,2,FALSE)),"")</f>
        <v/>
      </c>
      <c r="C961" s="1" t="str">
        <f t="shared" si="28"/>
        <v/>
      </c>
      <c r="D961" s="1" t="str">
        <f>IFERROR(IF(F961&lt;&gt;"",F961,VLOOKUP(MAX(C$2:C961),A$2:F961,2,FALSE)),"")</f>
        <v>XF</v>
      </c>
      <c r="E961" s="1" t="str">
        <f t="shared" si="29"/>
        <v/>
      </c>
    </row>
    <row r="962" spans="1:5" x14ac:dyDescent="0.25">
      <c r="A962" s="1">
        <v>961</v>
      </c>
      <c r="B962" s="1" t="str">
        <f>IFERROR(IF(F961&lt;&gt;"",F961,VLOOKUP(MAX(F$2:F961),A$1:B961,2,FALSE)),"")</f>
        <v/>
      </c>
      <c r="C962" s="1" t="str">
        <f t="shared" ref="C962:C1025" si="30">IF(F962&lt;&gt;"",A962,"")</f>
        <v/>
      </c>
      <c r="D962" s="1" t="str">
        <f>IFERROR(IF(F962&lt;&gt;"",F962,VLOOKUP(MAX(C$2:C962),A$2:F962,2,FALSE)),"")</f>
        <v>XF</v>
      </c>
      <c r="E962" s="1" t="str">
        <f t="shared" si="29"/>
        <v/>
      </c>
    </row>
    <row r="963" spans="1:5" x14ac:dyDescent="0.25">
      <c r="A963" s="1">
        <v>962</v>
      </c>
      <c r="B963" s="1" t="str">
        <f>IFERROR(IF(F962&lt;&gt;"",F962,VLOOKUP(MAX(F$2:F962),A$1:B962,2,FALSE)),"")</f>
        <v/>
      </c>
      <c r="C963" s="1" t="str">
        <f t="shared" si="30"/>
        <v/>
      </c>
      <c r="D963" s="1" t="str">
        <f>IFERROR(IF(F963&lt;&gt;"",F963,VLOOKUP(MAX(C$2:C963),A$2:F963,2,FALSE)),"")</f>
        <v>XF</v>
      </c>
      <c r="E963" s="1" t="str">
        <f t="shared" si="29"/>
        <v/>
      </c>
    </row>
    <row r="964" spans="1:5" x14ac:dyDescent="0.25">
      <c r="A964" s="1">
        <v>963</v>
      </c>
      <c r="B964" s="1" t="str">
        <f>IFERROR(IF(F963&lt;&gt;"",F963,VLOOKUP(MAX(F$2:F963),A$1:B963,2,FALSE)),"")</f>
        <v/>
      </c>
      <c r="C964" s="1" t="str">
        <f t="shared" si="30"/>
        <v/>
      </c>
      <c r="D964" s="1" t="str">
        <f>IFERROR(IF(F964&lt;&gt;"",F964,VLOOKUP(MAX(C$2:C964),A$2:F964,2,FALSE)),"")</f>
        <v>XF</v>
      </c>
      <c r="E964" s="1" t="str">
        <f t="shared" ref="E964:E1027" si="31">IF(H964&lt;&gt;"",CONCATENATE(D964,".",H964),"")</f>
        <v/>
      </c>
    </row>
    <row r="965" spans="1:5" x14ac:dyDescent="0.25">
      <c r="A965" s="1">
        <v>964</v>
      </c>
      <c r="B965" s="1" t="str">
        <f>IFERROR(IF(F964&lt;&gt;"",F964,VLOOKUP(MAX(F$2:F964),A$1:B964,2,FALSE)),"")</f>
        <v/>
      </c>
      <c r="C965" s="1" t="str">
        <f t="shared" si="30"/>
        <v/>
      </c>
      <c r="D965" s="1" t="str">
        <f>IFERROR(IF(F965&lt;&gt;"",F965,VLOOKUP(MAX(C$2:C965),A$2:F965,2,FALSE)),"")</f>
        <v>XF</v>
      </c>
      <c r="E965" s="1" t="str">
        <f t="shared" si="31"/>
        <v/>
      </c>
    </row>
    <row r="966" spans="1:5" x14ac:dyDescent="0.25">
      <c r="A966" s="1">
        <v>965</v>
      </c>
      <c r="B966" s="1" t="str">
        <f>IFERROR(IF(F965&lt;&gt;"",F965,VLOOKUP(MAX(F$2:F965),A$1:B965,2,FALSE)),"")</f>
        <v/>
      </c>
      <c r="C966" s="1" t="str">
        <f t="shared" si="30"/>
        <v/>
      </c>
      <c r="D966" s="1" t="str">
        <f>IFERROR(IF(F966&lt;&gt;"",F966,VLOOKUP(MAX(C$2:C966),A$2:F966,2,FALSE)),"")</f>
        <v>XF</v>
      </c>
      <c r="E966" s="1" t="str">
        <f t="shared" si="31"/>
        <v/>
      </c>
    </row>
    <row r="967" spans="1:5" x14ac:dyDescent="0.25">
      <c r="A967" s="1">
        <v>966</v>
      </c>
      <c r="B967" s="1" t="str">
        <f>IFERROR(IF(F966&lt;&gt;"",F966,VLOOKUP(MAX(F$2:F966),A$1:B966,2,FALSE)),"")</f>
        <v/>
      </c>
      <c r="C967" s="1" t="str">
        <f t="shared" si="30"/>
        <v/>
      </c>
      <c r="D967" s="1" t="str">
        <f>IFERROR(IF(F967&lt;&gt;"",F967,VLOOKUP(MAX(C$2:C967),A$2:F967,2,FALSE)),"")</f>
        <v>XF</v>
      </c>
      <c r="E967" s="1" t="str">
        <f t="shared" si="31"/>
        <v/>
      </c>
    </row>
    <row r="968" spans="1:5" x14ac:dyDescent="0.25">
      <c r="A968" s="1">
        <v>967</v>
      </c>
      <c r="B968" s="1" t="str">
        <f>IFERROR(IF(F967&lt;&gt;"",F967,VLOOKUP(MAX(F$2:F967),A$1:B967,2,FALSE)),"")</f>
        <v/>
      </c>
      <c r="C968" s="1" t="str">
        <f t="shared" si="30"/>
        <v/>
      </c>
      <c r="D968" s="1" t="str">
        <f>IFERROR(IF(F968&lt;&gt;"",F968,VLOOKUP(MAX(C$2:C968),A$2:F968,2,FALSE)),"")</f>
        <v>XF</v>
      </c>
      <c r="E968" s="1" t="str">
        <f t="shared" si="31"/>
        <v/>
      </c>
    </row>
    <row r="969" spans="1:5" x14ac:dyDescent="0.25">
      <c r="A969" s="1">
        <v>968</v>
      </c>
      <c r="B969" s="1" t="str">
        <f>IFERROR(IF(F968&lt;&gt;"",F968,VLOOKUP(MAX(F$2:F968),A$1:B968,2,FALSE)),"")</f>
        <v/>
      </c>
      <c r="C969" s="1" t="str">
        <f t="shared" si="30"/>
        <v/>
      </c>
      <c r="D969" s="1" t="str">
        <f>IFERROR(IF(F969&lt;&gt;"",F969,VLOOKUP(MAX(C$2:C969),A$2:F969,2,FALSE)),"")</f>
        <v>XF</v>
      </c>
      <c r="E969" s="1" t="str">
        <f t="shared" si="31"/>
        <v/>
      </c>
    </row>
    <row r="970" spans="1:5" x14ac:dyDescent="0.25">
      <c r="A970" s="1">
        <v>969</v>
      </c>
      <c r="B970" s="1" t="str">
        <f>IFERROR(IF(F969&lt;&gt;"",F969,VLOOKUP(MAX(F$2:F969),A$1:B969,2,FALSE)),"")</f>
        <v/>
      </c>
      <c r="C970" s="1" t="str">
        <f t="shared" si="30"/>
        <v/>
      </c>
      <c r="D970" s="1" t="str">
        <f>IFERROR(IF(F970&lt;&gt;"",F970,VLOOKUP(MAX(C$2:C970),A$2:F970,2,FALSE)),"")</f>
        <v>XF</v>
      </c>
      <c r="E970" s="1" t="str">
        <f t="shared" si="31"/>
        <v/>
      </c>
    </row>
    <row r="971" spans="1:5" x14ac:dyDescent="0.25">
      <c r="A971" s="1">
        <v>970</v>
      </c>
      <c r="B971" s="1" t="str">
        <f>IFERROR(IF(F970&lt;&gt;"",F970,VLOOKUP(MAX(F$2:F970),A$1:B970,2,FALSE)),"")</f>
        <v/>
      </c>
      <c r="C971" s="1" t="str">
        <f t="shared" si="30"/>
        <v/>
      </c>
      <c r="D971" s="1" t="str">
        <f>IFERROR(IF(F971&lt;&gt;"",F971,VLOOKUP(MAX(C$2:C971),A$2:F971,2,FALSE)),"")</f>
        <v>XF</v>
      </c>
      <c r="E971" s="1" t="str">
        <f t="shared" si="31"/>
        <v/>
      </c>
    </row>
    <row r="972" spans="1:5" x14ac:dyDescent="0.25">
      <c r="A972" s="1">
        <v>971</v>
      </c>
      <c r="B972" s="1" t="str">
        <f>IFERROR(IF(F971&lt;&gt;"",F971,VLOOKUP(MAX(F$2:F971),A$1:B971,2,FALSE)),"")</f>
        <v/>
      </c>
      <c r="C972" s="1" t="str">
        <f t="shared" si="30"/>
        <v/>
      </c>
      <c r="D972" s="1" t="str">
        <f>IFERROR(IF(F972&lt;&gt;"",F972,VLOOKUP(MAX(C$2:C972),A$2:F972,2,FALSE)),"")</f>
        <v>XF</v>
      </c>
      <c r="E972" s="1" t="str">
        <f t="shared" si="31"/>
        <v/>
      </c>
    </row>
    <row r="973" spans="1:5" x14ac:dyDescent="0.25">
      <c r="A973" s="1">
        <v>972</v>
      </c>
      <c r="B973" s="1" t="str">
        <f>IFERROR(IF(F972&lt;&gt;"",F972,VLOOKUP(MAX(F$2:F972),A$1:B972,2,FALSE)),"")</f>
        <v/>
      </c>
      <c r="C973" s="1" t="str">
        <f t="shared" si="30"/>
        <v/>
      </c>
      <c r="D973" s="1" t="str">
        <f>IFERROR(IF(F973&lt;&gt;"",F973,VLOOKUP(MAX(C$2:C973),A$2:F973,2,FALSE)),"")</f>
        <v>XF</v>
      </c>
      <c r="E973" s="1" t="str">
        <f t="shared" si="31"/>
        <v/>
      </c>
    </row>
    <row r="974" spans="1:5" x14ac:dyDescent="0.25">
      <c r="A974" s="1">
        <v>973</v>
      </c>
      <c r="B974" s="1" t="str">
        <f>IFERROR(IF(F973&lt;&gt;"",F973,VLOOKUP(MAX(F$2:F973),A$1:B973,2,FALSE)),"")</f>
        <v/>
      </c>
      <c r="C974" s="1" t="str">
        <f t="shared" si="30"/>
        <v/>
      </c>
      <c r="D974" s="1" t="str">
        <f>IFERROR(IF(F974&lt;&gt;"",F974,VLOOKUP(MAX(C$2:C974),A$2:F974,2,FALSE)),"")</f>
        <v>XF</v>
      </c>
      <c r="E974" s="1" t="str">
        <f t="shared" si="31"/>
        <v/>
      </c>
    </row>
    <row r="975" spans="1:5" x14ac:dyDescent="0.25">
      <c r="A975" s="1">
        <v>974</v>
      </c>
      <c r="B975" s="1" t="str">
        <f>IFERROR(IF(F974&lt;&gt;"",F974,VLOOKUP(MAX(F$2:F974),A$1:B974,2,FALSE)),"")</f>
        <v/>
      </c>
      <c r="C975" s="1" t="str">
        <f t="shared" si="30"/>
        <v/>
      </c>
      <c r="D975" s="1" t="str">
        <f>IFERROR(IF(F975&lt;&gt;"",F975,VLOOKUP(MAX(C$2:C975),A$2:F975,2,FALSE)),"")</f>
        <v>XF</v>
      </c>
      <c r="E975" s="1" t="str">
        <f t="shared" si="31"/>
        <v/>
      </c>
    </row>
    <row r="976" spans="1:5" x14ac:dyDescent="0.25">
      <c r="A976" s="1">
        <v>975</v>
      </c>
      <c r="B976" s="1" t="str">
        <f>IFERROR(IF(F975&lt;&gt;"",F975,VLOOKUP(MAX(F$2:F975),A$1:B975,2,FALSE)),"")</f>
        <v/>
      </c>
      <c r="C976" s="1" t="str">
        <f t="shared" si="30"/>
        <v/>
      </c>
      <c r="D976" s="1" t="str">
        <f>IFERROR(IF(F976&lt;&gt;"",F976,VLOOKUP(MAX(C$2:C976),A$2:F976,2,FALSE)),"")</f>
        <v>XF</v>
      </c>
      <c r="E976" s="1" t="str">
        <f t="shared" si="31"/>
        <v/>
      </c>
    </row>
    <row r="977" spans="1:5" x14ac:dyDescent="0.25">
      <c r="A977" s="1">
        <v>976</v>
      </c>
      <c r="B977" s="1" t="str">
        <f>IFERROR(IF(F976&lt;&gt;"",F976,VLOOKUP(MAX(F$2:F976),A$1:B976,2,FALSE)),"")</f>
        <v/>
      </c>
      <c r="C977" s="1" t="str">
        <f t="shared" si="30"/>
        <v/>
      </c>
      <c r="D977" s="1" t="str">
        <f>IFERROR(IF(F977&lt;&gt;"",F977,VLOOKUP(MAX(C$2:C977),A$2:F977,2,FALSE)),"")</f>
        <v>XF</v>
      </c>
      <c r="E977" s="1" t="str">
        <f t="shared" si="31"/>
        <v/>
      </c>
    </row>
    <row r="978" spans="1:5" x14ac:dyDescent="0.25">
      <c r="A978" s="1">
        <v>977</v>
      </c>
      <c r="B978" s="1" t="str">
        <f>IFERROR(IF(F977&lt;&gt;"",F977,VLOOKUP(MAX(F$2:F977),A$1:B977,2,FALSE)),"")</f>
        <v/>
      </c>
      <c r="C978" s="1" t="str">
        <f t="shared" si="30"/>
        <v/>
      </c>
      <c r="D978" s="1" t="str">
        <f>IFERROR(IF(F978&lt;&gt;"",F978,VLOOKUP(MAX(C$2:C978),A$2:F978,2,FALSE)),"")</f>
        <v>XF</v>
      </c>
      <c r="E978" s="1" t="str">
        <f t="shared" si="31"/>
        <v/>
      </c>
    </row>
    <row r="979" spans="1:5" x14ac:dyDescent="0.25">
      <c r="A979" s="1">
        <v>978</v>
      </c>
      <c r="B979" s="1" t="str">
        <f>IFERROR(IF(F978&lt;&gt;"",F978,VLOOKUP(MAX(F$2:F978),A$1:B978,2,FALSE)),"")</f>
        <v/>
      </c>
      <c r="C979" s="1" t="str">
        <f t="shared" si="30"/>
        <v/>
      </c>
      <c r="D979" s="1" t="str">
        <f>IFERROR(IF(F979&lt;&gt;"",F979,VLOOKUP(MAX(C$2:C979),A$2:F979,2,FALSE)),"")</f>
        <v>XF</v>
      </c>
      <c r="E979" s="1" t="str">
        <f t="shared" si="31"/>
        <v/>
      </c>
    </row>
    <row r="980" spans="1:5" x14ac:dyDescent="0.25">
      <c r="A980" s="1">
        <v>979</v>
      </c>
      <c r="B980" s="1" t="str">
        <f>IFERROR(IF(F979&lt;&gt;"",F979,VLOOKUP(MAX(F$2:F979),A$1:B979,2,FALSE)),"")</f>
        <v/>
      </c>
      <c r="C980" s="1" t="str">
        <f t="shared" si="30"/>
        <v/>
      </c>
      <c r="D980" s="1" t="str">
        <f>IFERROR(IF(F980&lt;&gt;"",F980,VLOOKUP(MAX(C$2:C980),A$2:F980,2,FALSE)),"")</f>
        <v>XF</v>
      </c>
      <c r="E980" s="1" t="str">
        <f t="shared" si="31"/>
        <v/>
      </c>
    </row>
    <row r="981" spans="1:5" x14ac:dyDescent="0.25">
      <c r="A981" s="1">
        <v>980</v>
      </c>
      <c r="B981" s="1" t="str">
        <f>IFERROR(IF(F980&lt;&gt;"",F980,VLOOKUP(MAX(F$2:F980),A$1:B980,2,FALSE)),"")</f>
        <v/>
      </c>
      <c r="C981" s="1" t="str">
        <f t="shared" si="30"/>
        <v/>
      </c>
      <c r="D981" s="1" t="str">
        <f>IFERROR(IF(F981&lt;&gt;"",F981,VLOOKUP(MAX(C$2:C981),A$2:F981,2,FALSE)),"")</f>
        <v>XF</v>
      </c>
      <c r="E981" s="1" t="str">
        <f t="shared" si="31"/>
        <v/>
      </c>
    </row>
    <row r="982" spans="1:5" x14ac:dyDescent="0.25">
      <c r="A982" s="1">
        <v>981</v>
      </c>
      <c r="B982" s="1" t="str">
        <f>IFERROR(IF(F981&lt;&gt;"",F981,VLOOKUP(MAX(F$2:F981),A$1:B981,2,FALSE)),"")</f>
        <v/>
      </c>
      <c r="C982" s="1" t="str">
        <f t="shared" si="30"/>
        <v/>
      </c>
      <c r="D982" s="1" t="str">
        <f>IFERROR(IF(F982&lt;&gt;"",F982,VLOOKUP(MAX(C$2:C982),A$2:F982,2,FALSE)),"")</f>
        <v>XF</v>
      </c>
      <c r="E982" s="1" t="str">
        <f t="shared" si="31"/>
        <v/>
      </c>
    </row>
    <row r="983" spans="1:5" x14ac:dyDescent="0.25">
      <c r="A983" s="1">
        <v>982</v>
      </c>
      <c r="B983" s="1" t="str">
        <f>IFERROR(IF(F982&lt;&gt;"",F982,VLOOKUP(MAX(F$2:F982),A$1:B982,2,FALSE)),"")</f>
        <v/>
      </c>
      <c r="C983" s="1" t="str">
        <f t="shared" si="30"/>
        <v/>
      </c>
      <c r="D983" s="1" t="str">
        <f>IFERROR(IF(F983&lt;&gt;"",F983,VLOOKUP(MAX(C$2:C983),A$2:F983,2,FALSE)),"")</f>
        <v>XF</v>
      </c>
      <c r="E983" s="1" t="str">
        <f t="shared" si="31"/>
        <v/>
      </c>
    </row>
    <row r="984" spans="1:5" x14ac:dyDescent="0.25">
      <c r="A984" s="1">
        <v>983</v>
      </c>
      <c r="B984" s="1" t="str">
        <f>IFERROR(IF(F983&lt;&gt;"",F983,VLOOKUP(MAX(F$2:F983),A$1:B983,2,FALSE)),"")</f>
        <v/>
      </c>
      <c r="C984" s="1" t="str">
        <f t="shared" si="30"/>
        <v/>
      </c>
      <c r="D984" s="1" t="str">
        <f>IFERROR(IF(F984&lt;&gt;"",F984,VLOOKUP(MAX(C$2:C984),A$2:F984,2,FALSE)),"")</f>
        <v>XF</v>
      </c>
      <c r="E984" s="1" t="str">
        <f t="shared" si="31"/>
        <v/>
      </c>
    </row>
    <row r="985" spans="1:5" x14ac:dyDescent="0.25">
      <c r="A985" s="1">
        <v>984</v>
      </c>
      <c r="B985" s="1" t="str">
        <f>IFERROR(IF(F984&lt;&gt;"",F984,VLOOKUP(MAX(F$2:F984),A$1:B984,2,FALSE)),"")</f>
        <v/>
      </c>
      <c r="C985" s="1" t="str">
        <f t="shared" si="30"/>
        <v/>
      </c>
      <c r="D985" s="1" t="str">
        <f>IFERROR(IF(F985&lt;&gt;"",F985,VLOOKUP(MAX(C$2:C985),A$2:F985,2,FALSE)),"")</f>
        <v>XF</v>
      </c>
      <c r="E985" s="1" t="str">
        <f t="shared" si="31"/>
        <v/>
      </c>
    </row>
    <row r="986" spans="1:5" x14ac:dyDescent="0.25">
      <c r="A986" s="1">
        <v>985</v>
      </c>
      <c r="B986" s="1" t="str">
        <f>IFERROR(IF(F985&lt;&gt;"",F985,VLOOKUP(MAX(F$2:F985),A$1:B985,2,FALSE)),"")</f>
        <v/>
      </c>
      <c r="C986" s="1" t="str">
        <f t="shared" si="30"/>
        <v/>
      </c>
      <c r="D986" s="1" t="str">
        <f>IFERROR(IF(F986&lt;&gt;"",F986,VLOOKUP(MAX(C$2:C986),A$2:F986,2,FALSE)),"")</f>
        <v>XF</v>
      </c>
      <c r="E986" s="1" t="str">
        <f t="shared" si="31"/>
        <v/>
      </c>
    </row>
    <row r="987" spans="1:5" x14ac:dyDescent="0.25">
      <c r="A987" s="1">
        <v>986</v>
      </c>
      <c r="B987" s="1" t="str">
        <f>IFERROR(IF(F986&lt;&gt;"",F986,VLOOKUP(MAX(F$2:F986),A$1:B986,2,FALSE)),"")</f>
        <v/>
      </c>
      <c r="C987" s="1" t="str">
        <f t="shared" si="30"/>
        <v/>
      </c>
      <c r="D987" s="1" t="str">
        <f>IFERROR(IF(F987&lt;&gt;"",F987,VLOOKUP(MAX(C$2:C987),A$2:F987,2,FALSE)),"")</f>
        <v>XF</v>
      </c>
      <c r="E987" s="1" t="str">
        <f t="shared" si="31"/>
        <v/>
      </c>
    </row>
    <row r="988" spans="1:5" x14ac:dyDescent="0.25">
      <c r="A988" s="1">
        <v>987</v>
      </c>
      <c r="B988" s="1" t="str">
        <f>IFERROR(IF(F987&lt;&gt;"",F987,VLOOKUP(MAX(F$2:F987),A$1:B987,2,FALSE)),"")</f>
        <v/>
      </c>
      <c r="C988" s="1" t="str">
        <f t="shared" si="30"/>
        <v/>
      </c>
      <c r="D988" s="1" t="str">
        <f>IFERROR(IF(F988&lt;&gt;"",F988,VLOOKUP(MAX(C$2:C988),A$2:F988,2,FALSE)),"")</f>
        <v>XF</v>
      </c>
      <c r="E988" s="1" t="str">
        <f t="shared" si="31"/>
        <v/>
      </c>
    </row>
    <row r="989" spans="1:5" x14ac:dyDescent="0.25">
      <c r="A989" s="1">
        <v>988</v>
      </c>
      <c r="B989" s="1" t="str">
        <f>IFERROR(IF(F988&lt;&gt;"",F988,VLOOKUP(MAX(F$2:F988),A$1:B988,2,FALSE)),"")</f>
        <v/>
      </c>
      <c r="C989" s="1" t="str">
        <f t="shared" si="30"/>
        <v/>
      </c>
      <c r="D989" s="1" t="str">
        <f>IFERROR(IF(F989&lt;&gt;"",F989,VLOOKUP(MAX(C$2:C989),A$2:F989,2,FALSE)),"")</f>
        <v>XF</v>
      </c>
      <c r="E989" s="1" t="str">
        <f t="shared" si="31"/>
        <v/>
      </c>
    </row>
    <row r="990" spans="1:5" x14ac:dyDescent="0.25">
      <c r="A990" s="1">
        <v>989</v>
      </c>
      <c r="B990" s="1" t="str">
        <f>IFERROR(IF(F989&lt;&gt;"",F989,VLOOKUP(MAX(F$2:F989),A$1:B989,2,FALSE)),"")</f>
        <v/>
      </c>
      <c r="C990" s="1" t="str">
        <f t="shared" si="30"/>
        <v/>
      </c>
      <c r="D990" s="1" t="str">
        <f>IFERROR(IF(F990&lt;&gt;"",F990,VLOOKUP(MAX(C$2:C990),A$2:F990,2,FALSE)),"")</f>
        <v>XF</v>
      </c>
      <c r="E990" s="1" t="str">
        <f t="shared" si="31"/>
        <v/>
      </c>
    </row>
    <row r="991" spans="1:5" x14ac:dyDescent="0.25">
      <c r="A991" s="1">
        <v>990</v>
      </c>
      <c r="B991" s="1" t="str">
        <f>IFERROR(IF(F990&lt;&gt;"",F990,VLOOKUP(MAX(F$2:F990),A$1:B990,2,FALSE)),"")</f>
        <v/>
      </c>
      <c r="C991" s="1" t="str">
        <f t="shared" si="30"/>
        <v/>
      </c>
      <c r="D991" s="1" t="str">
        <f>IFERROR(IF(F991&lt;&gt;"",F991,VLOOKUP(MAX(C$2:C991),A$2:F991,2,FALSE)),"")</f>
        <v>XF</v>
      </c>
      <c r="E991" s="1" t="str">
        <f t="shared" si="31"/>
        <v/>
      </c>
    </row>
    <row r="992" spans="1:5" x14ac:dyDescent="0.25">
      <c r="A992" s="1">
        <v>991</v>
      </c>
      <c r="B992" s="1" t="str">
        <f>IFERROR(IF(F991&lt;&gt;"",F991,VLOOKUP(MAX(F$2:F991),A$1:B991,2,FALSE)),"")</f>
        <v/>
      </c>
      <c r="C992" s="1" t="str">
        <f t="shared" si="30"/>
        <v/>
      </c>
      <c r="D992" s="1" t="str">
        <f>IFERROR(IF(F992&lt;&gt;"",F992,VLOOKUP(MAX(C$2:C992),A$2:F992,2,FALSE)),"")</f>
        <v>XF</v>
      </c>
      <c r="E992" s="1" t="str">
        <f t="shared" si="31"/>
        <v/>
      </c>
    </row>
    <row r="993" spans="1:5" x14ac:dyDescent="0.25">
      <c r="A993" s="1">
        <v>992</v>
      </c>
      <c r="B993" s="1" t="str">
        <f>IFERROR(IF(F992&lt;&gt;"",F992,VLOOKUP(MAX(F$2:F992),A$1:B992,2,FALSE)),"")</f>
        <v/>
      </c>
      <c r="C993" s="1" t="str">
        <f t="shared" si="30"/>
        <v/>
      </c>
      <c r="D993" s="1" t="str">
        <f>IFERROR(IF(F993&lt;&gt;"",F993,VLOOKUP(MAX(C$2:C993),A$2:F993,2,FALSE)),"")</f>
        <v>XF</v>
      </c>
      <c r="E993" s="1" t="str">
        <f t="shared" si="31"/>
        <v/>
      </c>
    </row>
    <row r="994" spans="1:5" x14ac:dyDescent="0.25">
      <c r="A994" s="1">
        <v>993</v>
      </c>
      <c r="B994" s="1" t="str">
        <f>IFERROR(IF(F993&lt;&gt;"",F993,VLOOKUP(MAX(F$2:F993),A$1:B993,2,FALSE)),"")</f>
        <v/>
      </c>
      <c r="C994" s="1" t="str">
        <f t="shared" si="30"/>
        <v/>
      </c>
      <c r="D994" s="1" t="str">
        <f>IFERROR(IF(F994&lt;&gt;"",F994,VLOOKUP(MAX(C$2:C994),A$2:F994,2,FALSE)),"")</f>
        <v>XF</v>
      </c>
      <c r="E994" s="1" t="str">
        <f t="shared" si="31"/>
        <v/>
      </c>
    </row>
    <row r="995" spans="1:5" x14ac:dyDescent="0.25">
      <c r="A995" s="1">
        <v>994</v>
      </c>
      <c r="B995" s="1" t="str">
        <f>IFERROR(IF(F994&lt;&gt;"",F994,VLOOKUP(MAX(F$2:F994),A$1:B994,2,FALSE)),"")</f>
        <v/>
      </c>
      <c r="C995" s="1" t="str">
        <f t="shared" si="30"/>
        <v/>
      </c>
      <c r="D995" s="1" t="str">
        <f>IFERROR(IF(F995&lt;&gt;"",F995,VLOOKUP(MAX(C$2:C995),A$2:F995,2,FALSE)),"")</f>
        <v>XF</v>
      </c>
      <c r="E995" s="1" t="str">
        <f t="shared" si="31"/>
        <v/>
      </c>
    </row>
    <row r="996" spans="1:5" x14ac:dyDescent="0.25">
      <c r="A996" s="1">
        <v>995</v>
      </c>
      <c r="B996" s="1" t="str">
        <f>IFERROR(IF(F995&lt;&gt;"",F995,VLOOKUP(MAX(F$2:F995),A$1:B995,2,FALSE)),"")</f>
        <v/>
      </c>
      <c r="C996" s="1" t="str">
        <f t="shared" si="30"/>
        <v/>
      </c>
      <c r="D996" s="1" t="str">
        <f>IFERROR(IF(F996&lt;&gt;"",F996,VLOOKUP(MAX(C$2:C996),A$2:F996,2,FALSE)),"")</f>
        <v>XF</v>
      </c>
      <c r="E996" s="1" t="str">
        <f t="shared" si="31"/>
        <v/>
      </c>
    </row>
    <row r="997" spans="1:5" x14ac:dyDescent="0.25">
      <c r="A997" s="1">
        <v>996</v>
      </c>
      <c r="B997" s="1" t="str">
        <f>IFERROR(IF(F996&lt;&gt;"",F996,VLOOKUP(MAX(F$2:F996),A$1:B996,2,FALSE)),"")</f>
        <v/>
      </c>
      <c r="C997" s="1" t="str">
        <f t="shared" si="30"/>
        <v/>
      </c>
      <c r="D997" s="1" t="str">
        <f>IFERROR(IF(F997&lt;&gt;"",F997,VLOOKUP(MAX(C$2:C997),A$2:F997,2,FALSE)),"")</f>
        <v>XF</v>
      </c>
      <c r="E997" s="1" t="str">
        <f t="shared" si="31"/>
        <v/>
      </c>
    </row>
    <row r="998" spans="1:5" x14ac:dyDescent="0.25">
      <c r="A998" s="1">
        <v>997</v>
      </c>
      <c r="B998" s="1" t="str">
        <f>IFERROR(IF(F997&lt;&gt;"",F997,VLOOKUP(MAX(F$2:F997),A$1:B997,2,FALSE)),"")</f>
        <v/>
      </c>
      <c r="C998" s="1" t="str">
        <f t="shared" si="30"/>
        <v/>
      </c>
      <c r="D998" s="1" t="str">
        <f>IFERROR(IF(F998&lt;&gt;"",F998,VLOOKUP(MAX(C$2:C998),A$2:F998,2,FALSE)),"")</f>
        <v>XF</v>
      </c>
      <c r="E998" s="1" t="str">
        <f t="shared" si="31"/>
        <v/>
      </c>
    </row>
    <row r="999" spans="1:5" x14ac:dyDescent="0.25">
      <c r="A999" s="1">
        <v>998</v>
      </c>
      <c r="B999" s="1" t="str">
        <f>IFERROR(IF(F998&lt;&gt;"",F998,VLOOKUP(MAX(F$2:F998),A$1:B998,2,FALSE)),"")</f>
        <v/>
      </c>
      <c r="C999" s="1" t="str">
        <f t="shared" si="30"/>
        <v/>
      </c>
      <c r="D999" s="1" t="str">
        <f>IFERROR(IF(F999&lt;&gt;"",F999,VLOOKUP(MAX(C$2:C999),A$2:F999,2,FALSE)),"")</f>
        <v>XF</v>
      </c>
      <c r="E999" s="1" t="str">
        <f t="shared" si="31"/>
        <v/>
      </c>
    </row>
    <row r="1000" spans="1:5" x14ac:dyDescent="0.25">
      <c r="A1000" s="1">
        <v>999</v>
      </c>
      <c r="B1000" s="1" t="str">
        <f>IFERROR(IF(F999&lt;&gt;"",F999,VLOOKUP(MAX(F$2:F999),A$1:B999,2,FALSE)),"")</f>
        <v/>
      </c>
      <c r="C1000" s="1" t="str">
        <f t="shared" si="30"/>
        <v/>
      </c>
      <c r="D1000" s="1" t="str">
        <f>IFERROR(IF(F1000&lt;&gt;"",F1000,VLOOKUP(MAX(C$2:C1000),A$2:F1000,2,FALSE)),"")</f>
        <v>XF</v>
      </c>
      <c r="E1000" s="1" t="str">
        <f t="shared" si="31"/>
        <v/>
      </c>
    </row>
    <row r="1001" spans="1:5" x14ac:dyDescent="0.25">
      <c r="A1001" s="1">
        <v>1000</v>
      </c>
      <c r="B1001" s="1" t="str">
        <f>IFERROR(IF(F1000&lt;&gt;"",F1000,VLOOKUP(MAX(F$2:F1000),A$1:B1000,2,FALSE)),"")</f>
        <v/>
      </c>
      <c r="C1001" s="1" t="str">
        <f t="shared" si="30"/>
        <v/>
      </c>
      <c r="D1001" s="1" t="str">
        <f>IFERROR(IF(F1001&lt;&gt;"",F1001,VLOOKUP(MAX(C$2:C1001),A$2:F1001,2,FALSE)),"")</f>
        <v>XF</v>
      </c>
      <c r="E1001" s="1" t="str">
        <f t="shared" si="31"/>
        <v/>
      </c>
    </row>
    <row r="1002" spans="1:5" x14ac:dyDescent="0.25">
      <c r="A1002" s="1">
        <v>1001</v>
      </c>
      <c r="B1002" s="1" t="str">
        <f>IFERROR(IF(F1001&lt;&gt;"",F1001,VLOOKUP(MAX(F$2:F1001),A$1:B1001,2,FALSE)),"")</f>
        <v/>
      </c>
      <c r="C1002" s="1" t="str">
        <f t="shared" si="30"/>
        <v/>
      </c>
      <c r="D1002" s="1" t="str">
        <f>IFERROR(IF(F1002&lt;&gt;"",F1002,VLOOKUP(MAX(C$2:C1002),A$2:F1002,2,FALSE)),"")</f>
        <v>XF</v>
      </c>
      <c r="E1002" s="1" t="str">
        <f t="shared" si="31"/>
        <v/>
      </c>
    </row>
    <row r="1003" spans="1:5" x14ac:dyDescent="0.25">
      <c r="A1003" s="1">
        <v>1002</v>
      </c>
      <c r="B1003" s="1" t="str">
        <f>IFERROR(IF(F1002&lt;&gt;"",F1002,VLOOKUP(MAX(F$2:F1002),A$1:B1002,2,FALSE)),"")</f>
        <v/>
      </c>
      <c r="C1003" s="1" t="str">
        <f t="shared" si="30"/>
        <v/>
      </c>
      <c r="D1003" s="1" t="str">
        <f>IFERROR(IF(F1003&lt;&gt;"",F1003,VLOOKUP(MAX(C$2:C1003),A$2:F1003,2,FALSE)),"")</f>
        <v>XF</v>
      </c>
      <c r="E1003" s="1" t="str">
        <f t="shared" si="31"/>
        <v/>
      </c>
    </row>
    <row r="1004" spans="1:5" x14ac:dyDescent="0.25">
      <c r="A1004" s="1">
        <v>1003</v>
      </c>
      <c r="B1004" s="1" t="str">
        <f>IFERROR(IF(F1003&lt;&gt;"",F1003,VLOOKUP(MAX(F$2:F1003),A$1:B1003,2,FALSE)),"")</f>
        <v/>
      </c>
      <c r="C1004" s="1" t="str">
        <f t="shared" si="30"/>
        <v/>
      </c>
      <c r="D1004" s="1" t="str">
        <f>IFERROR(IF(F1004&lt;&gt;"",F1004,VLOOKUP(MAX(C$2:C1004),A$2:F1004,2,FALSE)),"")</f>
        <v>XF</v>
      </c>
      <c r="E1004" s="1" t="str">
        <f t="shared" si="31"/>
        <v/>
      </c>
    </row>
    <row r="1005" spans="1:5" x14ac:dyDescent="0.25">
      <c r="A1005" s="1">
        <v>1004</v>
      </c>
      <c r="B1005" s="1" t="str">
        <f>IFERROR(IF(F1004&lt;&gt;"",F1004,VLOOKUP(MAX(F$2:F1004),A$1:B1004,2,FALSE)),"")</f>
        <v/>
      </c>
      <c r="C1005" s="1" t="str">
        <f t="shared" si="30"/>
        <v/>
      </c>
      <c r="D1005" s="1" t="str">
        <f>IFERROR(IF(F1005&lt;&gt;"",F1005,VLOOKUP(MAX(C$2:C1005),A$2:F1005,2,FALSE)),"")</f>
        <v>XF</v>
      </c>
      <c r="E1005" s="1" t="str">
        <f t="shared" si="31"/>
        <v/>
      </c>
    </row>
    <row r="1006" spans="1:5" x14ac:dyDescent="0.25">
      <c r="A1006" s="1">
        <v>1005</v>
      </c>
      <c r="B1006" s="1" t="str">
        <f>IFERROR(IF(F1005&lt;&gt;"",F1005,VLOOKUP(MAX(F$2:F1005),A$1:B1005,2,FALSE)),"")</f>
        <v/>
      </c>
      <c r="C1006" s="1" t="str">
        <f t="shared" si="30"/>
        <v/>
      </c>
      <c r="D1006" s="1" t="str">
        <f>IFERROR(IF(F1006&lt;&gt;"",F1006,VLOOKUP(MAX(C$2:C1006),A$2:F1006,2,FALSE)),"")</f>
        <v>XF</v>
      </c>
      <c r="E1006" s="1" t="str">
        <f t="shared" si="31"/>
        <v/>
      </c>
    </row>
    <row r="1007" spans="1:5" x14ac:dyDescent="0.25">
      <c r="A1007" s="1">
        <v>1006</v>
      </c>
      <c r="B1007" s="1" t="str">
        <f>IFERROR(IF(F1006&lt;&gt;"",F1006,VLOOKUP(MAX(F$2:F1006),A$1:B1006,2,FALSE)),"")</f>
        <v/>
      </c>
      <c r="C1007" s="1" t="str">
        <f t="shared" si="30"/>
        <v/>
      </c>
      <c r="D1007" s="1" t="str">
        <f>IFERROR(IF(F1007&lt;&gt;"",F1007,VLOOKUP(MAX(C$2:C1007),A$2:F1007,2,FALSE)),"")</f>
        <v>XF</v>
      </c>
      <c r="E1007" s="1" t="str">
        <f t="shared" si="31"/>
        <v/>
      </c>
    </row>
    <row r="1008" spans="1:5" x14ac:dyDescent="0.25">
      <c r="A1008" s="1">
        <v>1007</v>
      </c>
      <c r="B1008" s="1" t="str">
        <f>IFERROR(IF(F1007&lt;&gt;"",F1007,VLOOKUP(MAX(F$2:F1007),A$1:B1007,2,FALSE)),"")</f>
        <v/>
      </c>
      <c r="C1008" s="1" t="str">
        <f t="shared" si="30"/>
        <v/>
      </c>
      <c r="D1008" s="1" t="str">
        <f>IFERROR(IF(F1008&lt;&gt;"",F1008,VLOOKUP(MAX(C$2:C1008),A$2:F1008,2,FALSE)),"")</f>
        <v>XF</v>
      </c>
      <c r="E1008" s="1" t="str">
        <f t="shared" si="31"/>
        <v/>
      </c>
    </row>
    <row r="1009" spans="1:5" x14ac:dyDescent="0.25">
      <c r="A1009" s="1">
        <v>1008</v>
      </c>
      <c r="B1009" s="1" t="str">
        <f>IFERROR(IF(F1008&lt;&gt;"",F1008,VLOOKUP(MAX(F$2:F1008),A$1:B1008,2,FALSE)),"")</f>
        <v/>
      </c>
      <c r="C1009" s="1" t="str">
        <f t="shared" si="30"/>
        <v/>
      </c>
      <c r="D1009" s="1" t="str">
        <f>IFERROR(IF(F1009&lt;&gt;"",F1009,VLOOKUP(MAX(C$2:C1009),A$2:F1009,2,FALSE)),"")</f>
        <v>XF</v>
      </c>
      <c r="E1009" s="1" t="str">
        <f t="shared" si="31"/>
        <v/>
      </c>
    </row>
    <row r="1010" spans="1:5" x14ac:dyDescent="0.25">
      <c r="A1010" s="1">
        <v>1009</v>
      </c>
      <c r="B1010" s="1" t="str">
        <f>IFERROR(IF(F1009&lt;&gt;"",F1009,VLOOKUP(MAX(F$2:F1009),A$1:B1009,2,FALSE)),"")</f>
        <v/>
      </c>
      <c r="C1010" s="1" t="str">
        <f t="shared" si="30"/>
        <v/>
      </c>
      <c r="D1010" s="1" t="str">
        <f>IFERROR(IF(F1010&lt;&gt;"",F1010,VLOOKUP(MAX(C$2:C1010),A$2:F1010,2,FALSE)),"")</f>
        <v>XF</v>
      </c>
      <c r="E1010" s="1" t="str">
        <f t="shared" si="31"/>
        <v/>
      </c>
    </row>
    <row r="1011" spans="1:5" x14ac:dyDescent="0.25">
      <c r="A1011" s="1">
        <v>1010</v>
      </c>
      <c r="B1011" s="1" t="str">
        <f>IFERROR(IF(F1010&lt;&gt;"",F1010,VLOOKUP(MAX(F$2:F1010),A$1:B1010,2,FALSE)),"")</f>
        <v/>
      </c>
      <c r="C1011" s="1" t="str">
        <f t="shared" si="30"/>
        <v/>
      </c>
      <c r="D1011" s="1" t="str">
        <f>IFERROR(IF(F1011&lt;&gt;"",F1011,VLOOKUP(MAX(C$2:C1011),A$2:F1011,2,FALSE)),"")</f>
        <v>XF</v>
      </c>
      <c r="E1011" s="1" t="str">
        <f t="shared" si="31"/>
        <v/>
      </c>
    </row>
    <row r="1012" spans="1:5" x14ac:dyDescent="0.25">
      <c r="A1012" s="1">
        <v>1011</v>
      </c>
      <c r="B1012" s="1" t="str">
        <f>IFERROR(IF(F1011&lt;&gt;"",F1011,VLOOKUP(MAX(F$2:F1011),A$1:B1011,2,FALSE)),"")</f>
        <v/>
      </c>
      <c r="C1012" s="1" t="str">
        <f t="shared" si="30"/>
        <v/>
      </c>
      <c r="D1012" s="1" t="str">
        <f>IFERROR(IF(F1012&lt;&gt;"",F1012,VLOOKUP(MAX(C$2:C1012),A$2:F1012,2,FALSE)),"")</f>
        <v>XF</v>
      </c>
      <c r="E1012" s="1" t="str">
        <f t="shared" si="31"/>
        <v/>
      </c>
    </row>
    <row r="1013" spans="1:5" x14ac:dyDescent="0.25">
      <c r="A1013" s="1">
        <v>1012</v>
      </c>
      <c r="B1013" s="1" t="str">
        <f>IFERROR(IF(F1012&lt;&gt;"",F1012,VLOOKUP(MAX(F$2:F1012),A$1:B1012,2,FALSE)),"")</f>
        <v/>
      </c>
      <c r="C1013" s="1" t="str">
        <f t="shared" si="30"/>
        <v/>
      </c>
      <c r="D1013" s="1" t="str">
        <f>IFERROR(IF(F1013&lt;&gt;"",F1013,VLOOKUP(MAX(C$2:C1013),A$2:F1013,2,FALSE)),"")</f>
        <v>XF</v>
      </c>
      <c r="E1013" s="1" t="str">
        <f t="shared" si="31"/>
        <v/>
      </c>
    </row>
    <row r="1014" spans="1:5" x14ac:dyDescent="0.25">
      <c r="A1014" s="1">
        <v>1013</v>
      </c>
      <c r="B1014" s="1" t="str">
        <f>IFERROR(IF(F1013&lt;&gt;"",F1013,VLOOKUP(MAX(F$2:F1013),A$1:B1013,2,FALSE)),"")</f>
        <v/>
      </c>
      <c r="C1014" s="1" t="str">
        <f t="shared" si="30"/>
        <v/>
      </c>
      <c r="D1014" s="1" t="str">
        <f>IFERROR(IF(F1014&lt;&gt;"",F1014,VLOOKUP(MAX(C$2:C1014),A$2:F1014,2,FALSE)),"")</f>
        <v>XF</v>
      </c>
      <c r="E1014" s="1" t="str">
        <f t="shared" si="31"/>
        <v/>
      </c>
    </row>
    <row r="1015" spans="1:5" x14ac:dyDescent="0.25">
      <c r="A1015" s="1">
        <v>1014</v>
      </c>
      <c r="B1015" s="1" t="str">
        <f>IFERROR(IF(F1014&lt;&gt;"",F1014,VLOOKUP(MAX(F$2:F1014),A$1:B1014,2,FALSE)),"")</f>
        <v/>
      </c>
      <c r="C1015" s="1" t="str">
        <f t="shared" si="30"/>
        <v/>
      </c>
      <c r="D1015" s="1" t="str">
        <f>IFERROR(IF(F1015&lt;&gt;"",F1015,VLOOKUP(MAX(C$2:C1015),A$2:F1015,2,FALSE)),"")</f>
        <v>XF</v>
      </c>
      <c r="E1015" s="1" t="str">
        <f t="shared" si="31"/>
        <v/>
      </c>
    </row>
    <row r="1016" spans="1:5" x14ac:dyDescent="0.25">
      <c r="A1016" s="1">
        <v>1015</v>
      </c>
      <c r="B1016" s="1" t="str">
        <f>IFERROR(IF(F1015&lt;&gt;"",F1015,VLOOKUP(MAX(F$2:F1015),A$1:B1015,2,FALSE)),"")</f>
        <v/>
      </c>
      <c r="C1016" s="1" t="str">
        <f t="shared" si="30"/>
        <v/>
      </c>
      <c r="D1016" s="1" t="str">
        <f>IFERROR(IF(F1016&lt;&gt;"",F1016,VLOOKUP(MAX(C$2:C1016),A$2:F1016,2,FALSE)),"")</f>
        <v>XF</v>
      </c>
      <c r="E1016" s="1" t="str">
        <f t="shared" si="31"/>
        <v/>
      </c>
    </row>
    <row r="1017" spans="1:5" x14ac:dyDescent="0.25">
      <c r="A1017" s="1">
        <v>1016</v>
      </c>
      <c r="B1017" s="1" t="str">
        <f>IFERROR(IF(F1016&lt;&gt;"",F1016,VLOOKUP(MAX(F$2:F1016),A$1:B1016,2,FALSE)),"")</f>
        <v/>
      </c>
      <c r="C1017" s="1" t="str">
        <f t="shared" si="30"/>
        <v/>
      </c>
      <c r="D1017" s="1" t="str">
        <f>IFERROR(IF(F1017&lt;&gt;"",F1017,VLOOKUP(MAX(C$2:C1017),A$2:F1017,2,FALSE)),"")</f>
        <v>XF</v>
      </c>
      <c r="E1017" s="1" t="str">
        <f t="shared" si="31"/>
        <v/>
      </c>
    </row>
    <row r="1018" spans="1:5" x14ac:dyDescent="0.25">
      <c r="A1018" s="1">
        <v>1017</v>
      </c>
      <c r="B1018" s="1" t="str">
        <f>IFERROR(IF(F1017&lt;&gt;"",F1017,VLOOKUP(MAX(F$2:F1017),A$1:B1017,2,FALSE)),"")</f>
        <v/>
      </c>
      <c r="C1018" s="1" t="str">
        <f t="shared" si="30"/>
        <v/>
      </c>
      <c r="D1018" s="1" t="str">
        <f>IFERROR(IF(F1018&lt;&gt;"",F1018,VLOOKUP(MAX(C$2:C1018),A$2:F1018,2,FALSE)),"")</f>
        <v>XF</v>
      </c>
      <c r="E1018" s="1" t="str">
        <f t="shared" si="31"/>
        <v/>
      </c>
    </row>
    <row r="1019" spans="1:5" x14ac:dyDescent="0.25">
      <c r="A1019" s="1">
        <v>1018</v>
      </c>
      <c r="B1019" s="1" t="str">
        <f>IFERROR(IF(F1018&lt;&gt;"",F1018,VLOOKUP(MAX(F$2:F1018),A$1:B1018,2,FALSE)),"")</f>
        <v/>
      </c>
      <c r="C1019" s="1" t="str">
        <f t="shared" si="30"/>
        <v/>
      </c>
      <c r="D1019" s="1" t="str">
        <f>IFERROR(IF(F1019&lt;&gt;"",F1019,VLOOKUP(MAX(C$2:C1019),A$2:F1019,2,FALSE)),"")</f>
        <v>XF</v>
      </c>
      <c r="E1019" s="1" t="str">
        <f t="shared" si="31"/>
        <v/>
      </c>
    </row>
    <row r="1020" spans="1:5" x14ac:dyDescent="0.25">
      <c r="A1020" s="1">
        <v>1019</v>
      </c>
      <c r="B1020" s="1" t="str">
        <f>IFERROR(IF(F1019&lt;&gt;"",F1019,VLOOKUP(MAX(F$2:F1019),A$1:B1019,2,FALSE)),"")</f>
        <v/>
      </c>
      <c r="C1020" s="1" t="str">
        <f t="shared" si="30"/>
        <v/>
      </c>
      <c r="D1020" s="1" t="str">
        <f>IFERROR(IF(F1020&lt;&gt;"",F1020,VLOOKUP(MAX(C$2:C1020),A$2:F1020,2,FALSE)),"")</f>
        <v>XF</v>
      </c>
      <c r="E1020" s="1" t="str">
        <f t="shared" si="31"/>
        <v/>
      </c>
    </row>
    <row r="1021" spans="1:5" x14ac:dyDescent="0.25">
      <c r="A1021" s="1">
        <v>1020</v>
      </c>
      <c r="B1021" s="1" t="str">
        <f>IFERROR(IF(F1020&lt;&gt;"",F1020,VLOOKUP(MAX(F$2:F1020),A$1:B1020,2,FALSE)),"")</f>
        <v/>
      </c>
      <c r="C1021" s="1" t="str">
        <f t="shared" si="30"/>
        <v/>
      </c>
      <c r="D1021" s="1" t="str">
        <f>IFERROR(IF(F1021&lt;&gt;"",F1021,VLOOKUP(MAX(C$2:C1021),A$2:F1021,2,FALSE)),"")</f>
        <v>XF</v>
      </c>
      <c r="E1021" s="1" t="str">
        <f t="shared" si="31"/>
        <v/>
      </c>
    </row>
    <row r="1022" spans="1:5" x14ac:dyDescent="0.25">
      <c r="A1022" s="1">
        <v>1021</v>
      </c>
      <c r="B1022" s="1" t="str">
        <f>IFERROR(IF(F1021&lt;&gt;"",F1021,VLOOKUP(MAX(F$2:F1021),A$1:B1021,2,FALSE)),"")</f>
        <v/>
      </c>
      <c r="C1022" s="1" t="str">
        <f t="shared" si="30"/>
        <v/>
      </c>
      <c r="D1022" s="1" t="str">
        <f>IFERROR(IF(F1022&lt;&gt;"",F1022,VLOOKUP(MAX(C$2:C1022),A$2:F1022,2,FALSE)),"")</f>
        <v>XF</v>
      </c>
      <c r="E1022" s="1" t="str">
        <f t="shared" si="31"/>
        <v/>
      </c>
    </row>
    <row r="1023" spans="1:5" x14ac:dyDescent="0.25">
      <c r="A1023" s="1">
        <v>1022</v>
      </c>
      <c r="B1023" s="1" t="str">
        <f>IFERROR(IF(F1022&lt;&gt;"",F1022,VLOOKUP(MAX(F$2:F1022),A$1:B1022,2,FALSE)),"")</f>
        <v/>
      </c>
      <c r="C1023" s="1" t="str">
        <f t="shared" si="30"/>
        <v/>
      </c>
      <c r="D1023" s="1" t="str">
        <f>IFERROR(IF(F1023&lt;&gt;"",F1023,VLOOKUP(MAX(C$2:C1023),A$2:F1023,2,FALSE)),"")</f>
        <v>XF</v>
      </c>
      <c r="E1023" s="1" t="str">
        <f t="shared" si="31"/>
        <v/>
      </c>
    </row>
    <row r="1024" spans="1:5" x14ac:dyDescent="0.25">
      <c r="A1024" s="1">
        <v>1023</v>
      </c>
      <c r="B1024" s="1" t="str">
        <f>IFERROR(IF(F1023&lt;&gt;"",F1023,VLOOKUP(MAX(F$2:F1023),A$1:B1023,2,FALSE)),"")</f>
        <v/>
      </c>
      <c r="C1024" s="1" t="str">
        <f t="shared" si="30"/>
        <v/>
      </c>
      <c r="D1024" s="1" t="str">
        <f>IFERROR(IF(F1024&lt;&gt;"",F1024,VLOOKUP(MAX(C$2:C1024),A$2:F1024,2,FALSE)),"")</f>
        <v>XF</v>
      </c>
      <c r="E1024" s="1" t="str">
        <f t="shared" si="31"/>
        <v/>
      </c>
    </row>
    <row r="1025" spans="1:5" x14ac:dyDescent="0.25">
      <c r="A1025" s="1">
        <v>1024</v>
      </c>
      <c r="B1025" s="1" t="str">
        <f>IFERROR(IF(F1024&lt;&gt;"",F1024,VLOOKUP(MAX(F$2:F1024),A$1:B1024,2,FALSE)),"")</f>
        <v/>
      </c>
      <c r="C1025" s="1" t="str">
        <f t="shared" si="30"/>
        <v/>
      </c>
      <c r="D1025" s="1" t="str">
        <f>IFERROR(IF(F1025&lt;&gt;"",F1025,VLOOKUP(MAX(C$2:C1025),A$2:F1025,2,FALSE)),"")</f>
        <v>XF</v>
      </c>
      <c r="E1025" s="1" t="str">
        <f t="shared" si="31"/>
        <v/>
      </c>
    </row>
    <row r="1026" spans="1:5" x14ac:dyDescent="0.25">
      <c r="A1026" s="1">
        <v>1025</v>
      </c>
      <c r="B1026" s="1" t="str">
        <f>IFERROR(IF(F1025&lt;&gt;"",F1025,VLOOKUP(MAX(F$2:F1025),A$1:B1025,2,FALSE)),"")</f>
        <v/>
      </c>
      <c r="C1026" s="1" t="str">
        <f t="shared" ref="C1026:C1089" si="32">IF(F1026&lt;&gt;"",A1026,"")</f>
        <v/>
      </c>
      <c r="D1026" s="1" t="str">
        <f>IFERROR(IF(F1026&lt;&gt;"",F1026,VLOOKUP(MAX(C$2:C1026),A$2:F1026,2,FALSE)),"")</f>
        <v>XF</v>
      </c>
      <c r="E1026" s="1" t="str">
        <f t="shared" si="31"/>
        <v/>
      </c>
    </row>
    <row r="1027" spans="1:5" x14ac:dyDescent="0.25">
      <c r="A1027" s="1">
        <v>1026</v>
      </c>
      <c r="B1027" s="1" t="str">
        <f>IFERROR(IF(F1026&lt;&gt;"",F1026,VLOOKUP(MAX(F$2:F1026),A$1:B1026,2,FALSE)),"")</f>
        <v/>
      </c>
      <c r="C1027" s="1" t="str">
        <f t="shared" si="32"/>
        <v/>
      </c>
      <c r="D1027" s="1" t="str">
        <f>IFERROR(IF(F1027&lt;&gt;"",F1027,VLOOKUP(MAX(C$2:C1027),A$2:F1027,2,FALSE)),"")</f>
        <v>XF</v>
      </c>
      <c r="E1027" s="1" t="str">
        <f t="shared" si="31"/>
        <v/>
      </c>
    </row>
    <row r="1028" spans="1:5" x14ac:dyDescent="0.25">
      <c r="A1028" s="1">
        <v>1027</v>
      </c>
      <c r="B1028" s="1" t="str">
        <f>IFERROR(IF(F1027&lt;&gt;"",F1027,VLOOKUP(MAX(F$2:F1027),A$1:B1027,2,FALSE)),"")</f>
        <v/>
      </c>
      <c r="C1028" s="1" t="str">
        <f t="shared" si="32"/>
        <v/>
      </c>
      <c r="D1028" s="1" t="str">
        <f>IFERROR(IF(F1028&lt;&gt;"",F1028,VLOOKUP(MAX(C$2:C1028),A$2:F1028,2,FALSE)),"")</f>
        <v>XF</v>
      </c>
      <c r="E1028" s="1" t="str">
        <f t="shared" ref="E1028:E1091" si="33">IF(H1028&lt;&gt;"",CONCATENATE(D1028,".",H1028),"")</f>
        <v/>
      </c>
    </row>
    <row r="1029" spans="1:5" x14ac:dyDescent="0.25">
      <c r="A1029" s="1">
        <v>1028</v>
      </c>
      <c r="B1029" s="1" t="str">
        <f>IFERROR(IF(F1028&lt;&gt;"",F1028,VLOOKUP(MAX(F$2:F1028),A$1:B1028,2,FALSE)),"")</f>
        <v/>
      </c>
      <c r="C1029" s="1" t="str">
        <f t="shared" si="32"/>
        <v/>
      </c>
      <c r="D1029" s="1" t="str">
        <f>IFERROR(IF(F1029&lt;&gt;"",F1029,VLOOKUP(MAX(C$2:C1029),A$2:F1029,2,FALSE)),"")</f>
        <v>XF</v>
      </c>
      <c r="E1029" s="1" t="str">
        <f t="shared" si="33"/>
        <v/>
      </c>
    </row>
    <row r="1030" spans="1:5" x14ac:dyDescent="0.25">
      <c r="A1030" s="1">
        <v>1029</v>
      </c>
      <c r="B1030" s="1" t="str">
        <f>IFERROR(IF(F1029&lt;&gt;"",F1029,VLOOKUP(MAX(F$2:F1029),A$1:B1029,2,FALSE)),"")</f>
        <v/>
      </c>
      <c r="C1030" s="1" t="str">
        <f t="shared" si="32"/>
        <v/>
      </c>
      <c r="D1030" s="1" t="str">
        <f>IFERROR(IF(F1030&lt;&gt;"",F1030,VLOOKUP(MAX(C$2:C1030),A$2:F1030,2,FALSE)),"")</f>
        <v>XF</v>
      </c>
      <c r="E1030" s="1" t="str">
        <f t="shared" si="33"/>
        <v/>
      </c>
    </row>
    <row r="1031" spans="1:5" x14ac:dyDescent="0.25">
      <c r="A1031" s="1">
        <v>1030</v>
      </c>
      <c r="B1031" s="1" t="str">
        <f>IFERROR(IF(F1030&lt;&gt;"",F1030,VLOOKUP(MAX(F$2:F1030),A$1:B1030,2,FALSE)),"")</f>
        <v/>
      </c>
      <c r="C1031" s="1" t="str">
        <f t="shared" si="32"/>
        <v/>
      </c>
      <c r="D1031" s="1" t="str">
        <f>IFERROR(IF(F1031&lt;&gt;"",F1031,VLOOKUP(MAX(C$2:C1031),A$2:F1031,2,FALSE)),"")</f>
        <v>XF</v>
      </c>
      <c r="E1031" s="1" t="str">
        <f t="shared" si="33"/>
        <v/>
      </c>
    </row>
    <row r="1032" spans="1:5" x14ac:dyDescent="0.25">
      <c r="A1032" s="1">
        <v>1031</v>
      </c>
      <c r="B1032" s="1" t="str">
        <f>IFERROR(IF(F1031&lt;&gt;"",F1031,VLOOKUP(MAX(F$2:F1031),A$1:B1031,2,FALSE)),"")</f>
        <v/>
      </c>
      <c r="C1032" s="1" t="str">
        <f t="shared" si="32"/>
        <v/>
      </c>
      <c r="D1032" s="1" t="str">
        <f>IFERROR(IF(F1032&lt;&gt;"",F1032,VLOOKUP(MAX(C$2:C1032),A$2:F1032,2,FALSE)),"")</f>
        <v>XF</v>
      </c>
      <c r="E1032" s="1" t="str">
        <f t="shared" si="33"/>
        <v/>
      </c>
    </row>
    <row r="1033" spans="1:5" x14ac:dyDescent="0.25">
      <c r="A1033" s="1">
        <v>1032</v>
      </c>
      <c r="B1033" s="1" t="str">
        <f>IFERROR(IF(F1032&lt;&gt;"",F1032,VLOOKUP(MAX(F$2:F1032),A$1:B1032,2,FALSE)),"")</f>
        <v/>
      </c>
      <c r="C1033" s="1" t="str">
        <f t="shared" si="32"/>
        <v/>
      </c>
      <c r="D1033" s="1" t="str">
        <f>IFERROR(IF(F1033&lt;&gt;"",F1033,VLOOKUP(MAX(C$2:C1033),A$2:F1033,2,FALSE)),"")</f>
        <v>XF</v>
      </c>
      <c r="E1033" s="1" t="str">
        <f t="shared" si="33"/>
        <v/>
      </c>
    </row>
    <row r="1034" spans="1:5" x14ac:dyDescent="0.25">
      <c r="A1034" s="1">
        <v>1033</v>
      </c>
      <c r="B1034" s="1" t="str">
        <f>IFERROR(IF(F1033&lt;&gt;"",F1033,VLOOKUP(MAX(F$2:F1033),A$1:B1033,2,FALSE)),"")</f>
        <v/>
      </c>
      <c r="C1034" s="1" t="str">
        <f t="shared" si="32"/>
        <v/>
      </c>
      <c r="D1034" s="1" t="str">
        <f>IFERROR(IF(F1034&lt;&gt;"",F1034,VLOOKUP(MAX(C$2:C1034),A$2:F1034,2,FALSE)),"")</f>
        <v>XF</v>
      </c>
      <c r="E1034" s="1" t="str">
        <f t="shared" si="33"/>
        <v/>
      </c>
    </row>
    <row r="1035" spans="1:5" x14ac:dyDescent="0.25">
      <c r="A1035" s="1">
        <v>1034</v>
      </c>
      <c r="B1035" s="1" t="str">
        <f>IFERROR(IF(F1034&lt;&gt;"",F1034,VLOOKUP(MAX(F$2:F1034),A$1:B1034,2,FALSE)),"")</f>
        <v/>
      </c>
      <c r="C1035" s="1" t="str">
        <f t="shared" si="32"/>
        <v/>
      </c>
      <c r="D1035" s="1" t="str">
        <f>IFERROR(IF(F1035&lt;&gt;"",F1035,VLOOKUP(MAX(C$2:C1035),A$2:F1035,2,FALSE)),"")</f>
        <v>XF</v>
      </c>
      <c r="E1035" s="1" t="str">
        <f t="shared" si="33"/>
        <v/>
      </c>
    </row>
    <row r="1036" spans="1:5" x14ac:dyDescent="0.25">
      <c r="A1036" s="1">
        <v>1035</v>
      </c>
      <c r="B1036" s="1" t="str">
        <f>IFERROR(IF(F1035&lt;&gt;"",F1035,VLOOKUP(MAX(F$2:F1035),A$1:B1035,2,FALSE)),"")</f>
        <v/>
      </c>
      <c r="C1036" s="1" t="str">
        <f t="shared" si="32"/>
        <v/>
      </c>
      <c r="D1036" s="1" t="str">
        <f>IFERROR(IF(F1036&lt;&gt;"",F1036,VLOOKUP(MAX(C$2:C1036),A$2:F1036,2,FALSE)),"")</f>
        <v>XF</v>
      </c>
      <c r="E1036" s="1" t="str">
        <f t="shared" si="33"/>
        <v/>
      </c>
    </row>
    <row r="1037" spans="1:5" x14ac:dyDescent="0.25">
      <c r="A1037" s="1">
        <v>1036</v>
      </c>
      <c r="B1037" s="1" t="str">
        <f>IFERROR(IF(F1036&lt;&gt;"",F1036,VLOOKUP(MAX(F$2:F1036),A$1:B1036,2,FALSE)),"")</f>
        <v/>
      </c>
      <c r="C1037" s="1" t="str">
        <f t="shared" si="32"/>
        <v/>
      </c>
      <c r="D1037" s="1" t="str">
        <f>IFERROR(IF(F1037&lt;&gt;"",F1037,VLOOKUP(MAX(C$2:C1037),A$2:F1037,2,FALSE)),"")</f>
        <v>XF</v>
      </c>
      <c r="E1037" s="1" t="str">
        <f t="shared" si="33"/>
        <v/>
      </c>
    </row>
    <row r="1038" spans="1:5" x14ac:dyDescent="0.25">
      <c r="A1038" s="1">
        <v>1037</v>
      </c>
      <c r="B1038" s="1" t="str">
        <f>IFERROR(IF(F1037&lt;&gt;"",F1037,VLOOKUP(MAX(F$2:F1037),A$1:B1037,2,FALSE)),"")</f>
        <v/>
      </c>
      <c r="C1038" s="1" t="str">
        <f t="shared" si="32"/>
        <v/>
      </c>
      <c r="D1038" s="1" t="str">
        <f>IFERROR(IF(F1038&lt;&gt;"",F1038,VLOOKUP(MAX(C$2:C1038),A$2:F1038,2,FALSE)),"")</f>
        <v>XF</v>
      </c>
      <c r="E1038" s="1" t="str">
        <f t="shared" si="33"/>
        <v/>
      </c>
    </row>
    <row r="1039" spans="1:5" x14ac:dyDescent="0.25">
      <c r="A1039" s="1">
        <v>1038</v>
      </c>
      <c r="B1039" s="1" t="str">
        <f>IFERROR(IF(F1038&lt;&gt;"",F1038,VLOOKUP(MAX(F$2:F1038),A$1:B1038,2,FALSE)),"")</f>
        <v/>
      </c>
      <c r="C1039" s="1" t="str">
        <f t="shared" si="32"/>
        <v/>
      </c>
      <c r="D1039" s="1" t="str">
        <f>IFERROR(IF(F1039&lt;&gt;"",F1039,VLOOKUP(MAX(C$2:C1039),A$2:F1039,2,FALSE)),"")</f>
        <v>XF</v>
      </c>
      <c r="E1039" s="1" t="str">
        <f t="shared" si="33"/>
        <v/>
      </c>
    </row>
    <row r="1040" spans="1:5" x14ac:dyDescent="0.25">
      <c r="A1040" s="1">
        <v>1039</v>
      </c>
      <c r="B1040" s="1" t="str">
        <f>IFERROR(IF(F1039&lt;&gt;"",F1039,VLOOKUP(MAX(F$2:F1039),A$1:B1039,2,FALSE)),"")</f>
        <v/>
      </c>
      <c r="C1040" s="1" t="str">
        <f t="shared" si="32"/>
        <v/>
      </c>
      <c r="D1040" s="1" t="str">
        <f>IFERROR(IF(F1040&lt;&gt;"",F1040,VLOOKUP(MAX(C$2:C1040),A$2:F1040,2,FALSE)),"")</f>
        <v>XF</v>
      </c>
      <c r="E1040" s="1" t="str">
        <f t="shared" si="33"/>
        <v/>
      </c>
    </row>
    <row r="1041" spans="1:5" x14ac:dyDescent="0.25">
      <c r="A1041" s="1">
        <v>1040</v>
      </c>
      <c r="B1041" s="1" t="str">
        <f>IFERROR(IF(F1040&lt;&gt;"",F1040,VLOOKUP(MAX(F$2:F1040),A$1:B1040,2,FALSE)),"")</f>
        <v/>
      </c>
      <c r="C1041" s="1" t="str">
        <f t="shared" si="32"/>
        <v/>
      </c>
      <c r="D1041" s="1" t="str">
        <f>IFERROR(IF(F1041&lt;&gt;"",F1041,VLOOKUP(MAX(C$2:C1041),A$2:F1041,2,FALSE)),"")</f>
        <v>XF</v>
      </c>
      <c r="E1041" s="1" t="str">
        <f t="shared" si="33"/>
        <v/>
      </c>
    </row>
    <row r="1042" spans="1:5" x14ac:dyDescent="0.25">
      <c r="A1042" s="1">
        <v>1041</v>
      </c>
      <c r="B1042" s="1" t="str">
        <f>IFERROR(IF(F1041&lt;&gt;"",F1041,VLOOKUP(MAX(F$2:F1041),A$1:B1041,2,FALSE)),"")</f>
        <v/>
      </c>
      <c r="C1042" s="1" t="str">
        <f t="shared" si="32"/>
        <v/>
      </c>
      <c r="D1042" s="1" t="str">
        <f>IFERROR(IF(F1042&lt;&gt;"",F1042,VLOOKUP(MAX(C$2:C1042),A$2:F1042,2,FALSE)),"")</f>
        <v>XF</v>
      </c>
      <c r="E1042" s="1" t="str">
        <f t="shared" si="33"/>
        <v/>
      </c>
    </row>
    <row r="1043" spans="1:5" x14ac:dyDescent="0.25">
      <c r="A1043" s="1">
        <v>1042</v>
      </c>
      <c r="B1043" s="1" t="str">
        <f>IFERROR(IF(F1042&lt;&gt;"",F1042,VLOOKUP(MAX(F$2:F1042),A$1:B1042,2,FALSE)),"")</f>
        <v/>
      </c>
      <c r="C1043" s="1" t="str">
        <f t="shared" si="32"/>
        <v/>
      </c>
      <c r="D1043" s="1" t="str">
        <f>IFERROR(IF(F1043&lt;&gt;"",F1043,VLOOKUP(MAX(C$2:C1043),A$2:F1043,2,FALSE)),"")</f>
        <v>XF</v>
      </c>
      <c r="E1043" s="1" t="str">
        <f t="shared" si="33"/>
        <v/>
      </c>
    </row>
    <row r="1044" spans="1:5" x14ac:dyDescent="0.25">
      <c r="A1044" s="1">
        <v>1043</v>
      </c>
      <c r="B1044" s="1" t="str">
        <f>IFERROR(IF(F1043&lt;&gt;"",F1043,VLOOKUP(MAX(F$2:F1043),A$1:B1043,2,FALSE)),"")</f>
        <v/>
      </c>
      <c r="C1044" s="1" t="str">
        <f t="shared" si="32"/>
        <v/>
      </c>
      <c r="D1044" s="1" t="str">
        <f>IFERROR(IF(F1044&lt;&gt;"",F1044,VLOOKUP(MAX(C$2:C1044),A$2:F1044,2,FALSE)),"")</f>
        <v>XF</v>
      </c>
      <c r="E1044" s="1" t="str">
        <f t="shared" si="33"/>
        <v/>
      </c>
    </row>
    <row r="1045" spans="1:5" x14ac:dyDescent="0.25">
      <c r="A1045" s="1">
        <v>1044</v>
      </c>
      <c r="B1045" s="1" t="str">
        <f>IFERROR(IF(F1044&lt;&gt;"",F1044,VLOOKUP(MAX(F$2:F1044),A$1:B1044,2,FALSE)),"")</f>
        <v/>
      </c>
      <c r="C1045" s="1" t="str">
        <f t="shared" si="32"/>
        <v/>
      </c>
      <c r="D1045" s="1" t="str">
        <f>IFERROR(IF(F1045&lt;&gt;"",F1045,VLOOKUP(MAX(C$2:C1045),A$2:F1045,2,FALSE)),"")</f>
        <v>XF</v>
      </c>
      <c r="E1045" s="1" t="str">
        <f t="shared" si="33"/>
        <v/>
      </c>
    </row>
    <row r="1046" spans="1:5" x14ac:dyDescent="0.25">
      <c r="A1046" s="1">
        <v>1045</v>
      </c>
      <c r="B1046" s="1" t="str">
        <f>IFERROR(IF(F1045&lt;&gt;"",F1045,VLOOKUP(MAX(F$2:F1045),A$1:B1045,2,FALSE)),"")</f>
        <v/>
      </c>
      <c r="C1046" s="1" t="str">
        <f t="shared" si="32"/>
        <v/>
      </c>
      <c r="D1046" s="1" t="str">
        <f>IFERROR(IF(F1046&lt;&gt;"",F1046,VLOOKUP(MAX(C$2:C1046),A$2:F1046,2,FALSE)),"")</f>
        <v>XF</v>
      </c>
      <c r="E1046" s="1" t="str">
        <f t="shared" si="33"/>
        <v/>
      </c>
    </row>
    <row r="1047" spans="1:5" x14ac:dyDescent="0.25">
      <c r="A1047" s="1">
        <v>1046</v>
      </c>
      <c r="B1047" s="1" t="str">
        <f>IFERROR(IF(F1046&lt;&gt;"",F1046,VLOOKUP(MAX(F$2:F1046),A$1:B1046,2,FALSE)),"")</f>
        <v/>
      </c>
      <c r="C1047" s="1" t="str">
        <f t="shared" si="32"/>
        <v/>
      </c>
      <c r="D1047" s="1" t="str">
        <f>IFERROR(IF(F1047&lt;&gt;"",F1047,VLOOKUP(MAX(C$2:C1047),A$2:F1047,2,FALSE)),"")</f>
        <v>XF</v>
      </c>
      <c r="E1047" s="1" t="str">
        <f t="shared" si="33"/>
        <v/>
      </c>
    </row>
    <row r="1048" spans="1:5" x14ac:dyDescent="0.25">
      <c r="A1048" s="1">
        <v>1047</v>
      </c>
      <c r="B1048" s="1" t="str">
        <f>IFERROR(IF(F1047&lt;&gt;"",F1047,VLOOKUP(MAX(F$2:F1047),A$1:B1047,2,FALSE)),"")</f>
        <v/>
      </c>
      <c r="C1048" s="1" t="str">
        <f t="shared" si="32"/>
        <v/>
      </c>
      <c r="D1048" s="1" t="str">
        <f>IFERROR(IF(F1048&lt;&gt;"",F1048,VLOOKUP(MAX(C$2:C1048),A$2:F1048,2,FALSE)),"")</f>
        <v>XF</v>
      </c>
      <c r="E1048" s="1" t="str">
        <f t="shared" si="33"/>
        <v/>
      </c>
    </row>
    <row r="1049" spans="1:5" x14ac:dyDescent="0.25">
      <c r="A1049" s="1">
        <v>1048</v>
      </c>
      <c r="B1049" s="1" t="str">
        <f>IFERROR(IF(F1048&lt;&gt;"",F1048,VLOOKUP(MAX(F$2:F1048),A$1:B1048,2,FALSE)),"")</f>
        <v/>
      </c>
      <c r="C1049" s="1" t="str">
        <f t="shared" si="32"/>
        <v/>
      </c>
      <c r="D1049" s="1" t="str">
        <f>IFERROR(IF(F1049&lt;&gt;"",F1049,VLOOKUP(MAX(C$2:C1049),A$2:F1049,2,FALSE)),"")</f>
        <v>XF</v>
      </c>
      <c r="E1049" s="1" t="str">
        <f t="shared" si="33"/>
        <v/>
      </c>
    </row>
    <row r="1050" spans="1:5" x14ac:dyDescent="0.25">
      <c r="A1050" s="1">
        <v>1049</v>
      </c>
      <c r="B1050" s="1" t="str">
        <f>IFERROR(IF(F1049&lt;&gt;"",F1049,VLOOKUP(MAX(F$2:F1049),A$1:B1049,2,FALSE)),"")</f>
        <v/>
      </c>
      <c r="C1050" s="1" t="str">
        <f t="shared" si="32"/>
        <v/>
      </c>
      <c r="D1050" s="1" t="str">
        <f>IFERROR(IF(F1050&lt;&gt;"",F1050,VLOOKUP(MAX(C$2:C1050),A$2:F1050,2,FALSE)),"")</f>
        <v>XF</v>
      </c>
      <c r="E1050" s="1" t="str">
        <f t="shared" si="33"/>
        <v/>
      </c>
    </row>
    <row r="1051" spans="1:5" x14ac:dyDescent="0.25">
      <c r="A1051" s="1">
        <v>1050</v>
      </c>
      <c r="B1051" s="1" t="str">
        <f>IFERROR(IF(F1050&lt;&gt;"",F1050,VLOOKUP(MAX(F$2:F1050),A$1:B1050,2,FALSE)),"")</f>
        <v/>
      </c>
      <c r="C1051" s="1" t="str">
        <f t="shared" si="32"/>
        <v/>
      </c>
      <c r="D1051" s="1" t="str">
        <f>IFERROR(IF(F1051&lt;&gt;"",F1051,VLOOKUP(MAX(C$2:C1051),A$2:F1051,2,FALSE)),"")</f>
        <v>XF</v>
      </c>
      <c r="E1051" s="1" t="str">
        <f t="shared" si="33"/>
        <v/>
      </c>
    </row>
    <row r="1052" spans="1:5" x14ac:dyDescent="0.25">
      <c r="A1052" s="1">
        <v>1051</v>
      </c>
      <c r="B1052" s="1" t="str">
        <f>IFERROR(IF(F1051&lt;&gt;"",F1051,VLOOKUP(MAX(F$2:F1051),A$1:B1051,2,FALSE)),"")</f>
        <v/>
      </c>
      <c r="C1052" s="1" t="str">
        <f t="shared" si="32"/>
        <v/>
      </c>
      <c r="D1052" s="1" t="str">
        <f>IFERROR(IF(F1052&lt;&gt;"",F1052,VLOOKUP(MAX(C$2:C1052),A$2:F1052,2,FALSE)),"")</f>
        <v>XF</v>
      </c>
      <c r="E1052" s="1" t="str">
        <f t="shared" si="33"/>
        <v/>
      </c>
    </row>
    <row r="1053" spans="1:5" x14ac:dyDescent="0.25">
      <c r="A1053" s="1">
        <v>1052</v>
      </c>
      <c r="B1053" s="1" t="str">
        <f>IFERROR(IF(F1052&lt;&gt;"",F1052,VLOOKUP(MAX(F$2:F1052),A$1:B1052,2,FALSE)),"")</f>
        <v/>
      </c>
      <c r="C1053" s="1" t="str">
        <f t="shared" si="32"/>
        <v/>
      </c>
      <c r="D1053" s="1" t="str">
        <f>IFERROR(IF(F1053&lt;&gt;"",F1053,VLOOKUP(MAX(C$2:C1053),A$2:F1053,2,FALSE)),"")</f>
        <v>XF</v>
      </c>
      <c r="E1053" s="1" t="str">
        <f t="shared" si="33"/>
        <v/>
      </c>
    </row>
    <row r="1054" spans="1:5" x14ac:dyDescent="0.25">
      <c r="A1054" s="1">
        <v>1053</v>
      </c>
      <c r="B1054" s="1" t="str">
        <f>IFERROR(IF(F1053&lt;&gt;"",F1053,VLOOKUP(MAX(F$2:F1053),A$1:B1053,2,FALSE)),"")</f>
        <v/>
      </c>
      <c r="C1054" s="1" t="str">
        <f t="shared" si="32"/>
        <v/>
      </c>
      <c r="D1054" s="1" t="str">
        <f>IFERROR(IF(F1054&lt;&gt;"",F1054,VLOOKUP(MAX(C$2:C1054),A$2:F1054,2,FALSE)),"")</f>
        <v>XF</v>
      </c>
      <c r="E1054" s="1" t="str">
        <f t="shared" si="33"/>
        <v/>
      </c>
    </row>
    <row r="1055" spans="1:5" x14ac:dyDescent="0.25">
      <c r="A1055" s="1">
        <v>1054</v>
      </c>
      <c r="B1055" s="1" t="str">
        <f>IFERROR(IF(F1054&lt;&gt;"",F1054,VLOOKUP(MAX(F$2:F1054),A$1:B1054,2,FALSE)),"")</f>
        <v/>
      </c>
      <c r="C1055" s="1" t="str">
        <f t="shared" si="32"/>
        <v/>
      </c>
      <c r="D1055" s="1" t="str">
        <f>IFERROR(IF(F1055&lt;&gt;"",F1055,VLOOKUP(MAX(C$2:C1055),A$2:F1055,2,FALSE)),"")</f>
        <v>XF</v>
      </c>
      <c r="E1055" s="1" t="str">
        <f t="shared" si="33"/>
        <v/>
      </c>
    </row>
    <row r="1056" spans="1:5" x14ac:dyDescent="0.25">
      <c r="A1056" s="1">
        <v>1055</v>
      </c>
      <c r="B1056" s="1" t="str">
        <f>IFERROR(IF(F1055&lt;&gt;"",F1055,VLOOKUP(MAX(F$2:F1055),A$1:B1055,2,FALSE)),"")</f>
        <v/>
      </c>
      <c r="C1056" s="1" t="str">
        <f t="shared" si="32"/>
        <v/>
      </c>
      <c r="D1056" s="1" t="str">
        <f>IFERROR(IF(F1056&lt;&gt;"",F1056,VLOOKUP(MAX(C$2:C1056),A$2:F1056,2,FALSE)),"")</f>
        <v>XF</v>
      </c>
      <c r="E1056" s="1" t="str">
        <f t="shared" si="33"/>
        <v/>
      </c>
    </row>
    <row r="1057" spans="1:5" x14ac:dyDescent="0.25">
      <c r="A1057" s="1">
        <v>1056</v>
      </c>
      <c r="B1057" s="1" t="str">
        <f>IFERROR(IF(F1056&lt;&gt;"",F1056,VLOOKUP(MAX(F$2:F1056),A$1:B1056,2,FALSE)),"")</f>
        <v/>
      </c>
      <c r="C1057" s="1" t="str">
        <f t="shared" si="32"/>
        <v/>
      </c>
      <c r="D1057" s="1" t="str">
        <f>IFERROR(IF(F1057&lt;&gt;"",F1057,VLOOKUP(MAX(C$2:C1057),A$2:F1057,2,FALSE)),"")</f>
        <v>XF</v>
      </c>
      <c r="E1057" s="1" t="str">
        <f t="shared" si="33"/>
        <v/>
      </c>
    </row>
    <row r="1058" spans="1:5" x14ac:dyDescent="0.25">
      <c r="A1058" s="1">
        <v>1057</v>
      </c>
      <c r="B1058" s="1" t="str">
        <f>IFERROR(IF(F1057&lt;&gt;"",F1057,VLOOKUP(MAX(F$2:F1057),A$1:B1057,2,FALSE)),"")</f>
        <v/>
      </c>
      <c r="C1058" s="1" t="str">
        <f t="shared" si="32"/>
        <v/>
      </c>
      <c r="D1058" s="1" t="str">
        <f>IFERROR(IF(F1058&lt;&gt;"",F1058,VLOOKUP(MAX(C$2:C1058),A$2:F1058,2,FALSE)),"")</f>
        <v>XF</v>
      </c>
      <c r="E1058" s="1" t="str">
        <f t="shared" si="33"/>
        <v/>
      </c>
    </row>
    <row r="1059" spans="1:5" x14ac:dyDescent="0.25">
      <c r="A1059" s="1">
        <v>1058</v>
      </c>
      <c r="B1059" s="1" t="str">
        <f>IFERROR(IF(F1058&lt;&gt;"",F1058,VLOOKUP(MAX(F$2:F1058),A$1:B1058,2,FALSE)),"")</f>
        <v/>
      </c>
      <c r="C1059" s="1" t="str">
        <f t="shared" si="32"/>
        <v/>
      </c>
      <c r="D1059" s="1" t="str">
        <f>IFERROR(IF(F1059&lt;&gt;"",F1059,VLOOKUP(MAX(C$2:C1059),A$2:F1059,2,FALSE)),"")</f>
        <v>XF</v>
      </c>
      <c r="E1059" s="1" t="str">
        <f t="shared" si="33"/>
        <v/>
      </c>
    </row>
    <row r="1060" spans="1:5" x14ac:dyDescent="0.25">
      <c r="A1060" s="1">
        <v>1059</v>
      </c>
      <c r="B1060" s="1" t="str">
        <f>IFERROR(IF(F1059&lt;&gt;"",F1059,VLOOKUP(MAX(F$2:F1059),A$1:B1059,2,FALSE)),"")</f>
        <v/>
      </c>
      <c r="C1060" s="1" t="str">
        <f t="shared" si="32"/>
        <v/>
      </c>
      <c r="D1060" s="1" t="str">
        <f>IFERROR(IF(F1060&lt;&gt;"",F1060,VLOOKUP(MAX(C$2:C1060),A$2:F1060,2,FALSE)),"")</f>
        <v>XF</v>
      </c>
      <c r="E1060" s="1" t="str">
        <f t="shared" si="33"/>
        <v/>
      </c>
    </row>
    <row r="1061" spans="1:5" x14ac:dyDescent="0.25">
      <c r="A1061" s="1">
        <v>1060</v>
      </c>
      <c r="B1061" s="1" t="str">
        <f>IFERROR(IF(F1060&lt;&gt;"",F1060,VLOOKUP(MAX(F$2:F1060),A$1:B1060,2,FALSE)),"")</f>
        <v/>
      </c>
      <c r="C1061" s="1" t="str">
        <f t="shared" si="32"/>
        <v/>
      </c>
      <c r="D1061" s="1" t="str">
        <f>IFERROR(IF(F1061&lt;&gt;"",F1061,VLOOKUP(MAX(C$2:C1061),A$2:F1061,2,FALSE)),"")</f>
        <v>XF</v>
      </c>
      <c r="E1061" s="1" t="str">
        <f t="shared" si="33"/>
        <v/>
      </c>
    </row>
    <row r="1062" spans="1:5" x14ac:dyDescent="0.25">
      <c r="A1062" s="1">
        <v>1061</v>
      </c>
      <c r="B1062" s="1" t="str">
        <f>IFERROR(IF(F1061&lt;&gt;"",F1061,VLOOKUP(MAX(F$2:F1061),A$1:B1061,2,FALSE)),"")</f>
        <v/>
      </c>
      <c r="C1062" s="1" t="str">
        <f t="shared" si="32"/>
        <v/>
      </c>
      <c r="D1062" s="1" t="str">
        <f>IFERROR(IF(F1062&lt;&gt;"",F1062,VLOOKUP(MAX(C$2:C1062),A$2:F1062,2,FALSE)),"")</f>
        <v>XF</v>
      </c>
      <c r="E1062" s="1" t="str">
        <f t="shared" si="33"/>
        <v/>
      </c>
    </row>
    <row r="1063" spans="1:5" x14ac:dyDescent="0.25">
      <c r="A1063" s="1">
        <v>1062</v>
      </c>
      <c r="B1063" s="1" t="str">
        <f>IFERROR(IF(F1062&lt;&gt;"",F1062,VLOOKUP(MAX(F$2:F1062),A$1:B1062,2,FALSE)),"")</f>
        <v/>
      </c>
      <c r="C1063" s="1" t="str">
        <f t="shared" si="32"/>
        <v/>
      </c>
      <c r="D1063" s="1" t="str">
        <f>IFERROR(IF(F1063&lt;&gt;"",F1063,VLOOKUP(MAX(C$2:C1063),A$2:F1063,2,FALSE)),"")</f>
        <v>XF</v>
      </c>
      <c r="E1063" s="1" t="str">
        <f t="shared" si="33"/>
        <v/>
      </c>
    </row>
    <row r="1064" spans="1:5" x14ac:dyDescent="0.25">
      <c r="A1064" s="1">
        <v>1063</v>
      </c>
      <c r="B1064" s="1" t="str">
        <f>IFERROR(IF(F1063&lt;&gt;"",F1063,VLOOKUP(MAX(F$2:F1063),A$1:B1063,2,FALSE)),"")</f>
        <v/>
      </c>
      <c r="C1064" s="1" t="str">
        <f t="shared" si="32"/>
        <v/>
      </c>
      <c r="D1064" s="1" t="str">
        <f>IFERROR(IF(F1064&lt;&gt;"",F1064,VLOOKUP(MAX(C$2:C1064),A$2:F1064,2,FALSE)),"")</f>
        <v>XF</v>
      </c>
      <c r="E1064" s="1" t="str">
        <f t="shared" si="33"/>
        <v/>
      </c>
    </row>
    <row r="1065" spans="1:5" x14ac:dyDescent="0.25">
      <c r="A1065" s="1">
        <v>1064</v>
      </c>
      <c r="B1065" s="1" t="str">
        <f>IFERROR(IF(F1064&lt;&gt;"",F1064,VLOOKUP(MAX(F$2:F1064),A$1:B1064,2,FALSE)),"")</f>
        <v/>
      </c>
      <c r="C1065" s="1" t="str">
        <f t="shared" si="32"/>
        <v/>
      </c>
      <c r="D1065" s="1" t="str">
        <f>IFERROR(IF(F1065&lt;&gt;"",F1065,VLOOKUP(MAX(C$2:C1065),A$2:F1065,2,FALSE)),"")</f>
        <v>XF</v>
      </c>
      <c r="E1065" s="1" t="str">
        <f t="shared" si="33"/>
        <v/>
      </c>
    </row>
    <row r="1066" spans="1:5" x14ac:dyDescent="0.25">
      <c r="A1066" s="1">
        <v>1065</v>
      </c>
      <c r="B1066" s="1" t="str">
        <f>IFERROR(IF(F1065&lt;&gt;"",F1065,VLOOKUP(MAX(F$2:F1065),A$1:B1065,2,FALSE)),"")</f>
        <v/>
      </c>
      <c r="C1066" s="1" t="str">
        <f t="shared" si="32"/>
        <v/>
      </c>
      <c r="D1066" s="1" t="str">
        <f>IFERROR(IF(F1066&lt;&gt;"",F1066,VLOOKUP(MAX(C$2:C1066),A$2:F1066,2,FALSE)),"")</f>
        <v>XF</v>
      </c>
      <c r="E1066" s="1" t="str">
        <f t="shared" si="33"/>
        <v/>
      </c>
    </row>
    <row r="1067" spans="1:5" x14ac:dyDescent="0.25">
      <c r="A1067" s="1">
        <v>1066</v>
      </c>
      <c r="B1067" s="1" t="str">
        <f>IFERROR(IF(F1066&lt;&gt;"",F1066,VLOOKUP(MAX(F$2:F1066),A$1:B1066,2,FALSE)),"")</f>
        <v/>
      </c>
      <c r="C1067" s="1" t="str">
        <f t="shared" si="32"/>
        <v/>
      </c>
      <c r="D1067" s="1" t="str">
        <f>IFERROR(IF(F1067&lt;&gt;"",F1067,VLOOKUP(MAX(C$2:C1067),A$2:F1067,2,FALSE)),"")</f>
        <v>XF</v>
      </c>
      <c r="E1067" s="1" t="str">
        <f t="shared" si="33"/>
        <v/>
      </c>
    </row>
    <row r="1068" spans="1:5" x14ac:dyDescent="0.25">
      <c r="A1068" s="1">
        <v>1067</v>
      </c>
      <c r="B1068" s="1" t="str">
        <f>IFERROR(IF(F1067&lt;&gt;"",F1067,VLOOKUP(MAX(F$2:F1067),A$1:B1067,2,FALSE)),"")</f>
        <v/>
      </c>
      <c r="C1068" s="1" t="str">
        <f t="shared" si="32"/>
        <v/>
      </c>
      <c r="D1068" s="1" t="str">
        <f>IFERROR(IF(F1068&lt;&gt;"",F1068,VLOOKUP(MAX(C$2:C1068),A$2:F1068,2,FALSE)),"")</f>
        <v>XF</v>
      </c>
      <c r="E1068" s="1" t="str">
        <f t="shared" si="33"/>
        <v/>
      </c>
    </row>
    <row r="1069" spans="1:5" x14ac:dyDescent="0.25">
      <c r="A1069" s="1">
        <v>1068</v>
      </c>
      <c r="B1069" s="1" t="str">
        <f>IFERROR(IF(F1068&lt;&gt;"",F1068,VLOOKUP(MAX(F$2:F1068),A$1:B1068,2,FALSE)),"")</f>
        <v/>
      </c>
      <c r="C1069" s="1" t="str">
        <f t="shared" si="32"/>
        <v/>
      </c>
      <c r="D1069" s="1" t="str">
        <f>IFERROR(IF(F1069&lt;&gt;"",F1069,VLOOKUP(MAX(C$2:C1069),A$2:F1069,2,FALSE)),"")</f>
        <v>XF</v>
      </c>
      <c r="E1069" s="1" t="str">
        <f t="shared" si="33"/>
        <v/>
      </c>
    </row>
    <row r="1070" spans="1:5" x14ac:dyDescent="0.25">
      <c r="A1070" s="1">
        <v>1069</v>
      </c>
      <c r="B1070" s="1" t="str">
        <f>IFERROR(IF(F1069&lt;&gt;"",F1069,VLOOKUP(MAX(F$2:F1069),A$1:B1069,2,FALSE)),"")</f>
        <v/>
      </c>
      <c r="C1070" s="1" t="str">
        <f t="shared" si="32"/>
        <v/>
      </c>
      <c r="D1070" s="1" t="str">
        <f>IFERROR(IF(F1070&lt;&gt;"",F1070,VLOOKUP(MAX(C$2:C1070),A$2:F1070,2,FALSE)),"")</f>
        <v>XF</v>
      </c>
      <c r="E1070" s="1" t="str">
        <f t="shared" si="33"/>
        <v/>
      </c>
    </row>
    <row r="1071" spans="1:5" x14ac:dyDescent="0.25">
      <c r="A1071" s="1">
        <v>1070</v>
      </c>
      <c r="B1071" s="1" t="str">
        <f>IFERROR(IF(F1070&lt;&gt;"",F1070,VLOOKUP(MAX(F$2:F1070),A$1:B1070,2,FALSE)),"")</f>
        <v/>
      </c>
      <c r="C1071" s="1" t="str">
        <f t="shared" si="32"/>
        <v/>
      </c>
      <c r="D1071" s="1" t="str">
        <f>IFERROR(IF(F1071&lt;&gt;"",F1071,VLOOKUP(MAX(C$2:C1071),A$2:F1071,2,FALSE)),"")</f>
        <v>XF</v>
      </c>
      <c r="E1071" s="1" t="str">
        <f t="shared" si="33"/>
        <v/>
      </c>
    </row>
    <row r="1072" spans="1:5" x14ac:dyDescent="0.25">
      <c r="A1072" s="1">
        <v>1071</v>
      </c>
      <c r="B1072" s="1" t="str">
        <f>IFERROR(IF(F1071&lt;&gt;"",F1071,VLOOKUP(MAX(F$2:F1071),A$1:B1071,2,FALSE)),"")</f>
        <v/>
      </c>
      <c r="C1072" s="1" t="str">
        <f t="shared" si="32"/>
        <v/>
      </c>
      <c r="D1072" s="1" t="str">
        <f>IFERROR(IF(F1072&lt;&gt;"",F1072,VLOOKUP(MAX(C$2:C1072),A$2:F1072,2,FALSE)),"")</f>
        <v>XF</v>
      </c>
      <c r="E1072" s="1" t="str">
        <f t="shared" si="33"/>
        <v/>
      </c>
    </row>
    <row r="1073" spans="1:5" x14ac:dyDescent="0.25">
      <c r="A1073" s="1">
        <v>1072</v>
      </c>
      <c r="B1073" s="1" t="str">
        <f>IFERROR(IF(F1072&lt;&gt;"",F1072,VLOOKUP(MAX(F$2:F1072),A$1:B1072,2,FALSE)),"")</f>
        <v/>
      </c>
      <c r="C1073" s="1" t="str">
        <f t="shared" si="32"/>
        <v/>
      </c>
      <c r="D1073" s="1" t="str">
        <f>IFERROR(IF(F1073&lt;&gt;"",F1073,VLOOKUP(MAX(C$2:C1073),A$2:F1073,2,FALSE)),"")</f>
        <v>XF</v>
      </c>
      <c r="E1073" s="1" t="str">
        <f t="shared" si="33"/>
        <v/>
      </c>
    </row>
    <row r="1074" spans="1:5" x14ac:dyDescent="0.25">
      <c r="A1074" s="1">
        <v>1073</v>
      </c>
      <c r="B1074" s="1" t="str">
        <f>IFERROR(IF(F1073&lt;&gt;"",F1073,VLOOKUP(MAX(F$2:F1073),A$1:B1073,2,FALSE)),"")</f>
        <v/>
      </c>
      <c r="C1074" s="1" t="str">
        <f t="shared" si="32"/>
        <v/>
      </c>
      <c r="D1074" s="1" t="str">
        <f>IFERROR(IF(F1074&lt;&gt;"",F1074,VLOOKUP(MAX(C$2:C1074),A$2:F1074,2,FALSE)),"")</f>
        <v>XF</v>
      </c>
      <c r="E1074" s="1" t="str">
        <f t="shared" si="33"/>
        <v/>
      </c>
    </row>
    <row r="1075" spans="1:5" x14ac:dyDescent="0.25">
      <c r="A1075" s="1">
        <v>1074</v>
      </c>
      <c r="B1075" s="1" t="str">
        <f>IFERROR(IF(F1074&lt;&gt;"",F1074,VLOOKUP(MAX(F$2:F1074),A$1:B1074,2,FALSE)),"")</f>
        <v/>
      </c>
      <c r="C1075" s="1" t="str">
        <f t="shared" si="32"/>
        <v/>
      </c>
      <c r="D1075" s="1" t="str">
        <f>IFERROR(IF(F1075&lt;&gt;"",F1075,VLOOKUP(MAX(C$2:C1075),A$2:F1075,2,FALSE)),"")</f>
        <v>XF</v>
      </c>
      <c r="E1075" s="1" t="str">
        <f t="shared" si="33"/>
        <v/>
      </c>
    </row>
    <row r="1076" spans="1:5" x14ac:dyDescent="0.25">
      <c r="A1076" s="1">
        <v>1075</v>
      </c>
      <c r="B1076" s="1" t="str">
        <f>IFERROR(IF(F1075&lt;&gt;"",F1075,VLOOKUP(MAX(F$2:F1075),A$1:B1075,2,FALSE)),"")</f>
        <v/>
      </c>
      <c r="C1076" s="1" t="str">
        <f t="shared" si="32"/>
        <v/>
      </c>
      <c r="D1076" s="1" t="str">
        <f>IFERROR(IF(F1076&lt;&gt;"",F1076,VLOOKUP(MAX(C$2:C1076),A$2:F1076,2,FALSE)),"")</f>
        <v>XF</v>
      </c>
      <c r="E1076" s="1" t="str">
        <f t="shared" si="33"/>
        <v/>
      </c>
    </row>
    <row r="1077" spans="1:5" x14ac:dyDescent="0.25">
      <c r="A1077" s="1">
        <v>1076</v>
      </c>
      <c r="B1077" s="1" t="str">
        <f>IFERROR(IF(F1076&lt;&gt;"",F1076,VLOOKUP(MAX(F$2:F1076),A$1:B1076,2,FALSE)),"")</f>
        <v/>
      </c>
      <c r="C1077" s="1" t="str">
        <f t="shared" si="32"/>
        <v/>
      </c>
      <c r="D1077" s="1" t="str">
        <f>IFERROR(IF(F1077&lt;&gt;"",F1077,VLOOKUP(MAX(C$2:C1077),A$2:F1077,2,FALSE)),"")</f>
        <v>XF</v>
      </c>
      <c r="E1077" s="1" t="str">
        <f t="shared" si="33"/>
        <v/>
      </c>
    </row>
    <row r="1078" spans="1:5" x14ac:dyDescent="0.25">
      <c r="A1078" s="1">
        <v>1077</v>
      </c>
      <c r="B1078" s="1" t="str">
        <f>IFERROR(IF(F1077&lt;&gt;"",F1077,VLOOKUP(MAX(F$2:F1077),A$1:B1077,2,FALSE)),"")</f>
        <v/>
      </c>
      <c r="C1078" s="1" t="str">
        <f t="shared" si="32"/>
        <v/>
      </c>
      <c r="D1078" s="1" t="str">
        <f>IFERROR(IF(F1078&lt;&gt;"",F1078,VLOOKUP(MAX(C$2:C1078),A$2:F1078,2,FALSE)),"")</f>
        <v>XF</v>
      </c>
      <c r="E1078" s="1" t="str">
        <f t="shared" si="33"/>
        <v/>
      </c>
    </row>
    <row r="1079" spans="1:5" x14ac:dyDescent="0.25">
      <c r="A1079" s="1">
        <v>1078</v>
      </c>
      <c r="B1079" s="1" t="str">
        <f>IFERROR(IF(F1078&lt;&gt;"",F1078,VLOOKUP(MAX(F$2:F1078),A$1:B1078,2,FALSE)),"")</f>
        <v/>
      </c>
      <c r="C1079" s="1" t="str">
        <f t="shared" si="32"/>
        <v/>
      </c>
      <c r="D1079" s="1" t="str">
        <f>IFERROR(IF(F1079&lt;&gt;"",F1079,VLOOKUP(MAX(C$2:C1079),A$2:F1079,2,FALSE)),"")</f>
        <v>XF</v>
      </c>
      <c r="E1079" s="1" t="str">
        <f t="shared" si="33"/>
        <v/>
      </c>
    </row>
    <row r="1080" spans="1:5" x14ac:dyDescent="0.25">
      <c r="A1080" s="1">
        <v>1079</v>
      </c>
      <c r="B1080" s="1" t="str">
        <f>IFERROR(IF(F1079&lt;&gt;"",F1079,VLOOKUP(MAX(F$2:F1079),A$1:B1079,2,FALSE)),"")</f>
        <v/>
      </c>
      <c r="C1080" s="1" t="str">
        <f t="shared" si="32"/>
        <v/>
      </c>
      <c r="D1080" s="1" t="str">
        <f>IFERROR(IF(F1080&lt;&gt;"",F1080,VLOOKUP(MAX(C$2:C1080),A$2:F1080,2,FALSE)),"")</f>
        <v>XF</v>
      </c>
      <c r="E1080" s="1" t="str">
        <f t="shared" si="33"/>
        <v/>
      </c>
    </row>
    <row r="1081" spans="1:5" x14ac:dyDescent="0.25">
      <c r="A1081" s="1">
        <v>1080</v>
      </c>
      <c r="B1081" s="1" t="str">
        <f>IFERROR(IF(F1080&lt;&gt;"",F1080,VLOOKUP(MAX(F$2:F1080),A$1:B1080,2,FALSE)),"")</f>
        <v/>
      </c>
      <c r="C1081" s="1" t="str">
        <f t="shared" si="32"/>
        <v/>
      </c>
      <c r="D1081" s="1" t="str">
        <f>IFERROR(IF(F1081&lt;&gt;"",F1081,VLOOKUP(MAX(C$2:C1081),A$2:F1081,2,FALSE)),"")</f>
        <v>XF</v>
      </c>
      <c r="E1081" s="1" t="str">
        <f t="shared" si="33"/>
        <v/>
      </c>
    </row>
    <row r="1082" spans="1:5" x14ac:dyDescent="0.25">
      <c r="A1082" s="1">
        <v>1081</v>
      </c>
      <c r="B1082" s="1" t="str">
        <f>IFERROR(IF(F1081&lt;&gt;"",F1081,VLOOKUP(MAX(F$2:F1081),A$1:B1081,2,FALSE)),"")</f>
        <v/>
      </c>
      <c r="C1082" s="1" t="str">
        <f t="shared" si="32"/>
        <v/>
      </c>
      <c r="D1082" s="1" t="str">
        <f>IFERROR(IF(F1082&lt;&gt;"",F1082,VLOOKUP(MAX(C$2:C1082),A$2:F1082,2,FALSE)),"")</f>
        <v>XF</v>
      </c>
      <c r="E1082" s="1" t="str">
        <f t="shared" si="33"/>
        <v/>
      </c>
    </row>
    <row r="1083" spans="1:5" x14ac:dyDescent="0.25">
      <c r="A1083" s="1">
        <v>1082</v>
      </c>
      <c r="B1083" s="1" t="str">
        <f>IFERROR(IF(F1082&lt;&gt;"",F1082,VLOOKUP(MAX(F$2:F1082),A$1:B1082,2,FALSE)),"")</f>
        <v/>
      </c>
      <c r="C1083" s="1" t="str">
        <f t="shared" si="32"/>
        <v/>
      </c>
      <c r="D1083" s="1" t="str">
        <f>IFERROR(IF(F1083&lt;&gt;"",F1083,VLOOKUP(MAX(C$2:C1083),A$2:F1083,2,FALSE)),"")</f>
        <v>XF</v>
      </c>
      <c r="E1083" s="1" t="str">
        <f t="shared" si="33"/>
        <v/>
      </c>
    </row>
    <row r="1084" spans="1:5" x14ac:dyDescent="0.25">
      <c r="A1084" s="1">
        <v>1083</v>
      </c>
      <c r="B1084" s="1" t="str">
        <f>IFERROR(IF(F1083&lt;&gt;"",F1083,VLOOKUP(MAX(F$2:F1083),A$1:B1083,2,FALSE)),"")</f>
        <v/>
      </c>
      <c r="C1084" s="1" t="str">
        <f t="shared" si="32"/>
        <v/>
      </c>
      <c r="D1084" s="1" t="str">
        <f>IFERROR(IF(F1084&lt;&gt;"",F1084,VLOOKUP(MAX(C$2:C1084),A$2:F1084,2,FALSE)),"")</f>
        <v>XF</v>
      </c>
      <c r="E1084" s="1" t="str">
        <f t="shared" si="33"/>
        <v/>
      </c>
    </row>
    <row r="1085" spans="1:5" x14ac:dyDescent="0.25">
      <c r="A1085" s="1">
        <v>1084</v>
      </c>
      <c r="B1085" s="1" t="str">
        <f>IFERROR(IF(F1084&lt;&gt;"",F1084,VLOOKUP(MAX(F$2:F1084),A$1:B1084,2,FALSE)),"")</f>
        <v/>
      </c>
      <c r="C1085" s="1" t="str">
        <f t="shared" si="32"/>
        <v/>
      </c>
      <c r="D1085" s="1" t="str">
        <f>IFERROR(IF(F1085&lt;&gt;"",F1085,VLOOKUP(MAX(C$2:C1085),A$2:F1085,2,FALSE)),"")</f>
        <v>XF</v>
      </c>
      <c r="E1085" s="1" t="str">
        <f t="shared" si="33"/>
        <v/>
      </c>
    </row>
    <row r="1086" spans="1:5" x14ac:dyDescent="0.25">
      <c r="A1086" s="1">
        <v>1085</v>
      </c>
      <c r="B1086" s="1" t="str">
        <f>IFERROR(IF(F1085&lt;&gt;"",F1085,VLOOKUP(MAX(F$2:F1085),A$1:B1085,2,FALSE)),"")</f>
        <v/>
      </c>
      <c r="C1086" s="1" t="str">
        <f t="shared" si="32"/>
        <v/>
      </c>
      <c r="D1086" s="1" t="str">
        <f>IFERROR(IF(F1086&lt;&gt;"",F1086,VLOOKUP(MAX(C$2:C1086),A$2:F1086,2,FALSE)),"")</f>
        <v>XF</v>
      </c>
      <c r="E1086" s="1" t="str">
        <f t="shared" si="33"/>
        <v/>
      </c>
    </row>
    <row r="1087" spans="1:5" x14ac:dyDescent="0.25">
      <c r="A1087" s="1">
        <v>1086</v>
      </c>
      <c r="B1087" s="1" t="str">
        <f>IFERROR(IF(F1086&lt;&gt;"",F1086,VLOOKUP(MAX(F$2:F1086),A$1:B1086,2,FALSE)),"")</f>
        <v/>
      </c>
      <c r="C1087" s="1" t="str">
        <f t="shared" si="32"/>
        <v/>
      </c>
      <c r="D1087" s="1" t="str">
        <f>IFERROR(IF(F1087&lt;&gt;"",F1087,VLOOKUP(MAX(C$2:C1087),A$2:F1087,2,FALSE)),"")</f>
        <v>XF</v>
      </c>
      <c r="E1087" s="1" t="str">
        <f t="shared" si="33"/>
        <v/>
      </c>
    </row>
    <row r="1088" spans="1:5" x14ac:dyDescent="0.25">
      <c r="A1088" s="1">
        <v>1087</v>
      </c>
      <c r="B1088" s="1" t="str">
        <f>IFERROR(IF(F1087&lt;&gt;"",F1087,VLOOKUP(MAX(F$2:F1087),A$1:B1087,2,FALSE)),"")</f>
        <v/>
      </c>
      <c r="C1088" s="1" t="str">
        <f t="shared" si="32"/>
        <v/>
      </c>
      <c r="D1088" s="1" t="str">
        <f>IFERROR(IF(F1088&lt;&gt;"",F1088,VLOOKUP(MAX(C$2:C1088),A$2:F1088,2,FALSE)),"")</f>
        <v>XF</v>
      </c>
      <c r="E1088" s="1" t="str">
        <f t="shared" si="33"/>
        <v/>
      </c>
    </row>
    <row r="1089" spans="1:5" x14ac:dyDescent="0.25">
      <c r="A1089" s="1">
        <v>1088</v>
      </c>
      <c r="B1089" s="1" t="str">
        <f>IFERROR(IF(F1088&lt;&gt;"",F1088,VLOOKUP(MAX(F$2:F1088),A$1:B1088,2,FALSE)),"")</f>
        <v/>
      </c>
      <c r="C1089" s="1" t="str">
        <f t="shared" si="32"/>
        <v/>
      </c>
      <c r="D1089" s="1" t="str">
        <f>IFERROR(IF(F1089&lt;&gt;"",F1089,VLOOKUP(MAX(C$2:C1089),A$2:F1089,2,FALSE)),"")</f>
        <v>XF</v>
      </c>
      <c r="E1089" s="1" t="str">
        <f t="shared" si="33"/>
        <v/>
      </c>
    </row>
    <row r="1090" spans="1:5" x14ac:dyDescent="0.25">
      <c r="A1090" s="1">
        <v>1089</v>
      </c>
      <c r="B1090" s="1" t="str">
        <f>IFERROR(IF(F1089&lt;&gt;"",F1089,VLOOKUP(MAX(F$2:F1089),A$1:B1089,2,FALSE)),"")</f>
        <v/>
      </c>
      <c r="C1090" s="1" t="str">
        <f t="shared" ref="C1090:C1153" si="34">IF(F1090&lt;&gt;"",A1090,"")</f>
        <v/>
      </c>
      <c r="D1090" s="1" t="str">
        <f>IFERROR(IF(F1090&lt;&gt;"",F1090,VLOOKUP(MAX(C$2:C1090),A$2:F1090,2,FALSE)),"")</f>
        <v>XF</v>
      </c>
      <c r="E1090" s="1" t="str">
        <f t="shared" si="33"/>
        <v/>
      </c>
    </row>
    <row r="1091" spans="1:5" x14ac:dyDescent="0.25">
      <c r="A1091" s="1">
        <v>1090</v>
      </c>
      <c r="B1091" s="1" t="str">
        <f>IFERROR(IF(F1090&lt;&gt;"",F1090,VLOOKUP(MAX(F$2:F1090),A$1:B1090,2,FALSE)),"")</f>
        <v/>
      </c>
      <c r="C1091" s="1" t="str">
        <f t="shared" si="34"/>
        <v/>
      </c>
      <c r="D1091" s="1" t="str">
        <f>IFERROR(IF(F1091&lt;&gt;"",F1091,VLOOKUP(MAX(C$2:C1091),A$2:F1091,2,FALSE)),"")</f>
        <v>XF</v>
      </c>
      <c r="E1091" s="1" t="str">
        <f t="shared" si="33"/>
        <v/>
      </c>
    </row>
    <row r="1092" spans="1:5" x14ac:dyDescent="0.25">
      <c r="A1092" s="1">
        <v>1091</v>
      </c>
      <c r="B1092" s="1" t="str">
        <f>IFERROR(IF(F1091&lt;&gt;"",F1091,VLOOKUP(MAX(F$2:F1091),A$1:B1091,2,FALSE)),"")</f>
        <v/>
      </c>
      <c r="C1092" s="1" t="str">
        <f t="shared" si="34"/>
        <v/>
      </c>
      <c r="D1092" s="1" t="str">
        <f>IFERROR(IF(F1092&lt;&gt;"",F1092,VLOOKUP(MAX(C$2:C1092),A$2:F1092,2,FALSE)),"")</f>
        <v>XF</v>
      </c>
      <c r="E1092" s="1" t="str">
        <f t="shared" ref="E1092:E1155" si="35">IF(H1092&lt;&gt;"",CONCATENATE(D1092,".",H1092),"")</f>
        <v/>
      </c>
    </row>
    <row r="1093" spans="1:5" x14ac:dyDescent="0.25">
      <c r="A1093" s="1">
        <v>1092</v>
      </c>
      <c r="B1093" s="1" t="str">
        <f>IFERROR(IF(F1092&lt;&gt;"",F1092,VLOOKUP(MAX(F$2:F1092),A$1:B1092,2,FALSE)),"")</f>
        <v/>
      </c>
      <c r="C1093" s="1" t="str">
        <f t="shared" si="34"/>
        <v/>
      </c>
      <c r="D1093" s="1" t="str">
        <f>IFERROR(IF(F1093&lt;&gt;"",F1093,VLOOKUP(MAX(C$2:C1093),A$2:F1093,2,FALSE)),"")</f>
        <v>XF</v>
      </c>
      <c r="E1093" s="1" t="str">
        <f t="shared" si="35"/>
        <v/>
      </c>
    </row>
    <row r="1094" spans="1:5" x14ac:dyDescent="0.25">
      <c r="A1094" s="1">
        <v>1093</v>
      </c>
      <c r="B1094" s="1" t="str">
        <f>IFERROR(IF(F1093&lt;&gt;"",F1093,VLOOKUP(MAX(F$2:F1093),A$1:B1093,2,FALSE)),"")</f>
        <v/>
      </c>
      <c r="C1094" s="1" t="str">
        <f t="shared" si="34"/>
        <v/>
      </c>
      <c r="D1094" s="1" t="str">
        <f>IFERROR(IF(F1094&lt;&gt;"",F1094,VLOOKUP(MAX(C$2:C1094),A$2:F1094,2,FALSE)),"")</f>
        <v>XF</v>
      </c>
      <c r="E1094" s="1" t="str">
        <f t="shared" si="35"/>
        <v/>
      </c>
    </row>
    <row r="1095" spans="1:5" x14ac:dyDescent="0.25">
      <c r="A1095" s="1">
        <v>1094</v>
      </c>
      <c r="B1095" s="1" t="str">
        <f>IFERROR(IF(F1094&lt;&gt;"",F1094,VLOOKUP(MAX(F$2:F1094),A$1:B1094,2,FALSE)),"")</f>
        <v/>
      </c>
      <c r="C1095" s="1" t="str">
        <f t="shared" si="34"/>
        <v/>
      </c>
      <c r="D1095" s="1" t="str">
        <f>IFERROR(IF(F1095&lt;&gt;"",F1095,VLOOKUP(MAX(C$2:C1095),A$2:F1095,2,FALSE)),"")</f>
        <v>XF</v>
      </c>
      <c r="E1095" s="1" t="str">
        <f t="shared" si="35"/>
        <v/>
      </c>
    </row>
    <row r="1096" spans="1:5" x14ac:dyDescent="0.25">
      <c r="A1096" s="1">
        <v>1095</v>
      </c>
      <c r="B1096" s="1" t="str">
        <f>IFERROR(IF(F1095&lt;&gt;"",F1095,VLOOKUP(MAX(F$2:F1095),A$1:B1095,2,FALSE)),"")</f>
        <v/>
      </c>
      <c r="C1096" s="1" t="str">
        <f t="shared" si="34"/>
        <v/>
      </c>
      <c r="D1096" s="1" t="str">
        <f>IFERROR(IF(F1096&lt;&gt;"",F1096,VLOOKUP(MAX(C$2:C1096),A$2:F1096,2,FALSE)),"")</f>
        <v>XF</v>
      </c>
      <c r="E1096" s="1" t="str">
        <f t="shared" si="35"/>
        <v/>
      </c>
    </row>
    <row r="1097" spans="1:5" x14ac:dyDescent="0.25">
      <c r="A1097" s="1">
        <v>1096</v>
      </c>
      <c r="B1097" s="1" t="str">
        <f>IFERROR(IF(F1096&lt;&gt;"",F1096,VLOOKUP(MAX(F$2:F1096),A$1:B1096,2,FALSE)),"")</f>
        <v/>
      </c>
      <c r="C1097" s="1" t="str">
        <f t="shared" si="34"/>
        <v/>
      </c>
      <c r="D1097" s="1" t="str">
        <f>IFERROR(IF(F1097&lt;&gt;"",F1097,VLOOKUP(MAX(C$2:C1097),A$2:F1097,2,FALSE)),"")</f>
        <v>XF</v>
      </c>
      <c r="E1097" s="1" t="str">
        <f t="shared" si="35"/>
        <v/>
      </c>
    </row>
    <row r="1098" spans="1:5" x14ac:dyDescent="0.25">
      <c r="A1098" s="1">
        <v>1097</v>
      </c>
      <c r="B1098" s="1" t="str">
        <f>IFERROR(IF(F1097&lt;&gt;"",F1097,VLOOKUP(MAX(F$2:F1097),A$1:B1097,2,FALSE)),"")</f>
        <v/>
      </c>
      <c r="C1098" s="1" t="str">
        <f t="shared" si="34"/>
        <v/>
      </c>
      <c r="D1098" s="1" t="str">
        <f>IFERROR(IF(F1098&lt;&gt;"",F1098,VLOOKUP(MAX(C$2:C1098),A$2:F1098,2,FALSE)),"")</f>
        <v>XF</v>
      </c>
      <c r="E1098" s="1" t="str">
        <f t="shared" si="35"/>
        <v/>
      </c>
    </row>
    <row r="1099" spans="1:5" x14ac:dyDescent="0.25">
      <c r="A1099" s="1">
        <v>1098</v>
      </c>
      <c r="B1099" s="1" t="str">
        <f>IFERROR(IF(F1098&lt;&gt;"",F1098,VLOOKUP(MAX(F$2:F1098),A$1:B1098,2,FALSE)),"")</f>
        <v/>
      </c>
      <c r="C1099" s="1" t="str">
        <f t="shared" si="34"/>
        <v/>
      </c>
      <c r="D1099" s="1" t="str">
        <f>IFERROR(IF(F1099&lt;&gt;"",F1099,VLOOKUP(MAX(C$2:C1099),A$2:F1099,2,FALSE)),"")</f>
        <v>XF</v>
      </c>
      <c r="E1099" s="1" t="str">
        <f t="shared" si="35"/>
        <v/>
      </c>
    </row>
    <row r="1100" spans="1:5" x14ac:dyDescent="0.25">
      <c r="A1100" s="1">
        <v>1099</v>
      </c>
      <c r="B1100" s="1" t="str">
        <f>IFERROR(IF(F1099&lt;&gt;"",F1099,VLOOKUP(MAX(F$2:F1099),A$1:B1099,2,FALSE)),"")</f>
        <v/>
      </c>
      <c r="C1100" s="1" t="str">
        <f t="shared" si="34"/>
        <v/>
      </c>
      <c r="D1100" s="1" t="str">
        <f>IFERROR(IF(F1100&lt;&gt;"",F1100,VLOOKUP(MAX(C$2:C1100),A$2:F1100,2,FALSE)),"")</f>
        <v>XF</v>
      </c>
      <c r="E1100" s="1" t="str">
        <f t="shared" si="35"/>
        <v/>
      </c>
    </row>
    <row r="1101" spans="1:5" x14ac:dyDescent="0.25">
      <c r="A1101" s="1">
        <v>1100</v>
      </c>
      <c r="B1101" s="1" t="str">
        <f>IFERROR(IF(F1100&lt;&gt;"",F1100,VLOOKUP(MAX(F$2:F1100),A$1:B1100,2,FALSE)),"")</f>
        <v/>
      </c>
      <c r="C1101" s="1" t="str">
        <f t="shared" si="34"/>
        <v/>
      </c>
      <c r="D1101" s="1" t="str">
        <f>IFERROR(IF(F1101&lt;&gt;"",F1101,VLOOKUP(MAX(C$2:C1101),A$2:F1101,2,FALSE)),"")</f>
        <v>XF</v>
      </c>
      <c r="E1101" s="1" t="str">
        <f t="shared" si="35"/>
        <v/>
      </c>
    </row>
    <row r="1102" spans="1:5" x14ac:dyDescent="0.25">
      <c r="A1102" s="1">
        <v>1101</v>
      </c>
      <c r="B1102" s="1" t="str">
        <f>IFERROR(IF(F1101&lt;&gt;"",F1101,VLOOKUP(MAX(F$2:F1101),A$1:B1101,2,FALSE)),"")</f>
        <v/>
      </c>
      <c r="C1102" s="1" t="str">
        <f t="shared" si="34"/>
        <v/>
      </c>
      <c r="D1102" s="1" t="str">
        <f>IFERROR(IF(F1102&lt;&gt;"",F1102,VLOOKUP(MAX(C$2:C1102),A$2:F1102,2,FALSE)),"")</f>
        <v>XF</v>
      </c>
      <c r="E1102" s="1" t="str">
        <f t="shared" si="35"/>
        <v/>
      </c>
    </row>
    <row r="1103" spans="1:5" x14ac:dyDescent="0.25">
      <c r="A1103" s="1">
        <v>1102</v>
      </c>
      <c r="B1103" s="1" t="str">
        <f>IFERROR(IF(F1102&lt;&gt;"",F1102,VLOOKUP(MAX(F$2:F1102),A$1:B1102,2,FALSE)),"")</f>
        <v/>
      </c>
      <c r="C1103" s="1" t="str">
        <f t="shared" si="34"/>
        <v/>
      </c>
      <c r="D1103" s="1" t="str">
        <f>IFERROR(IF(F1103&lt;&gt;"",F1103,VLOOKUP(MAX(C$2:C1103),A$2:F1103,2,FALSE)),"")</f>
        <v>XF</v>
      </c>
      <c r="E1103" s="1" t="str">
        <f t="shared" si="35"/>
        <v/>
      </c>
    </row>
    <row r="1104" spans="1:5" x14ac:dyDescent="0.25">
      <c r="A1104" s="1">
        <v>1103</v>
      </c>
      <c r="B1104" s="1" t="str">
        <f>IFERROR(IF(F1103&lt;&gt;"",F1103,VLOOKUP(MAX(F$2:F1103),A$1:B1103,2,FALSE)),"")</f>
        <v/>
      </c>
      <c r="C1104" s="1" t="str">
        <f t="shared" si="34"/>
        <v/>
      </c>
      <c r="D1104" s="1" t="str">
        <f>IFERROR(IF(F1104&lt;&gt;"",F1104,VLOOKUP(MAX(C$2:C1104),A$2:F1104,2,FALSE)),"")</f>
        <v>XF</v>
      </c>
      <c r="E1104" s="1" t="str">
        <f t="shared" si="35"/>
        <v/>
      </c>
    </row>
    <row r="1105" spans="1:5" x14ac:dyDescent="0.25">
      <c r="A1105" s="1">
        <v>1104</v>
      </c>
      <c r="B1105" s="1" t="str">
        <f>IFERROR(IF(F1104&lt;&gt;"",F1104,VLOOKUP(MAX(F$2:F1104),A$1:B1104,2,FALSE)),"")</f>
        <v/>
      </c>
      <c r="C1105" s="1" t="str">
        <f t="shared" si="34"/>
        <v/>
      </c>
      <c r="D1105" s="1" t="str">
        <f>IFERROR(IF(F1105&lt;&gt;"",F1105,VLOOKUP(MAX(C$2:C1105),A$2:F1105,2,FALSE)),"")</f>
        <v>XF</v>
      </c>
      <c r="E1105" s="1" t="str">
        <f t="shared" si="35"/>
        <v/>
      </c>
    </row>
    <row r="1106" spans="1:5" x14ac:dyDescent="0.25">
      <c r="A1106" s="1">
        <v>1105</v>
      </c>
      <c r="B1106" s="1" t="str">
        <f>IFERROR(IF(F1105&lt;&gt;"",F1105,VLOOKUP(MAX(F$2:F1105),A$1:B1105,2,FALSE)),"")</f>
        <v/>
      </c>
      <c r="C1106" s="1" t="str">
        <f t="shared" si="34"/>
        <v/>
      </c>
      <c r="D1106" s="1" t="str">
        <f>IFERROR(IF(F1106&lt;&gt;"",F1106,VLOOKUP(MAX(C$2:C1106),A$2:F1106,2,FALSE)),"")</f>
        <v>XF</v>
      </c>
      <c r="E1106" s="1" t="str">
        <f t="shared" si="35"/>
        <v/>
      </c>
    </row>
    <row r="1107" spans="1:5" x14ac:dyDescent="0.25">
      <c r="A1107" s="1">
        <v>1106</v>
      </c>
      <c r="B1107" s="1" t="str">
        <f>IFERROR(IF(F1106&lt;&gt;"",F1106,VLOOKUP(MAX(F$2:F1106),A$1:B1106,2,FALSE)),"")</f>
        <v/>
      </c>
      <c r="C1107" s="1" t="str">
        <f t="shared" si="34"/>
        <v/>
      </c>
      <c r="D1107" s="1" t="str">
        <f>IFERROR(IF(F1107&lt;&gt;"",F1107,VLOOKUP(MAX(C$2:C1107),A$2:F1107,2,FALSE)),"")</f>
        <v>XF</v>
      </c>
      <c r="E1107" s="1" t="str">
        <f t="shared" si="35"/>
        <v/>
      </c>
    </row>
    <row r="1108" spans="1:5" x14ac:dyDescent="0.25">
      <c r="A1108" s="1">
        <v>1107</v>
      </c>
      <c r="B1108" s="1" t="str">
        <f>IFERROR(IF(F1107&lt;&gt;"",F1107,VLOOKUP(MAX(F$2:F1107),A$1:B1107,2,FALSE)),"")</f>
        <v/>
      </c>
      <c r="C1108" s="1" t="str">
        <f t="shared" si="34"/>
        <v/>
      </c>
      <c r="D1108" s="1" t="str">
        <f>IFERROR(IF(F1108&lt;&gt;"",F1108,VLOOKUP(MAX(C$2:C1108),A$2:F1108,2,FALSE)),"")</f>
        <v>XF</v>
      </c>
      <c r="E1108" s="1" t="str">
        <f t="shared" si="35"/>
        <v/>
      </c>
    </row>
    <row r="1109" spans="1:5" x14ac:dyDescent="0.25">
      <c r="A1109" s="1">
        <v>1108</v>
      </c>
      <c r="B1109" s="1" t="str">
        <f>IFERROR(IF(F1108&lt;&gt;"",F1108,VLOOKUP(MAX(F$2:F1108),A$1:B1108,2,FALSE)),"")</f>
        <v/>
      </c>
      <c r="C1109" s="1" t="str">
        <f t="shared" si="34"/>
        <v/>
      </c>
      <c r="D1109" s="1" t="str">
        <f>IFERROR(IF(F1109&lt;&gt;"",F1109,VLOOKUP(MAX(C$2:C1109),A$2:F1109,2,FALSE)),"")</f>
        <v>XF</v>
      </c>
      <c r="E1109" s="1" t="str">
        <f t="shared" si="35"/>
        <v/>
      </c>
    </row>
    <row r="1110" spans="1:5" x14ac:dyDescent="0.25">
      <c r="A1110" s="1">
        <v>1109</v>
      </c>
      <c r="B1110" s="1" t="str">
        <f>IFERROR(IF(F1109&lt;&gt;"",F1109,VLOOKUP(MAX(F$2:F1109),A$1:B1109,2,FALSE)),"")</f>
        <v/>
      </c>
      <c r="C1110" s="1" t="str">
        <f t="shared" si="34"/>
        <v/>
      </c>
      <c r="D1110" s="1" t="str">
        <f>IFERROR(IF(F1110&lt;&gt;"",F1110,VLOOKUP(MAX(C$2:C1110),A$2:F1110,2,FALSE)),"")</f>
        <v>XF</v>
      </c>
      <c r="E1110" s="1" t="str">
        <f t="shared" si="35"/>
        <v/>
      </c>
    </row>
    <row r="1111" spans="1:5" x14ac:dyDescent="0.25">
      <c r="A1111" s="1">
        <v>1110</v>
      </c>
      <c r="B1111" s="1" t="str">
        <f>IFERROR(IF(F1110&lt;&gt;"",F1110,VLOOKUP(MAX(F$2:F1110),A$1:B1110,2,FALSE)),"")</f>
        <v/>
      </c>
      <c r="C1111" s="1" t="str">
        <f t="shared" si="34"/>
        <v/>
      </c>
      <c r="D1111" s="1" t="str">
        <f>IFERROR(IF(F1111&lt;&gt;"",F1111,VLOOKUP(MAX(C$2:C1111),A$2:F1111,2,FALSE)),"")</f>
        <v>XF</v>
      </c>
      <c r="E1111" s="1" t="str">
        <f t="shared" si="35"/>
        <v/>
      </c>
    </row>
    <row r="1112" spans="1:5" x14ac:dyDescent="0.25">
      <c r="A1112" s="1">
        <v>1111</v>
      </c>
      <c r="B1112" s="1" t="str">
        <f>IFERROR(IF(F1111&lt;&gt;"",F1111,VLOOKUP(MAX(F$2:F1111),A$1:B1111,2,FALSE)),"")</f>
        <v/>
      </c>
      <c r="C1112" s="1" t="str">
        <f t="shared" si="34"/>
        <v/>
      </c>
      <c r="D1112" s="1" t="str">
        <f>IFERROR(IF(F1112&lt;&gt;"",F1112,VLOOKUP(MAX(C$2:C1112),A$2:F1112,2,FALSE)),"")</f>
        <v>XF</v>
      </c>
      <c r="E1112" s="1" t="str">
        <f t="shared" si="35"/>
        <v/>
      </c>
    </row>
    <row r="1113" spans="1:5" x14ac:dyDescent="0.25">
      <c r="A1113" s="1">
        <v>1112</v>
      </c>
      <c r="B1113" s="1" t="str">
        <f>IFERROR(IF(F1112&lt;&gt;"",F1112,VLOOKUP(MAX(F$2:F1112),A$1:B1112,2,FALSE)),"")</f>
        <v/>
      </c>
      <c r="C1113" s="1" t="str">
        <f t="shared" si="34"/>
        <v/>
      </c>
      <c r="D1113" s="1" t="str">
        <f>IFERROR(IF(F1113&lt;&gt;"",F1113,VLOOKUP(MAX(C$2:C1113),A$2:F1113,2,FALSE)),"")</f>
        <v>XF</v>
      </c>
      <c r="E1113" s="1" t="str">
        <f t="shared" si="35"/>
        <v/>
      </c>
    </row>
    <row r="1114" spans="1:5" x14ac:dyDescent="0.25">
      <c r="A1114" s="1">
        <v>1113</v>
      </c>
      <c r="B1114" s="1" t="str">
        <f>IFERROR(IF(F1113&lt;&gt;"",F1113,VLOOKUP(MAX(F$2:F1113),A$1:B1113,2,FALSE)),"")</f>
        <v/>
      </c>
      <c r="C1114" s="1" t="str">
        <f t="shared" si="34"/>
        <v/>
      </c>
      <c r="D1114" s="1" t="str">
        <f>IFERROR(IF(F1114&lt;&gt;"",F1114,VLOOKUP(MAX(C$2:C1114),A$2:F1114,2,FALSE)),"")</f>
        <v>XF</v>
      </c>
      <c r="E1114" s="1" t="str">
        <f t="shared" si="35"/>
        <v/>
      </c>
    </row>
    <row r="1115" spans="1:5" x14ac:dyDescent="0.25">
      <c r="A1115" s="1">
        <v>1114</v>
      </c>
      <c r="B1115" s="1" t="str">
        <f>IFERROR(IF(F1114&lt;&gt;"",F1114,VLOOKUP(MAX(F$2:F1114),A$1:B1114,2,FALSE)),"")</f>
        <v/>
      </c>
      <c r="C1115" s="1" t="str">
        <f t="shared" si="34"/>
        <v/>
      </c>
      <c r="D1115" s="1" t="str">
        <f>IFERROR(IF(F1115&lt;&gt;"",F1115,VLOOKUP(MAX(C$2:C1115),A$2:F1115,2,FALSE)),"")</f>
        <v>XF</v>
      </c>
      <c r="E1115" s="1" t="str">
        <f t="shared" si="35"/>
        <v/>
      </c>
    </row>
    <row r="1116" spans="1:5" x14ac:dyDescent="0.25">
      <c r="A1116" s="1">
        <v>1115</v>
      </c>
      <c r="B1116" s="1" t="str">
        <f>IFERROR(IF(F1115&lt;&gt;"",F1115,VLOOKUP(MAX(F$2:F1115),A$1:B1115,2,FALSE)),"")</f>
        <v/>
      </c>
      <c r="C1116" s="1" t="str">
        <f t="shared" si="34"/>
        <v/>
      </c>
      <c r="D1116" s="1" t="str">
        <f>IFERROR(IF(F1116&lt;&gt;"",F1116,VLOOKUP(MAX(C$2:C1116),A$2:F1116,2,FALSE)),"")</f>
        <v>XF</v>
      </c>
      <c r="E1116" s="1" t="str">
        <f t="shared" si="35"/>
        <v/>
      </c>
    </row>
    <row r="1117" spans="1:5" x14ac:dyDescent="0.25">
      <c r="A1117" s="1">
        <v>1116</v>
      </c>
      <c r="B1117" s="1" t="str">
        <f>IFERROR(IF(F1116&lt;&gt;"",F1116,VLOOKUP(MAX(F$2:F1116),A$1:B1116,2,FALSE)),"")</f>
        <v/>
      </c>
      <c r="C1117" s="1" t="str">
        <f t="shared" si="34"/>
        <v/>
      </c>
      <c r="D1117" s="1" t="str">
        <f>IFERROR(IF(F1117&lt;&gt;"",F1117,VLOOKUP(MAX(C$2:C1117),A$2:F1117,2,FALSE)),"")</f>
        <v>XF</v>
      </c>
      <c r="E1117" s="1" t="str">
        <f t="shared" si="35"/>
        <v/>
      </c>
    </row>
    <row r="1118" spans="1:5" x14ac:dyDescent="0.25">
      <c r="A1118" s="1">
        <v>1117</v>
      </c>
      <c r="B1118" s="1" t="str">
        <f>IFERROR(IF(F1117&lt;&gt;"",F1117,VLOOKUP(MAX(F$2:F1117),A$1:B1117,2,FALSE)),"")</f>
        <v/>
      </c>
      <c r="C1118" s="1" t="str">
        <f t="shared" si="34"/>
        <v/>
      </c>
      <c r="D1118" s="1" t="str">
        <f>IFERROR(IF(F1118&lt;&gt;"",F1118,VLOOKUP(MAX(C$2:C1118),A$2:F1118,2,FALSE)),"")</f>
        <v>XF</v>
      </c>
      <c r="E1118" s="1" t="str">
        <f t="shared" si="35"/>
        <v/>
      </c>
    </row>
    <row r="1119" spans="1:5" x14ac:dyDescent="0.25">
      <c r="A1119" s="1">
        <v>1118</v>
      </c>
      <c r="B1119" s="1" t="str">
        <f>IFERROR(IF(F1118&lt;&gt;"",F1118,VLOOKUP(MAX(F$2:F1118),A$1:B1118,2,FALSE)),"")</f>
        <v/>
      </c>
      <c r="C1119" s="1" t="str">
        <f t="shared" si="34"/>
        <v/>
      </c>
      <c r="D1119" s="1" t="str">
        <f>IFERROR(IF(F1119&lt;&gt;"",F1119,VLOOKUP(MAX(C$2:C1119),A$2:F1119,2,FALSE)),"")</f>
        <v>XF</v>
      </c>
      <c r="E1119" s="1" t="str">
        <f t="shared" si="35"/>
        <v/>
      </c>
    </row>
    <row r="1120" spans="1:5" x14ac:dyDescent="0.25">
      <c r="A1120" s="1">
        <v>1119</v>
      </c>
      <c r="B1120" s="1" t="str">
        <f>IFERROR(IF(F1119&lt;&gt;"",F1119,VLOOKUP(MAX(F$2:F1119),A$1:B1119,2,FALSE)),"")</f>
        <v/>
      </c>
      <c r="C1120" s="1" t="str">
        <f t="shared" si="34"/>
        <v/>
      </c>
      <c r="D1120" s="1" t="str">
        <f>IFERROR(IF(F1120&lt;&gt;"",F1120,VLOOKUP(MAX(C$2:C1120),A$2:F1120,2,FALSE)),"")</f>
        <v>XF</v>
      </c>
      <c r="E1120" s="1" t="str">
        <f t="shared" si="35"/>
        <v/>
      </c>
    </row>
    <row r="1121" spans="1:5" x14ac:dyDescent="0.25">
      <c r="A1121" s="1">
        <v>1120</v>
      </c>
      <c r="B1121" s="1" t="str">
        <f>IFERROR(IF(F1120&lt;&gt;"",F1120,VLOOKUP(MAX(F$2:F1120),A$1:B1120,2,FALSE)),"")</f>
        <v/>
      </c>
      <c r="C1121" s="1" t="str">
        <f t="shared" si="34"/>
        <v/>
      </c>
      <c r="D1121" s="1" t="str">
        <f>IFERROR(IF(F1121&lt;&gt;"",F1121,VLOOKUP(MAX(C$2:C1121),A$2:F1121,2,FALSE)),"")</f>
        <v>XF</v>
      </c>
      <c r="E1121" s="1" t="str">
        <f t="shared" si="35"/>
        <v/>
      </c>
    </row>
    <row r="1122" spans="1:5" x14ac:dyDescent="0.25">
      <c r="A1122" s="1">
        <v>1121</v>
      </c>
      <c r="B1122" s="1" t="str">
        <f>IFERROR(IF(F1121&lt;&gt;"",F1121,VLOOKUP(MAX(F$2:F1121),A$1:B1121,2,FALSE)),"")</f>
        <v/>
      </c>
      <c r="C1122" s="1" t="str">
        <f t="shared" si="34"/>
        <v/>
      </c>
      <c r="D1122" s="1" t="str">
        <f>IFERROR(IF(F1122&lt;&gt;"",F1122,VLOOKUP(MAX(C$2:C1122),A$2:F1122,2,FALSE)),"")</f>
        <v>XF</v>
      </c>
      <c r="E1122" s="1" t="str">
        <f t="shared" si="35"/>
        <v/>
      </c>
    </row>
    <row r="1123" spans="1:5" x14ac:dyDescent="0.25">
      <c r="A1123" s="1">
        <v>1122</v>
      </c>
      <c r="B1123" s="1" t="str">
        <f>IFERROR(IF(F1122&lt;&gt;"",F1122,VLOOKUP(MAX(F$2:F1122),A$1:B1122,2,FALSE)),"")</f>
        <v/>
      </c>
      <c r="C1123" s="1" t="str">
        <f t="shared" si="34"/>
        <v/>
      </c>
      <c r="D1123" s="1" t="str">
        <f>IFERROR(IF(F1123&lt;&gt;"",F1123,VLOOKUP(MAX(C$2:C1123),A$2:F1123,2,FALSE)),"")</f>
        <v>XF</v>
      </c>
      <c r="E1123" s="1" t="str">
        <f t="shared" si="35"/>
        <v/>
      </c>
    </row>
    <row r="1124" spans="1:5" x14ac:dyDescent="0.25">
      <c r="A1124" s="1">
        <v>1123</v>
      </c>
      <c r="B1124" s="1" t="str">
        <f>IFERROR(IF(F1123&lt;&gt;"",F1123,VLOOKUP(MAX(F$2:F1123),A$1:B1123,2,FALSE)),"")</f>
        <v/>
      </c>
      <c r="C1124" s="1" t="str">
        <f t="shared" si="34"/>
        <v/>
      </c>
      <c r="D1124" s="1" t="str">
        <f>IFERROR(IF(F1124&lt;&gt;"",F1124,VLOOKUP(MAX(C$2:C1124),A$2:F1124,2,FALSE)),"")</f>
        <v>XF</v>
      </c>
      <c r="E1124" s="1" t="str">
        <f t="shared" si="35"/>
        <v/>
      </c>
    </row>
    <row r="1125" spans="1:5" x14ac:dyDescent="0.25">
      <c r="A1125" s="1">
        <v>1124</v>
      </c>
      <c r="B1125" s="1" t="str">
        <f>IFERROR(IF(F1124&lt;&gt;"",F1124,VLOOKUP(MAX(F$2:F1124),A$1:B1124,2,FALSE)),"")</f>
        <v/>
      </c>
      <c r="C1125" s="1" t="str">
        <f t="shared" si="34"/>
        <v/>
      </c>
      <c r="D1125" s="1" t="str">
        <f>IFERROR(IF(F1125&lt;&gt;"",F1125,VLOOKUP(MAX(C$2:C1125),A$2:F1125,2,FALSE)),"")</f>
        <v>XF</v>
      </c>
      <c r="E1125" s="1" t="str">
        <f t="shared" si="35"/>
        <v/>
      </c>
    </row>
    <row r="1126" spans="1:5" x14ac:dyDescent="0.25">
      <c r="A1126" s="1">
        <v>1125</v>
      </c>
      <c r="B1126" s="1" t="str">
        <f>IFERROR(IF(F1125&lt;&gt;"",F1125,VLOOKUP(MAX(F$2:F1125),A$1:B1125,2,FALSE)),"")</f>
        <v/>
      </c>
      <c r="C1126" s="1" t="str">
        <f t="shared" si="34"/>
        <v/>
      </c>
      <c r="D1126" s="1" t="str">
        <f>IFERROR(IF(F1126&lt;&gt;"",F1126,VLOOKUP(MAX(C$2:C1126),A$2:F1126,2,FALSE)),"")</f>
        <v>XF</v>
      </c>
      <c r="E1126" s="1" t="str">
        <f t="shared" si="35"/>
        <v/>
      </c>
    </row>
    <row r="1127" spans="1:5" x14ac:dyDescent="0.25">
      <c r="A1127" s="1">
        <v>1126</v>
      </c>
      <c r="B1127" s="1" t="str">
        <f>IFERROR(IF(F1126&lt;&gt;"",F1126,VLOOKUP(MAX(F$2:F1126),A$1:B1126,2,FALSE)),"")</f>
        <v/>
      </c>
      <c r="C1127" s="1" t="str">
        <f t="shared" si="34"/>
        <v/>
      </c>
      <c r="D1127" s="1" t="str">
        <f>IFERROR(IF(F1127&lt;&gt;"",F1127,VLOOKUP(MAX(C$2:C1127),A$2:F1127,2,FALSE)),"")</f>
        <v>XF</v>
      </c>
      <c r="E1127" s="1" t="str">
        <f t="shared" si="35"/>
        <v/>
      </c>
    </row>
    <row r="1128" spans="1:5" x14ac:dyDescent="0.25">
      <c r="A1128" s="1">
        <v>1127</v>
      </c>
      <c r="B1128" s="1" t="str">
        <f>IFERROR(IF(F1127&lt;&gt;"",F1127,VLOOKUP(MAX(F$2:F1127),A$1:B1127,2,FALSE)),"")</f>
        <v/>
      </c>
      <c r="C1128" s="1" t="str">
        <f t="shared" si="34"/>
        <v/>
      </c>
      <c r="D1128" s="1" t="str">
        <f>IFERROR(IF(F1128&lt;&gt;"",F1128,VLOOKUP(MAX(C$2:C1128),A$2:F1128,2,FALSE)),"")</f>
        <v>XF</v>
      </c>
      <c r="E1128" s="1" t="str">
        <f t="shared" si="35"/>
        <v/>
      </c>
    </row>
    <row r="1129" spans="1:5" x14ac:dyDescent="0.25">
      <c r="A1129" s="1">
        <v>1128</v>
      </c>
      <c r="B1129" s="1" t="str">
        <f>IFERROR(IF(F1128&lt;&gt;"",F1128,VLOOKUP(MAX(F$2:F1128),A$1:B1128,2,FALSE)),"")</f>
        <v/>
      </c>
      <c r="C1129" s="1" t="str">
        <f t="shared" si="34"/>
        <v/>
      </c>
      <c r="D1129" s="1" t="str">
        <f>IFERROR(IF(F1129&lt;&gt;"",F1129,VLOOKUP(MAX(C$2:C1129),A$2:F1129,2,FALSE)),"")</f>
        <v>XF</v>
      </c>
      <c r="E1129" s="1" t="str">
        <f t="shared" si="35"/>
        <v/>
      </c>
    </row>
    <row r="1130" spans="1:5" x14ac:dyDescent="0.25">
      <c r="A1130" s="1">
        <v>1129</v>
      </c>
      <c r="B1130" s="1" t="str">
        <f>IFERROR(IF(F1129&lt;&gt;"",F1129,VLOOKUP(MAX(F$2:F1129),A$1:B1129,2,FALSE)),"")</f>
        <v/>
      </c>
      <c r="C1130" s="1" t="str">
        <f t="shared" si="34"/>
        <v/>
      </c>
      <c r="D1130" s="1" t="str">
        <f>IFERROR(IF(F1130&lt;&gt;"",F1130,VLOOKUP(MAX(C$2:C1130),A$2:F1130,2,FALSE)),"")</f>
        <v>XF</v>
      </c>
      <c r="E1130" s="1" t="str">
        <f t="shared" si="35"/>
        <v/>
      </c>
    </row>
    <row r="1131" spans="1:5" x14ac:dyDescent="0.25">
      <c r="A1131" s="1">
        <v>1130</v>
      </c>
      <c r="B1131" s="1" t="str">
        <f>IFERROR(IF(F1130&lt;&gt;"",F1130,VLOOKUP(MAX(F$2:F1130),A$1:B1130,2,FALSE)),"")</f>
        <v/>
      </c>
      <c r="C1131" s="1" t="str">
        <f t="shared" si="34"/>
        <v/>
      </c>
      <c r="D1131" s="1" t="str">
        <f>IFERROR(IF(F1131&lt;&gt;"",F1131,VLOOKUP(MAX(C$2:C1131),A$2:F1131,2,FALSE)),"")</f>
        <v>XF</v>
      </c>
      <c r="E1131" s="1" t="str">
        <f t="shared" si="35"/>
        <v/>
      </c>
    </row>
    <row r="1132" spans="1:5" x14ac:dyDescent="0.25">
      <c r="A1132" s="1">
        <v>1131</v>
      </c>
      <c r="B1132" s="1" t="str">
        <f>IFERROR(IF(F1131&lt;&gt;"",F1131,VLOOKUP(MAX(F$2:F1131),A$1:B1131,2,FALSE)),"")</f>
        <v/>
      </c>
      <c r="C1132" s="1" t="str">
        <f t="shared" si="34"/>
        <v/>
      </c>
      <c r="D1132" s="1" t="str">
        <f>IFERROR(IF(F1132&lt;&gt;"",F1132,VLOOKUP(MAX(C$2:C1132),A$2:F1132,2,FALSE)),"")</f>
        <v>XF</v>
      </c>
      <c r="E1132" s="1" t="str">
        <f t="shared" si="35"/>
        <v/>
      </c>
    </row>
    <row r="1133" spans="1:5" x14ac:dyDescent="0.25">
      <c r="A1133" s="1">
        <v>1132</v>
      </c>
      <c r="B1133" s="1" t="str">
        <f>IFERROR(IF(F1132&lt;&gt;"",F1132,VLOOKUP(MAX(F$2:F1132),A$1:B1132,2,FALSE)),"")</f>
        <v/>
      </c>
      <c r="C1133" s="1" t="str">
        <f t="shared" si="34"/>
        <v/>
      </c>
      <c r="D1133" s="1" t="str">
        <f>IFERROR(IF(F1133&lt;&gt;"",F1133,VLOOKUP(MAX(C$2:C1133),A$2:F1133,2,FALSE)),"")</f>
        <v>XF</v>
      </c>
      <c r="E1133" s="1" t="str">
        <f t="shared" si="35"/>
        <v/>
      </c>
    </row>
    <row r="1134" spans="1:5" x14ac:dyDescent="0.25">
      <c r="A1134" s="1">
        <v>1133</v>
      </c>
      <c r="B1134" s="1" t="str">
        <f>IFERROR(IF(F1133&lt;&gt;"",F1133,VLOOKUP(MAX(F$2:F1133),A$1:B1133,2,FALSE)),"")</f>
        <v/>
      </c>
      <c r="C1134" s="1" t="str">
        <f t="shared" si="34"/>
        <v/>
      </c>
      <c r="D1134" s="1" t="str">
        <f>IFERROR(IF(F1134&lt;&gt;"",F1134,VLOOKUP(MAX(C$2:C1134),A$2:F1134,2,FALSE)),"")</f>
        <v>XF</v>
      </c>
      <c r="E1134" s="1" t="str">
        <f t="shared" si="35"/>
        <v/>
      </c>
    </row>
    <row r="1135" spans="1:5" x14ac:dyDescent="0.25">
      <c r="A1135" s="1">
        <v>1134</v>
      </c>
      <c r="B1135" s="1" t="str">
        <f>IFERROR(IF(F1134&lt;&gt;"",F1134,VLOOKUP(MAX(F$2:F1134),A$1:B1134,2,FALSE)),"")</f>
        <v/>
      </c>
      <c r="C1135" s="1" t="str">
        <f t="shared" si="34"/>
        <v/>
      </c>
      <c r="D1135" s="1" t="str">
        <f>IFERROR(IF(F1135&lt;&gt;"",F1135,VLOOKUP(MAX(C$2:C1135),A$2:F1135,2,FALSE)),"")</f>
        <v>XF</v>
      </c>
      <c r="E1135" s="1" t="str">
        <f t="shared" si="35"/>
        <v/>
      </c>
    </row>
    <row r="1136" spans="1:5" x14ac:dyDescent="0.25">
      <c r="A1136" s="1">
        <v>1135</v>
      </c>
      <c r="B1136" s="1" t="str">
        <f>IFERROR(IF(F1135&lt;&gt;"",F1135,VLOOKUP(MAX(F$2:F1135),A$1:B1135,2,FALSE)),"")</f>
        <v/>
      </c>
      <c r="C1136" s="1" t="str">
        <f t="shared" si="34"/>
        <v/>
      </c>
      <c r="D1136" s="1" t="str">
        <f>IFERROR(IF(F1136&lt;&gt;"",F1136,VLOOKUP(MAX(C$2:C1136),A$2:F1136,2,FALSE)),"")</f>
        <v>XF</v>
      </c>
      <c r="E1136" s="1" t="str">
        <f t="shared" si="35"/>
        <v/>
      </c>
    </row>
    <row r="1137" spans="1:5" x14ac:dyDescent="0.25">
      <c r="A1137" s="1">
        <v>1136</v>
      </c>
      <c r="B1137" s="1" t="str">
        <f>IFERROR(IF(F1136&lt;&gt;"",F1136,VLOOKUP(MAX(F$2:F1136),A$1:B1136,2,FALSE)),"")</f>
        <v/>
      </c>
      <c r="C1137" s="1" t="str">
        <f t="shared" si="34"/>
        <v/>
      </c>
      <c r="D1137" s="1" t="str">
        <f>IFERROR(IF(F1137&lt;&gt;"",F1137,VLOOKUP(MAX(C$2:C1137),A$2:F1137,2,FALSE)),"")</f>
        <v>XF</v>
      </c>
      <c r="E1137" s="1" t="str">
        <f t="shared" si="35"/>
        <v/>
      </c>
    </row>
    <row r="1138" spans="1:5" x14ac:dyDescent="0.25">
      <c r="A1138" s="1">
        <v>1137</v>
      </c>
      <c r="B1138" s="1" t="str">
        <f>IFERROR(IF(F1137&lt;&gt;"",F1137,VLOOKUP(MAX(F$2:F1137),A$1:B1137,2,FALSE)),"")</f>
        <v/>
      </c>
      <c r="C1138" s="1" t="str">
        <f t="shared" si="34"/>
        <v/>
      </c>
      <c r="D1138" s="1" t="str">
        <f>IFERROR(IF(F1138&lt;&gt;"",F1138,VLOOKUP(MAX(C$2:C1138),A$2:F1138,2,FALSE)),"")</f>
        <v>XF</v>
      </c>
      <c r="E1138" s="1" t="str">
        <f t="shared" si="35"/>
        <v/>
      </c>
    </row>
    <row r="1139" spans="1:5" x14ac:dyDescent="0.25">
      <c r="A1139" s="1">
        <v>1138</v>
      </c>
      <c r="B1139" s="1" t="str">
        <f>IFERROR(IF(F1138&lt;&gt;"",F1138,VLOOKUP(MAX(F$2:F1138),A$1:B1138,2,FALSE)),"")</f>
        <v/>
      </c>
      <c r="C1139" s="1" t="str">
        <f t="shared" si="34"/>
        <v/>
      </c>
      <c r="D1139" s="1" t="str">
        <f>IFERROR(IF(F1139&lt;&gt;"",F1139,VLOOKUP(MAX(C$2:C1139),A$2:F1139,2,FALSE)),"")</f>
        <v>XF</v>
      </c>
      <c r="E1139" s="1" t="str">
        <f t="shared" si="35"/>
        <v/>
      </c>
    </row>
    <row r="1140" spans="1:5" x14ac:dyDescent="0.25">
      <c r="A1140" s="1">
        <v>1139</v>
      </c>
      <c r="B1140" s="1" t="str">
        <f>IFERROR(IF(F1139&lt;&gt;"",F1139,VLOOKUP(MAX(F$2:F1139),A$1:B1139,2,FALSE)),"")</f>
        <v/>
      </c>
      <c r="C1140" s="1" t="str">
        <f t="shared" si="34"/>
        <v/>
      </c>
      <c r="D1140" s="1" t="str">
        <f>IFERROR(IF(F1140&lt;&gt;"",F1140,VLOOKUP(MAX(C$2:C1140),A$2:F1140,2,FALSE)),"")</f>
        <v>XF</v>
      </c>
      <c r="E1140" s="1" t="str">
        <f t="shared" si="35"/>
        <v/>
      </c>
    </row>
    <row r="1141" spans="1:5" x14ac:dyDescent="0.25">
      <c r="A1141" s="1">
        <v>1140</v>
      </c>
      <c r="B1141" s="1" t="str">
        <f>IFERROR(IF(F1140&lt;&gt;"",F1140,VLOOKUP(MAX(F$2:F1140),A$1:B1140,2,FALSE)),"")</f>
        <v/>
      </c>
      <c r="C1141" s="1" t="str">
        <f t="shared" si="34"/>
        <v/>
      </c>
      <c r="D1141" s="1" t="str">
        <f>IFERROR(IF(F1141&lt;&gt;"",F1141,VLOOKUP(MAX(C$2:C1141),A$2:F1141,2,FALSE)),"")</f>
        <v>XF</v>
      </c>
      <c r="E1141" s="1" t="str">
        <f t="shared" si="35"/>
        <v/>
      </c>
    </row>
    <row r="1142" spans="1:5" x14ac:dyDescent="0.25">
      <c r="A1142" s="1">
        <v>1141</v>
      </c>
      <c r="B1142" s="1" t="str">
        <f>IFERROR(IF(F1141&lt;&gt;"",F1141,VLOOKUP(MAX(F$2:F1141),A$1:B1141,2,FALSE)),"")</f>
        <v/>
      </c>
      <c r="C1142" s="1" t="str">
        <f t="shared" si="34"/>
        <v/>
      </c>
      <c r="D1142" s="1" t="str">
        <f>IFERROR(IF(F1142&lt;&gt;"",F1142,VLOOKUP(MAX(C$2:C1142),A$2:F1142,2,FALSE)),"")</f>
        <v>XF</v>
      </c>
      <c r="E1142" s="1" t="str">
        <f t="shared" si="35"/>
        <v/>
      </c>
    </row>
    <row r="1143" spans="1:5" x14ac:dyDescent="0.25">
      <c r="A1143" s="1">
        <v>1142</v>
      </c>
      <c r="B1143" s="1" t="str">
        <f>IFERROR(IF(F1142&lt;&gt;"",F1142,VLOOKUP(MAX(F$2:F1142),A$1:B1142,2,FALSE)),"")</f>
        <v/>
      </c>
      <c r="C1143" s="1" t="str">
        <f t="shared" si="34"/>
        <v/>
      </c>
      <c r="D1143" s="1" t="str">
        <f>IFERROR(IF(F1143&lt;&gt;"",F1143,VLOOKUP(MAX(C$2:C1143),A$2:F1143,2,FALSE)),"")</f>
        <v>XF</v>
      </c>
      <c r="E1143" s="1" t="str">
        <f t="shared" si="35"/>
        <v/>
      </c>
    </row>
    <row r="1144" spans="1:5" x14ac:dyDescent="0.25">
      <c r="A1144" s="1">
        <v>1143</v>
      </c>
      <c r="B1144" s="1" t="str">
        <f>IFERROR(IF(F1143&lt;&gt;"",F1143,VLOOKUP(MAX(F$2:F1143),A$1:B1143,2,FALSE)),"")</f>
        <v/>
      </c>
      <c r="C1144" s="1" t="str">
        <f t="shared" si="34"/>
        <v/>
      </c>
      <c r="D1144" s="1" t="str">
        <f>IFERROR(IF(F1144&lt;&gt;"",F1144,VLOOKUP(MAX(C$2:C1144),A$2:F1144,2,FALSE)),"")</f>
        <v>XF</v>
      </c>
      <c r="E1144" s="1" t="str">
        <f t="shared" si="35"/>
        <v/>
      </c>
    </row>
    <row r="1145" spans="1:5" x14ac:dyDescent="0.25">
      <c r="A1145" s="1">
        <v>1144</v>
      </c>
      <c r="B1145" s="1" t="str">
        <f>IFERROR(IF(F1144&lt;&gt;"",F1144,VLOOKUP(MAX(F$2:F1144),A$1:B1144,2,FALSE)),"")</f>
        <v/>
      </c>
      <c r="C1145" s="1" t="str">
        <f t="shared" si="34"/>
        <v/>
      </c>
      <c r="D1145" s="1" t="str">
        <f>IFERROR(IF(F1145&lt;&gt;"",F1145,VLOOKUP(MAX(C$2:C1145),A$2:F1145,2,FALSE)),"")</f>
        <v>XF</v>
      </c>
      <c r="E1145" s="1" t="str">
        <f t="shared" si="35"/>
        <v/>
      </c>
    </row>
    <row r="1146" spans="1:5" x14ac:dyDescent="0.25">
      <c r="A1146" s="1">
        <v>1145</v>
      </c>
      <c r="B1146" s="1" t="str">
        <f>IFERROR(IF(F1145&lt;&gt;"",F1145,VLOOKUP(MAX(F$2:F1145),A$1:B1145,2,FALSE)),"")</f>
        <v/>
      </c>
      <c r="C1146" s="1" t="str">
        <f t="shared" si="34"/>
        <v/>
      </c>
      <c r="D1146" s="1" t="str">
        <f>IFERROR(IF(F1146&lt;&gt;"",F1146,VLOOKUP(MAX(C$2:C1146),A$2:F1146,2,FALSE)),"")</f>
        <v>XF</v>
      </c>
      <c r="E1146" s="1" t="str">
        <f t="shared" si="35"/>
        <v/>
      </c>
    </row>
    <row r="1147" spans="1:5" x14ac:dyDescent="0.25">
      <c r="A1147" s="1">
        <v>1146</v>
      </c>
      <c r="B1147" s="1" t="str">
        <f>IFERROR(IF(F1146&lt;&gt;"",F1146,VLOOKUP(MAX(F$2:F1146),A$1:B1146,2,FALSE)),"")</f>
        <v/>
      </c>
      <c r="C1147" s="1" t="str">
        <f t="shared" si="34"/>
        <v/>
      </c>
      <c r="D1147" s="1" t="str">
        <f>IFERROR(IF(F1147&lt;&gt;"",F1147,VLOOKUP(MAX(C$2:C1147),A$2:F1147,2,FALSE)),"")</f>
        <v>XF</v>
      </c>
      <c r="E1147" s="1" t="str">
        <f t="shared" si="35"/>
        <v/>
      </c>
    </row>
    <row r="1148" spans="1:5" x14ac:dyDescent="0.25">
      <c r="A1148" s="1">
        <v>1147</v>
      </c>
      <c r="B1148" s="1" t="str">
        <f>IFERROR(IF(F1147&lt;&gt;"",F1147,VLOOKUP(MAX(F$2:F1147),A$1:B1147,2,FALSE)),"")</f>
        <v/>
      </c>
      <c r="C1148" s="1" t="str">
        <f t="shared" si="34"/>
        <v/>
      </c>
      <c r="D1148" s="1" t="str">
        <f>IFERROR(IF(F1148&lt;&gt;"",F1148,VLOOKUP(MAX(C$2:C1148),A$2:F1148,2,FALSE)),"")</f>
        <v>XF</v>
      </c>
      <c r="E1148" s="1" t="str">
        <f t="shared" si="35"/>
        <v/>
      </c>
    </row>
    <row r="1149" spans="1:5" x14ac:dyDescent="0.25">
      <c r="A1149" s="1">
        <v>1148</v>
      </c>
      <c r="B1149" s="1" t="str">
        <f>IFERROR(IF(F1148&lt;&gt;"",F1148,VLOOKUP(MAX(F$2:F1148),A$1:B1148,2,FALSE)),"")</f>
        <v/>
      </c>
      <c r="C1149" s="1" t="str">
        <f t="shared" si="34"/>
        <v/>
      </c>
      <c r="D1149" s="1" t="str">
        <f>IFERROR(IF(F1149&lt;&gt;"",F1149,VLOOKUP(MAX(C$2:C1149),A$2:F1149,2,FALSE)),"")</f>
        <v>XF</v>
      </c>
      <c r="E1149" s="1" t="str">
        <f t="shared" si="35"/>
        <v/>
      </c>
    </row>
    <row r="1150" spans="1:5" x14ac:dyDescent="0.25">
      <c r="A1150" s="1">
        <v>1149</v>
      </c>
      <c r="B1150" s="1" t="str">
        <f>IFERROR(IF(F1149&lt;&gt;"",F1149,VLOOKUP(MAX(F$2:F1149),A$1:B1149,2,FALSE)),"")</f>
        <v/>
      </c>
      <c r="C1150" s="1" t="str">
        <f t="shared" si="34"/>
        <v/>
      </c>
      <c r="D1150" s="1" t="str">
        <f>IFERROR(IF(F1150&lt;&gt;"",F1150,VLOOKUP(MAX(C$2:C1150),A$2:F1150,2,FALSE)),"")</f>
        <v>XF</v>
      </c>
      <c r="E1150" s="1" t="str">
        <f t="shared" si="35"/>
        <v/>
      </c>
    </row>
    <row r="1151" spans="1:5" x14ac:dyDescent="0.25">
      <c r="A1151" s="1">
        <v>1150</v>
      </c>
      <c r="B1151" s="1" t="str">
        <f>IFERROR(IF(F1150&lt;&gt;"",F1150,VLOOKUP(MAX(F$2:F1150),A$1:B1150,2,FALSE)),"")</f>
        <v/>
      </c>
      <c r="C1151" s="1" t="str">
        <f t="shared" si="34"/>
        <v/>
      </c>
      <c r="D1151" s="1" t="str">
        <f>IFERROR(IF(F1151&lt;&gt;"",F1151,VLOOKUP(MAX(C$2:C1151),A$2:F1151,2,FALSE)),"")</f>
        <v>XF</v>
      </c>
      <c r="E1151" s="1" t="str">
        <f t="shared" si="35"/>
        <v/>
      </c>
    </row>
    <row r="1152" spans="1:5" x14ac:dyDescent="0.25">
      <c r="A1152" s="1">
        <v>1151</v>
      </c>
      <c r="B1152" s="1" t="str">
        <f>IFERROR(IF(F1151&lt;&gt;"",F1151,VLOOKUP(MAX(F$2:F1151),A$1:B1151,2,FALSE)),"")</f>
        <v/>
      </c>
      <c r="C1152" s="1" t="str">
        <f t="shared" si="34"/>
        <v/>
      </c>
      <c r="D1152" s="1" t="str">
        <f>IFERROR(IF(F1152&lt;&gt;"",F1152,VLOOKUP(MAX(C$2:C1152),A$2:F1152,2,FALSE)),"")</f>
        <v>XF</v>
      </c>
      <c r="E1152" s="1" t="str">
        <f t="shared" si="35"/>
        <v/>
      </c>
    </row>
    <row r="1153" spans="1:5" x14ac:dyDescent="0.25">
      <c r="A1153" s="1">
        <v>1152</v>
      </c>
      <c r="B1153" s="1" t="str">
        <f>IFERROR(IF(F1152&lt;&gt;"",F1152,VLOOKUP(MAX(F$2:F1152),A$1:B1152,2,FALSE)),"")</f>
        <v/>
      </c>
      <c r="C1153" s="1" t="str">
        <f t="shared" si="34"/>
        <v/>
      </c>
      <c r="D1153" s="1" t="str">
        <f>IFERROR(IF(F1153&lt;&gt;"",F1153,VLOOKUP(MAX(C$2:C1153),A$2:F1153,2,FALSE)),"")</f>
        <v>XF</v>
      </c>
      <c r="E1153" s="1" t="str">
        <f t="shared" si="35"/>
        <v/>
      </c>
    </row>
    <row r="1154" spans="1:5" x14ac:dyDescent="0.25">
      <c r="A1154" s="1">
        <v>1153</v>
      </c>
      <c r="B1154" s="1" t="str">
        <f>IFERROR(IF(F1153&lt;&gt;"",F1153,VLOOKUP(MAX(F$2:F1153),A$1:B1153,2,FALSE)),"")</f>
        <v/>
      </c>
      <c r="C1154" s="1" t="str">
        <f t="shared" ref="C1154:C1217" si="36">IF(F1154&lt;&gt;"",A1154,"")</f>
        <v/>
      </c>
      <c r="D1154" s="1" t="str">
        <f>IFERROR(IF(F1154&lt;&gt;"",F1154,VLOOKUP(MAX(C$2:C1154),A$2:F1154,2,FALSE)),"")</f>
        <v>XF</v>
      </c>
      <c r="E1154" s="1" t="str">
        <f t="shared" si="35"/>
        <v/>
      </c>
    </row>
    <row r="1155" spans="1:5" x14ac:dyDescent="0.25">
      <c r="A1155" s="1">
        <v>1154</v>
      </c>
      <c r="B1155" s="1" t="str">
        <f>IFERROR(IF(F1154&lt;&gt;"",F1154,VLOOKUP(MAX(F$2:F1154),A$1:B1154,2,FALSE)),"")</f>
        <v/>
      </c>
      <c r="C1155" s="1" t="str">
        <f t="shared" si="36"/>
        <v/>
      </c>
      <c r="D1155" s="1" t="str">
        <f>IFERROR(IF(F1155&lt;&gt;"",F1155,VLOOKUP(MAX(C$2:C1155),A$2:F1155,2,FALSE)),"")</f>
        <v>XF</v>
      </c>
      <c r="E1155" s="1" t="str">
        <f t="shared" si="35"/>
        <v/>
      </c>
    </row>
    <row r="1156" spans="1:5" x14ac:dyDescent="0.25">
      <c r="A1156" s="1">
        <v>1155</v>
      </c>
      <c r="B1156" s="1" t="str">
        <f>IFERROR(IF(F1155&lt;&gt;"",F1155,VLOOKUP(MAX(F$2:F1155),A$1:B1155,2,FALSE)),"")</f>
        <v/>
      </c>
      <c r="C1156" s="1" t="str">
        <f t="shared" si="36"/>
        <v/>
      </c>
      <c r="D1156" s="1" t="str">
        <f>IFERROR(IF(F1156&lt;&gt;"",F1156,VLOOKUP(MAX(C$2:C1156),A$2:F1156,2,FALSE)),"")</f>
        <v>XF</v>
      </c>
      <c r="E1156" s="1" t="str">
        <f t="shared" ref="E1156:E1219" si="37">IF(H1156&lt;&gt;"",CONCATENATE(D1156,".",H1156),"")</f>
        <v/>
      </c>
    </row>
    <row r="1157" spans="1:5" x14ac:dyDescent="0.25">
      <c r="A1157" s="1">
        <v>1156</v>
      </c>
      <c r="B1157" s="1" t="str">
        <f>IFERROR(IF(F1156&lt;&gt;"",F1156,VLOOKUP(MAX(F$2:F1156),A$1:B1156,2,FALSE)),"")</f>
        <v/>
      </c>
      <c r="C1157" s="1" t="str">
        <f t="shared" si="36"/>
        <v/>
      </c>
      <c r="D1157" s="1" t="str">
        <f>IFERROR(IF(F1157&lt;&gt;"",F1157,VLOOKUP(MAX(C$2:C1157),A$2:F1157,2,FALSE)),"")</f>
        <v>XF</v>
      </c>
      <c r="E1157" s="1" t="str">
        <f t="shared" si="37"/>
        <v/>
      </c>
    </row>
    <row r="1158" spans="1:5" x14ac:dyDescent="0.25">
      <c r="A1158" s="1">
        <v>1157</v>
      </c>
      <c r="B1158" s="1" t="str">
        <f>IFERROR(IF(F1157&lt;&gt;"",F1157,VLOOKUP(MAX(F$2:F1157),A$1:B1157,2,FALSE)),"")</f>
        <v/>
      </c>
      <c r="C1158" s="1" t="str">
        <f t="shared" si="36"/>
        <v/>
      </c>
      <c r="D1158" s="1" t="str">
        <f>IFERROR(IF(F1158&lt;&gt;"",F1158,VLOOKUP(MAX(C$2:C1158),A$2:F1158,2,FALSE)),"")</f>
        <v>XF</v>
      </c>
      <c r="E1158" s="1" t="str">
        <f t="shared" si="37"/>
        <v/>
      </c>
    </row>
    <row r="1159" spans="1:5" x14ac:dyDescent="0.25">
      <c r="A1159" s="1">
        <v>1158</v>
      </c>
      <c r="B1159" s="1" t="str">
        <f>IFERROR(IF(F1158&lt;&gt;"",F1158,VLOOKUP(MAX(F$2:F1158),A$1:B1158,2,FALSE)),"")</f>
        <v/>
      </c>
      <c r="C1159" s="1" t="str">
        <f t="shared" si="36"/>
        <v/>
      </c>
      <c r="D1159" s="1" t="str">
        <f>IFERROR(IF(F1159&lt;&gt;"",F1159,VLOOKUP(MAX(C$2:C1159),A$2:F1159,2,FALSE)),"")</f>
        <v>XF</v>
      </c>
      <c r="E1159" s="1" t="str">
        <f t="shared" si="37"/>
        <v/>
      </c>
    </row>
    <row r="1160" spans="1:5" x14ac:dyDescent="0.25">
      <c r="A1160" s="1">
        <v>1159</v>
      </c>
      <c r="B1160" s="1" t="str">
        <f>IFERROR(IF(F1159&lt;&gt;"",F1159,VLOOKUP(MAX(F$2:F1159),A$1:B1159,2,FALSE)),"")</f>
        <v/>
      </c>
      <c r="C1160" s="1" t="str">
        <f t="shared" si="36"/>
        <v/>
      </c>
      <c r="D1160" s="1" t="str">
        <f>IFERROR(IF(F1160&lt;&gt;"",F1160,VLOOKUP(MAX(C$2:C1160),A$2:F1160,2,FALSE)),"")</f>
        <v>XF</v>
      </c>
      <c r="E1160" s="1" t="str">
        <f t="shared" si="37"/>
        <v/>
      </c>
    </row>
    <row r="1161" spans="1:5" x14ac:dyDescent="0.25">
      <c r="A1161" s="1">
        <v>1160</v>
      </c>
      <c r="B1161" s="1" t="str">
        <f>IFERROR(IF(F1160&lt;&gt;"",F1160,VLOOKUP(MAX(F$2:F1160),A$1:B1160,2,FALSE)),"")</f>
        <v/>
      </c>
      <c r="C1161" s="1" t="str">
        <f t="shared" si="36"/>
        <v/>
      </c>
      <c r="D1161" s="1" t="str">
        <f>IFERROR(IF(F1161&lt;&gt;"",F1161,VLOOKUP(MAX(C$2:C1161),A$2:F1161,2,FALSE)),"")</f>
        <v>XF</v>
      </c>
      <c r="E1161" s="1" t="str">
        <f t="shared" si="37"/>
        <v/>
      </c>
    </row>
    <row r="1162" spans="1:5" x14ac:dyDescent="0.25">
      <c r="A1162" s="1">
        <v>1161</v>
      </c>
      <c r="B1162" s="1" t="str">
        <f>IFERROR(IF(F1161&lt;&gt;"",F1161,VLOOKUP(MAX(F$2:F1161),A$1:B1161,2,FALSE)),"")</f>
        <v/>
      </c>
      <c r="C1162" s="1" t="str">
        <f t="shared" si="36"/>
        <v/>
      </c>
      <c r="D1162" s="1" t="str">
        <f>IFERROR(IF(F1162&lt;&gt;"",F1162,VLOOKUP(MAX(C$2:C1162),A$2:F1162,2,FALSE)),"")</f>
        <v>XF</v>
      </c>
      <c r="E1162" s="1" t="str">
        <f t="shared" si="37"/>
        <v/>
      </c>
    </row>
    <row r="1163" spans="1:5" x14ac:dyDescent="0.25">
      <c r="A1163" s="1">
        <v>1162</v>
      </c>
      <c r="B1163" s="1" t="str">
        <f>IFERROR(IF(F1162&lt;&gt;"",F1162,VLOOKUP(MAX(F$2:F1162),A$1:B1162,2,FALSE)),"")</f>
        <v/>
      </c>
      <c r="C1163" s="1" t="str">
        <f t="shared" si="36"/>
        <v/>
      </c>
      <c r="D1163" s="1" t="str">
        <f>IFERROR(IF(F1163&lt;&gt;"",F1163,VLOOKUP(MAX(C$2:C1163),A$2:F1163,2,FALSE)),"")</f>
        <v>XF</v>
      </c>
      <c r="E1163" s="1" t="str">
        <f t="shared" si="37"/>
        <v/>
      </c>
    </row>
    <row r="1164" spans="1:5" x14ac:dyDescent="0.25">
      <c r="A1164" s="1">
        <v>1163</v>
      </c>
      <c r="B1164" s="1" t="str">
        <f>IFERROR(IF(F1163&lt;&gt;"",F1163,VLOOKUP(MAX(F$2:F1163),A$1:B1163,2,FALSE)),"")</f>
        <v/>
      </c>
      <c r="C1164" s="1" t="str">
        <f t="shared" si="36"/>
        <v/>
      </c>
      <c r="D1164" s="1" t="str">
        <f>IFERROR(IF(F1164&lt;&gt;"",F1164,VLOOKUP(MAX(C$2:C1164),A$2:F1164,2,FALSE)),"")</f>
        <v>XF</v>
      </c>
      <c r="E1164" s="1" t="str">
        <f t="shared" si="37"/>
        <v/>
      </c>
    </row>
    <row r="1165" spans="1:5" x14ac:dyDescent="0.25">
      <c r="A1165" s="1">
        <v>1164</v>
      </c>
      <c r="B1165" s="1" t="str">
        <f>IFERROR(IF(F1164&lt;&gt;"",F1164,VLOOKUP(MAX(F$2:F1164),A$1:B1164,2,FALSE)),"")</f>
        <v/>
      </c>
      <c r="C1165" s="1" t="str">
        <f t="shared" si="36"/>
        <v/>
      </c>
      <c r="D1165" s="1" t="str">
        <f>IFERROR(IF(F1165&lt;&gt;"",F1165,VLOOKUP(MAX(C$2:C1165),A$2:F1165,2,FALSE)),"")</f>
        <v>XF</v>
      </c>
      <c r="E1165" s="1" t="str">
        <f t="shared" si="37"/>
        <v/>
      </c>
    </row>
    <row r="1166" spans="1:5" x14ac:dyDescent="0.25">
      <c r="A1166" s="1">
        <v>1165</v>
      </c>
      <c r="B1166" s="1" t="str">
        <f>IFERROR(IF(F1165&lt;&gt;"",F1165,VLOOKUP(MAX(F$2:F1165),A$1:B1165,2,FALSE)),"")</f>
        <v/>
      </c>
      <c r="C1166" s="1" t="str">
        <f t="shared" si="36"/>
        <v/>
      </c>
      <c r="D1166" s="1" t="str">
        <f>IFERROR(IF(F1166&lt;&gt;"",F1166,VLOOKUP(MAX(C$2:C1166),A$2:F1166,2,FALSE)),"")</f>
        <v>XF</v>
      </c>
      <c r="E1166" s="1" t="str">
        <f t="shared" si="37"/>
        <v/>
      </c>
    </row>
    <row r="1167" spans="1:5" x14ac:dyDescent="0.25">
      <c r="A1167" s="1">
        <v>1166</v>
      </c>
      <c r="B1167" s="1" t="str">
        <f>IFERROR(IF(F1166&lt;&gt;"",F1166,VLOOKUP(MAX(F$2:F1166),A$1:B1166,2,FALSE)),"")</f>
        <v/>
      </c>
      <c r="C1167" s="1" t="str">
        <f t="shared" si="36"/>
        <v/>
      </c>
      <c r="D1167" s="1" t="str">
        <f>IFERROR(IF(F1167&lt;&gt;"",F1167,VLOOKUP(MAX(C$2:C1167),A$2:F1167,2,FALSE)),"")</f>
        <v>XF</v>
      </c>
      <c r="E1167" s="1" t="str">
        <f t="shared" si="37"/>
        <v/>
      </c>
    </row>
    <row r="1168" spans="1:5" x14ac:dyDescent="0.25">
      <c r="A1168" s="1">
        <v>1167</v>
      </c>
      <c r="B1168" s="1" t="str">
        <f>IFERROR(IF(F1167&lt;&gt;"",F1167,VLOOKUP(MAX(F$2:F1167),A$1:B1167,2,FALSE)),"")</f>
        <v/>
      </c>
      <c r="C1168" s="1" t="str">
        <f t="shared" si="36"/>
        <v/>
      </c>
      <c r="D1168" s="1" t="str">
        <f>IFERROR(IF(F1168&lt;&gt;"",F1168,VLOOKUP(MAX(C$2:C1168),A$2:F1168,2,FALSE)),"")</f>
        <v>XF</v>
      </c>
      <c r="E1168" s="1" t="str">
        <f t="shared" si="37"/>
        <v/>
      </c>
    </row>
    <row r="1169" spans="1:5" x14ac:dyDescent="0.25">
      <c r="A1169" s="1">
        <v>1168</v>
      </c>
      <c r="B1169" s="1" t="str">
        <f>IFERROR(IF(F1168&lt;&gt;"",F1168,VLOOKUP(MAX(F$2:F1168),A$1:B1168,2,FALSE)),"")</f>
        <v/>
      </c>
      <c r="C1169" s="1" t="str">
        <f t="shared" si="36"/>
        <v/>
      </c>
      <c r="D1169" s="1" t="str">
        <f>IFERROR(IF(F1169&lt;&gt;"",F1169,VLOOKUP(MAX(C$2:C1169),A$2:F1169,2,FALSE)),"")</f>
        <v>XF</v>
      </c>
      <c r="E1169" s="1" t="str">
        <f t="shared" si="37"/>
        <v/>
      </c>
    </row>
    <row r="1170" spans="1:5" x14ac:dyDescent="0.25">
      <c r="A1170" s="1">
        <v>1169</v>
      </c>
      <c r="B1170" s="1" t="str">
        <f>IFERROR(IF(F1169&lt;&gt;"",F1169,VLOOKUP(MAX(F$2:F1169),A$1:B1169,2,FALSE)),"")</f>
        <v/>
      </c>
      <c r="C1170" s="1" t="str">
        <f t="shared" si="36"/>
        <v/>
      </c>
      <c r="D1170" s="1" t="str">
        <f>IFERROR(IF(F1170&lt;&gt;"",F1170,VLOOKUP(MAX(C$2:C1170),A$2:F1170,2,FALSE)),"")</f>
        <v>XF</v>
      </c>
      <c r="E1170" s="1" t="str">
        <f t="shared" si="37"/>
        <v/>
      </c>
    </row>
    <row r="1171" spans="1:5" x14ac:dyDescent="0.25">
      <c r="A1171" s="1">
        <v>1170</v>
      </c>
      <c r="B1171" s="1" t="str">
        <f>IFERROR(IF(F1170&lt;&gt;"",F1170,VLOOKUP(MAX(F$2:F1170),A$1:B1170,2,FALSE)),"")</f>
        <v/>
      </c>
      <c r="C1171" s="1" t="str">
        <f t="shared" si="36"/>
        <v/>
      </c>
      <c r="D1171" s="1" t="str">
        <f>IFERROR(IF(F1171&lt;&gt;"",F1171,VLOOKUP(MAX(C$2:C1171),A$2:F1171,2,FALSE)),"")</f>
        <v>XF</v>
      </c>
      <c r="E1171" s="1" t="str">
        <f t="shared" si="37"/>
        <v/>
      </c>
    </row>
    <row r="1172" spans="1:5" x14ac:dyDescent="0.25">
      <c r="A1172" s="1">
        <v>1171</v>
      </c>
      <c r="B1172" s="1" t="str">
        <f>IFERROR(IF(F1171&lt;&gt;"",F1171,VLOOKUP(MAX(F$2:F1171),A$1:B1171,2,FALSE)),"")</f>
        <v/>
      </c>
      <c r="C1172" s="1" t="str">
        <f t="shared" si="36"/>
        <v/>
      </c>
      <c r="D1172" s="1" t="str">
        <f>IFERROR(IF(F1172&lt;&gt;"",F1172,VLOOKUP(MAX(C$2:C1172),A$2:F1172,2,FALSE)),"")</f>
        <v>XF</v>
      </c>
      <c r="E1172" s="1" t="str">
        <f t="shared" si="37"/>
        <v/>
      </c>
    </row>
    <row r="1173" spans="1:5" x14ac:dyDescent="0.25">
      <c r="A1173" s="1">
        <v>1172</v>
      </c>
      <c r="B1173" s="1" t="str">
        <f>IFERROR(IF(F1172&lt;&gt;"",F1172,VLOOKUP(MAX(F$2:F1172),A$1:B1172,2,FALSE)),"")</f>
        <v/>
      </c>
      <c r="C1173" s="1" t="str">
        <f t="shared" si="36"/>
        <v/>
      </c>
      <c r="D1173" s="1" t="str">
        <f>IFERROR(IF(F1173&lt;&gt;"",F1173,VLOOKUP(MAX(C$2:C1173),A$2:F1173,2,FALSE)),"")</f>
        <v>XF</v>
      </c>
      <c r="E1173" s="1" t="str">
        <f t="shared" si="37"/>
        <v/>
      </c>
    </row>
    <row r="1174" spans="1:5" x14ac:dyDescent="0.25">
      <c r="A1174" s="1">
        <v>1173</v>
      </c>
      <c r="B1174" s="1" t="str">
        <f>IFERROR(IF(F1173&lt;&gt;"",F1173,VLOOKUP(MAX(F$2:F1173),A$1:B1173,2,FALSE)),"")</f>
        <v/>
      </c>
      <c r="C1174" s="1" t="str">
        <f t="shared" si="36"/>
        <v/>
      </c>
      <c r="D1174" s="1" t="str">
        <f>IFERROR(IF(F1174&lt;&gt;"",F1174,VLOOKUP(MAX(C$2:C1174),A$2:F1174,2,FALSE)),"")</f>
        <v>XF</v>
      </c>
      <c r="E1174" s="1" t="str">
        <f t="shared" si="37"/>
        <v/>
      </c>
    </row>
    <row r="1175" spans="1:5" x14ac:dyDescent="0.25">
      <c r="A1175" s="1">
        <v>1174</v>
      </c>
      <c r="B1175" s="1" t="str">
        <f>IFERROR(IF(F1174&lt;&gt;"",F1174,VLOOKUP(MAX(F$2:F1174),A$1:B1174,2,FALSE)),"")</f>
        <v/>
      </c>
      <c r="C1175" s="1" t="str">
        <f t="shared" si="36"/>
        <v/>
      </c>
      <c r="D1175" s="1" t="str">
        <f>IFERROR(IF(F1175&lt;&gt;"",F1175,VLOOKUP(MAX(C$2:C1175),A$2:F1175,2,FALSE)),"")</f>
        <v>XF</v>
      </c>
      <c r="E1175" s="1" t="str">
        <f t="shared" si="37"/>
        <v/>
      </c>
    </row>
    <row r="1176" spans="1:5" x14ac:dyDescent="0.25">
      <c r="A1176" s="1">
        <v>1175</v>
      </c>
      <c r="B1176" s="1" t="str">
        <f>IFERROR(IF(F1175&lt;&gt;"",F1175,VLOOKUP(MAX(F$2:F1175),A$1:B1175,2,FALSE)),"")</f>
        <v/>
      </c>
      <c r="C1176" s="1" t="str">
        <f t="shared" si="36"/>
        <v/>
      </c>
      <c r="D1176" s="1" t="str">
        <f>IFERROR(IF(F1176&lt;&gt;"",F1176,VLOOKUP(MAX(C$2:C1176),A$2:F1176,2,FALSE)),"")</f>
        <v>XF</v>
      </c>
      <c r="E1176" s="1" t="str">
        <f t="shared" si="37"/>
        <v/>
      </c>
    </row>
    <row r="1177" spans="1:5" x14ac:dyDescent="0.25">
      <c r="A1177" s="1">
        <v>1176</v>
      </c>
      <c r="B1177" s="1" t="str">
        <f>IFERROR(IF(F1176&lt;&gt;"",F1176,VLOOKUP(MAX(F$2:F1176),A$1:B1176,2,FALSE)),"")</f>
        <v/>
      </c>
      <c r="C1177" s="1" t="str">
        <f t="shared" si="36"/>
        <v/>
      </c>
      <c r="D1177" s="1" t="str">
        <f>IFERROR(IF(F1177&lt;&gt;"",F1177,VLOOKUP(MAX(C$2:C1177),A$2:F1177,2,FALSE)),"")</f>
        <v>XF</v>
      </c>
      <c r="E1177" s="1" t="str">
        <f t="shared" si="37"/>
        <v/>
      </c>
    </row>
    <row r="1178" spans="1:5" x14ac:dyDescent="0.25">
      <c r="A1178" s="1">
        <v>1177</v>
      </c>
      <c r="B1178" s="1" t="str">
        <f>IFERROR(IF(F1177&lt;&gt;"",F1177,VLOOKUP(MAX(F$2:F1177),A$1:B1177,2,FALSE)),"")</f>
        <v/>
      </c>
      <c r="C1178" s="1" t="str">
        <f t="shared" si="36"/>
        <v/>
      </c>
      <c r="D1178" s="1" t="str">
        <f>IFERROR(IF(F1178&lt;&gt;"",F1178,VLOOKUP(MAX(C$2:C1178),A$2:F1178,2,FALSE)),"")</f>
        <v>XF</v>
      </c>
      <c r="E1178" s="1" t="str">
        <f t="shared" si="37"/>
        <v/>
      </c>
    </row>
    <row r="1179" spans="1:5" x14ac:dyDescent="0.25">
      <c r="A1179" s="1">
        <v>1178</v>
      </c>
      <c r="B1179" s="1" t="str">
        <f>IFERROR(IF(F1178&lt;&gt;"",F1178,VLOOKUP(MAX(F$2:F1178),A$1:B1178,2,FALSE)),"")</f>
        <v/>
      </c>
      <c r="C1179" s="1" t="str">
        <f t="shared" si="36"/>
        <v/>
      </c>
      <c r="D1179" s="1" t="str">
        <f>IFERROR(IF(F1179&lt;&gt;"",F1179,VLOOKUP(MAX(C$2:C1179),A$2:F1179,2,FALSE)),"")</f>
        <v>XF</v>
      </c>
      <c r="E1179" s="1" t="str">
        <f t="shared" si="37"/>
        <v/>
      </c>
    </row>
    <row r="1180" spans="1:5" x14ac:dyDescent="0.25">
      <c r="A1180" s="1">
        <v>1179</v>
      </c>
      <c r="B1180" s="1" t="str">
        <f>IFERROR(IF(F1179&lt;&gt;"",F1179,VLOOKUP(MAX(F$2:F1179),A$1:B1179,2,FALSE)),"")</f>
        <v/>
      </c>
      <c r="C1180" s="1" t="str">
        <f t="shared" si="36"/>
        <v/>
      </c>
      <c r="D1180" s="1" t="str">
        <f>IFERROR(IF(F1180&lt;&gt;"",F1180,VLOOKUP(MAX(C$2:C1180),A$2:F1180,2,FALSE)),"")</f>
        <v>XF</v>
      </c>
      <c r="E1180" s="1" t="str">
        <f t="shared" si="37"/>
        <v/>
      </c>
    </row>
    <row r="1181" spans="1:5" x14ac:dyDescent="0.25">
      <c r="A1181" s="1">
        <v>1180</v>
      </c>
      <c r="B1181" s="1" t="str">
        <f>IFERROR(IF(F1180&lt;&gt;"",F1180,VLOOKUP(MAX(F$2:F1180),A$1:B1180,2,FALSE)),"")</f>
        <v/>
      </c>
      <c r="C1181" s="1" t="str">
        <f t="shared" si="36"/>
        <v/>
      </c>
      <c r="D1181" s="1" t="str">
        <f>IFERROR(IF(F1181&lt;&gt;"",F1181,VLOOKUP(MAX(C$2:C1181),A$2:F1181,2,FALSE)),"")</f>
        <v>XF</v>
      </c>
      <c r="E1181" s="1" t="str">
        <f t="shared" si="37"/>
        <v/>
      </c>
    </row>
    <row r="1182" spans="1:5" x14ac:dyDescent="0.25">
      <c r="A1182" s="1">
        <v>1181</v>
      </c>
      <c r="B1182" s="1" t="str">
        <f>IFERROR(IF(F1181&lt;&gt;"",F1181,VLOOKUP(MAX(F$2:F1181),A$1:B1181,2,FALSE)),"")</f>
        <v/>
      </c>
      <c r="C1182" s="1" t="str">
        <f t="shared" si="36"/>
        <v/>
      </c>
      <c r="D1182" s="1" t="str">
        <f>IFERROR(IF(F1182&lt;&gt;"",F1182,VLOOKUP(MAX(C$2:C1182),A$2:F1182,2,FALSE)),"")</f>
        <v>XF</v>
      </c>
      <c r="E1182" s="1" t="str">
        <f t="shared" si="37"/>
        <v/>
      </c>
    </row>
    <row r="1183" spans="1:5" x14ac:dyDescent="0.25">
      <c r="A1183" s="1">
        <v>1182</v>
      </c>
      <c r="B1183" s="1" t="str">
        <f>IFERROR(IF(F1182&lt;&gt;"",F1182,VLOOKUP(MAX(F$2:F1182),A$1:B1182,2,FALSE)),"")</f>
        <v/>
      </c>
      <c r="C1183" s="1" t="str">
        <f t="shared" si="36"/>
        <v/>
      </c>
      <c r="D1183" s="1" t="str">
        <f>IFERROR(IF(F1183&lt;&gt;"",F1183,VLOOKUP(MAX(C$2:C1183),A$2:F1183,2,FALSE)),"")</f>
        <v>XF</v>
      </c>
      <c r="E1183" s="1" t="str">
        <f t="shared" si="37"/>
        <v/>
      </c>
    </row>
    <row r="1184" spans="1:5" x14ac:dyDescent="0.25">
      <c r="A1184" s="1">
        <v>1183</v>
      </c>
      <c r="B1184" s="1" t="str">
        <f>IFERROR(IF(F1183&lt;&gt;"",F1183,VLOOKUP(MAX(F$2:F1183),A$1:B1183,2,FALSE)),"")</f>
        <v/>
      </c>
      <c r="C1184" s="1" t="str">
        <f t="shared" si="36"/>
        <v/>
      </c>
      <c r="D1184" s="1" t="str">
        <f>IFERROR(IF(F1184&lt;&gt;"",F1184,VLOOKUP(MAX(C$2:C1184),A$2:F1184,2,FALSE)),"")</f>
        <v>XF</v>
      </c>
      <c r="E1184" s="1" t="str">
        <f t="shared" si="37"/>
        <v/>
      </c>
    </row>
    <row r="1185" spans="1:5" x14ac:dyDescent="0.25">
      <c r="A1185" s="1">
        <v>1184</v>
      </c>
      <c r="B1185" s="1" t="str">
        <f>IFERROR(IF(F1184&lt;&gt;"",F1184,VLOOKUP(MAX(F$2:F1184),A$1:B1184,2,FALSE)),"")</f>
        <v/>
      </c>
      <c r="C1185" s="1" t="str">
        <f t="shared" si="36"/>
        <v/>
      </c>
      <c r="D1185" s="1" t="str">
        <f>IFERROR(IF(F1185&lt;&gt;"",F1185,VLOOKUP(MAX(C$2:C1185),A$2:F1185,2,FALSE)),"")</f>
        <v>XF</v>
      </c>
      <c r="E1185" s="1" t="str">
        <f t="shared" si="37"/>
        <v/>
      </c>
    </row>
    <row r="1186" spans="1:5" x14ac:dyDescent="0.25">
      <c r="A1186" s="1">
        <v>1185</v>
      </c>
      <c r="B1186" s="1" t="str">
        <f>IFERROR(IF(F1185&lt;&gt;"",F1185,VLOOKUP(MAX(F$2:F1185),A$1:B1185,2,FALSE)),"")</f>
        <v/>
      </c>
      <c r="C1186" s="1" t="str">
        <f t="shared" si="36"/>
        <v/>
      </c>
      <c r="D1186" s="1" t="str">
        <f>IFERROR(IF(F1186&lt;&gt;"",F1186,VLOOKUP(MAX(C$2:C1186),A$2:F1186,2,FALSE)),"")</f>
        <v>XF</v>
      </c>
      <c r="E1186" s="1" t="str">
        <f t="shared" si="37"/>
        <v/>
      </c>
    </row>
    <row r="1187" spans="1:5" x14ac:dyDescent="0.25">
      <c r="A1187" s="1">
        <v>1186</v>
      </c>
      <c r="B1187" s="1" t="str">
        <f>IFERROR(IF(F1186&lt;&gt;"",F1186,VLOOKUP(MAX(F$2:F1186),A$1:B1186,2,FALSE)),"")</f>
        <v/>
      </c>
      <c r="C1187" s="1" t="str">
        <f t="shared" si="36"/>
        <v/>
      </c>
      <c r="D1187" s="1" t="str">
        <f>IFERROR(IF(F1187&lt;&gt;"",F1187,VLOOKUP(MAX(C$2:C1187),A$2:F1187,2,FALSE)),"")</f>
        <v>XF</v>
      </c>
      <c r="E1187" s="1" t="str">
        <f t="shared" si="37"/>
        <v/>
      </c>
    </row>
    <row r="1188" spans="1:5" x14ac:dyDescent="0.25">
      <c r="A1188" s="1">
        <v>1187</v>
      </c>
      <c r="B1188" s="1" t="str">
        <f>IFERROR(IF(F1187&lt;&gt;"",F1187,VLOOKUP(MAX(F$2:F1187),A$1:B1187,2,FALSE)),"")</f>
        <v/>
      </c>
      <c r="C1188" s="1" t="str">
        <f t="shared" si="36"/>
        <v/>
      </c>
      <c r="D1188" s="1" t="str">
        <f>IFERROR(IF(F1188&lt;&gt;"",F1188,VLOOKUP(MAX(C$2:C1188),A$2:F1188,2,FALSE)),"")</f>
        <v>XF</v>
      </c>
      <c r="E1188" s="1" t="str">
        <f t="shared" si="37"/>
        <v/>
      </c>
    </row>
    <row r="1189" spans="1:5" x14ac:dyDescent="0.25">
      <c r="A1189" s="1">
        <v>1188</v>
      </c>
      <c r="B1189" s="1" t="str">
        <f>IFERROR(IF(F1188&lt;&gt;"",F1188,VLOOKUP(MAX(F$2:F1188),A$1:B1188,2,FALSE)),"")</f>
        <v/>
      </c>
      <c r="C1189" s="1" t="str">
        <f t="shared" si="36"/>
        <v/>
      </c>
      <c r="D1189" s="1" t="str">
        <f>IFERROR(IF(F1189&lt;&gt;"",F1189,VLOOKUP(MAX(C$2:C1189),A$2:F1189,2,FALSE)),"")</f>
        <v>XF</v>
      </c>
      <c r="E1189" s="1" t="str">
        <f t="shared" si="37"/>
        <v/>
      </c>
    </row>
    <row r="1190" spans="1:5" x14ac:dyDescent="0.25">
      <c r="A1190" s="1">
        <v>1189</v>
      </c>
      <c r="B1190" s="1" t="str">
        <f>IFERROR(IF(F1189&lt;&gt;"",F1189,VLOOKUP(MAX(F$2:F1189),A$1:B1189,2,FALSE)),"")</f>
        <v/>
      </c>
      <c r="C1190" s="1" t="str">
        <f t="shared" si="36"/>
        <v/>
      </c>
      <c r="D1190" s="1" t="str">
        <f>IFERROR(IF(F1190&lt;&gt;"",F1190,VLOOKUP(MAX(C$2:C1190),A$2:F1190,2,FALSE)),"")</f>
        <v>XF</v>
      </c>
      <c r="E1190" s="1" t="str">
        <f t="shared" si="37"/>
        <v/>
      </c>
    </row>
    <row r="1191" spans="1:5" x14ac:dyDescent="0.25">
      <c r="A1191" s="1">
        <v>1190</v>
      </c>
      <c r="B1191" s="1" t="str">
        <f>IFERROR(IF(F1190&lt;&gt;"",F1190,VLOOKUP(MAX(F$2:F1190),A$1:B1190,2,FALSE)),"")</f>
        <v/>
      </c>
      <c r="C1191" s="1" t="str">
        <f t="shared" si="36"/>
        <v/>
      </c>
      <c r="D1191" s="1" t="str">
        <f>IFERROR(IF(F1191&lt;&gt;"",F1191,VLOOKUP(MAX(C$2:C1191),A$2:F1191,2,FALSE)),"")</f>
        <v>XF</v>
      </c>
      <c r="E1191" s="1" t="str">
        <f t="shared" si="37"/>
        <v/>
      </c>
    </row>
    <row r="1192" spans="1:5" x14ac:dyDescent="0.25">
      <c r="A1192" s="1">
        <v>1191</v>
      </c>
      <c r="B1192" s="1" t="str">
        <f>IFERROR(IF(F1191&lt;&gt;"",F1191,VLOOKUP(MAX(F$2:F1191),A$1:B1191,2,FALSE)),"")</f>
        <v/>
      </c>
      <c r="C1192" s="1" t="str">
        <f t="shared" si="36"/>
        <v/>
      </c>
      <c r="D1192" s="1" t="str">
        <f>IFERROR(IF(F1192&lt;&gt;"",F1192,VLOOKUP(MAX(C$2:C1192),A$2:F1192,2,FALSE)),"")</f>
        <v>XF</v>
      </c>
      <c r="E1192" s="1" t="str">
        <f t="shared" si="37"/>
        <v/>
      </c>
    </row>
    <row r="1193" spans="1:5" x14ac:dyDescent="0.25">
      <c r="A1193" s="1">
        <v>1192</v>
      </c>
      <c r="B1193" s="1" t="str">
        <f>IFERROR(IF(F1192&lt;&gt;"",F1192,VLOOKUP(MAX(F$2:F1192),A$1:B1192,2,FALSE)),"")</f>
        <v/>
      </c>
      <c r="C1193" s="1" t="str">
        <f t="shared" si="36"/>
        <v/>
      </c>
      <c r="D1193" s="1" t="str">
        <f>IFERROR(IF(F1193&lt;&gt;"",F1193,VLOOKUP(MAX(C$2:C1193),A$2:F1193,2,FALSE)),"")</f>
        <v>XF</v>
      </c>
      <c r="E1193" s="1" t="str">
        <f t="shared" si="37"/>
        <v/>
      </c>
    </row>
    <row r="1194" spans="1:5" x14ac:dyDescent="0.25">
      <c r="A1194" s="1">
        <v>1193</v>
      </c>
      <c r="B1194" s="1" t="str">
        <f>IFERROR(IF(F1193&lt;&gt;"",F1193,VLOOKUP(MAX(F$2:F1193),A$1:B1193,2,FALSE)),"")</f>
        <v/>
      </c>
      <c r="C1194" s="1" t="str">
        <f t="shared" si="36"/>
        <v/>
      </c>
      <c r="D1194" s="1" t="str">
        <f>IFERROR(IF(F1194&lt;&gt;"",F1194,VLOOKUP(MAX(C$2:C1194),A$2:F1194,2,FALSE)),"")</f>
        <v>XF</v>
      </c>
      <c r="E1194" s="1" t="str">
        <f t="shared" si="37"/>
        <v/>
      </c>
    </row>
    <row r="1195" spans="1:5" x14ac:dyDescent="0.25">
      <c r="A1195" s="1">
        <v>1194</v>
      </c>
      <c r="B1195" s="1" t="str">
        <f>IFERROR(IF(F1194&lt;&gt;"",F1194,VLOOKUP(MAX(F$2:F1194),A$1:B1194,2,FALSE)),"")</f>
        <v/>
      </c>
      <c r="C1195" s="1" t="str">
        <f t="shared" si="36"/>
        <v/>
      </c>
      <c r="D1195" s="1" t="str">
        <f>IFERROR(IF(F1195&lt;&gt;"",F1195,VLOOKUP(MAX(C$2:C1195),A$2:F1195,2,FALSE)),"")</f>
        <v>XF</v>
      </c>
      <c r="E1195" s="1" t="str">
        <f t="shared" si="37"/>
        <v/>
      </c>
    </row>
    <row r="1196" spans="1:5" x14ac:dyDescent="0.25">
      <c r="A1196" s="1">
        <v>1195</v>
      </c>
      <c r="B1196" s="1" t="str">
        <f>IFERROR(IF(F1195&lt;&gt;"",F1195,VLOOKUP(MAX(F$2:F1195),A$1:B1195,2,FALSE)),"")</f>
        <v/>
      </c>
      <c r="C1196" s="1" t="str">
        <f t="shared" si="36"/>
        <v/>
      </c>
      <c r="D1196" s="1" t="str">
        <f>IFERROR(IF(F1196&lt;&gt;"",F1196,VLOOKUP(MAX(C$2:C1196),A$2:F1196,2,FALSE)),"")</f>
        <v>XF</v>
      </c>
      <c r="E1196" s="1" t="str">
        <f t="shared" si="37"/>
        <v/>
      </c>
    </row>
    <row r="1197" spans="1:5" x14ac:dyDescent="0.25">
      <c r="A1197" s="1">
        <v>1196</v>
      </c>
      <c r="B1197" s="1" t="str">
        <f>IFERROR(IF(F1196&lt;&gt;"",F1196,VLOOKUP(MAX(F$2:F1196),A$1:B1196,2,FALSE)),"")</f>
        <v/>
      </c>
      <c r="C1197" s="1" t="str">
        <f t="shared" si="36"/>
        <v/>
      </c>
      <c r="D1197" s="1" t="str">
        <f>IFERROR(IF(F1197&lt;&gt;"",F1197,VLOOKUP(MAX(C$2:C1197),A$2:F1197,2,FALSE)),"")</f>
        <v>XF</v>
      </c>
      <c r="E1197" s="1" t="str">
        <f t="shared" si="37"/>
        <v/>
      </c>
    </row>
    <row r="1198" spans="1:5" x14ac:dyDescent="0.25">
      <c r="A1198" s="1">
        <v>1197</v>
      </c>
      <c r="B1198" s="1" t="str">
        <f>IFERROR(IF(F1197&lt;&gt;"",F1197,VLOOKUP(MAX(F$2:F1197),A$1:B1197,2,FALSE)),"")</f>
        <v/>
      </c>
      <c r="C1198" s="1" t="str">
        <f t="shared" si="36"/>
        <v/>
      </c>
      <c r="D1198" s="1" t="str">
        <f>IFERROR(IF(F1198&lt;&gt;"",F1198,VLOOKUP(MAX(C$2:C1198),A$2:F1198,2,FALSE)),"")</f>
        <v>XF</v>
      </c>
      <c r="E1198" s="1" t="str">
        <f t="shared" si="37"/>
        <v/>
      </c>
    </row>
    <row r="1199" spans="1:5" x14ac:dyDescent="0.25">
      <c r="A1199" s="1">
        <v>1198</v>
      </c>
      <c r="B1199" s="1" t="str">
        <f>IFERROR(IF(F1198&lt;&gt;"",F1198,VLOOKUP(MAX(F$2:F1198),A$1:B1198,2,FALSE)),"")</f>
        <v/>
      </c>
      <c r="C1199" s="1" t="str">
        <f t="shared" si="36"/>
        <v/>
      </c>
      <c r="D1199" s="1" t="str">
        <f>IFERROR(IF(F1199&lt;&gt;"",F1199,VLOOKUP(MAX(C$2:C1199),A$2:F1199,2,FALSE)),"")</f>
        <v>XF</v>
      </c>
      <c r="E1199" s="1" t="str">
        <f t="shared" si="37"/>
        <v/>
      </c>
    </row>
    <row r="1200" spans="1:5" x14ac:dyDescent="0.25">
      <c r="A1200" s="1">
        <v>1199</v>
      </c>
      <c r="B1200" s="1" t="str">
        <f>IFERROR(IF(F1199&lt;&gt;"",F1199,VLOOKUP(MAX(F$2:F1199),A$1:B1199,2,FALSE)),"")</f>
        <v/>
      </c>
      <c r="C1200" s="1" t="str">
        <f t="shared" si="36"/>
        <v/>
      </c>
      <c r="D1200" s="1" t="str">
        <f>IFERROR(IF(F1200&lt;&gt;"",F1200,VLOOKUP(MAX(C$2:C1200),A$2:F1200,2,FALSE)),"")</f>
        <v>XF</v>
      </c>
      <c r="E1200" s="1" t="str">
        <f t="shared" si="37"/>
        <v/>
      </c>
    </row>
    <row r="1201" spans="1:5" x14ac:dyDescent="0.25">
      <c r="A1201" s="1">
        <v>1200</v>
      </c>
      <c r="B1201" s="1" t="str">
        <f>IFERROR(IF(F1200&lt;&gt;"",F1200,VLOOKUP(MAX(F$2:F1200),A$1:B1200,2,FALSE)),"")</f>
        <v/>
      </c>
      <c r="C1201" s="1" t="str">
        <f t="shared" si="36"/>
        <v/>
      </c>
      <c r="D1201" s="1" t="str">
        <f>IFERROR(IF(F1201&lt;&gt;"",F1201,VLOOKUP(MAX(C$2:C1201),A$2:F1201,2,FALSE)),"")</f>
        <v>XF</v>
      </c>
      <c r="E1201" s="1" t="str">
        <f t="shared" si="37"/>
        <v/>
      </c>
    </row>
    <row r="1202" spans="1:5" x14ac:dyDescent="0.25">
      <c r="A1202" s="1">
        <v>1201</v>
      </c>
      <c r="B1202" s="1" t="str">
        <f>IFERROR(IF(F1201&lt;&gt;"",F1201,VLOOKUP(MAX(F$2:F1201),A$1:B1201,2,FALSE)),"")</f>
        <v/>
      </c>
      <c r="C1202" s="1" t="str">
        <f t="shared" si="36"/>
        <v/>
      </c>
      <c r="D1202" s="1" t="str">
        <f>IFERROR(IF(F1202&lt;&gt;"",F1202,VLOOKUP(MAX(C$2:C1202),A$2:F1202,2,FALSE)),"")</f>
        <v>XF</v>
      </c>
      <c r="E1202" s="1" t="str">
        <f t="shared" si="37"/>
        <v/>
      </c>
    </row>
    <row r="1203" spans="1:5" x14ac:dyDescent="0.25">
      <c r="A1203" s="1">
        <v>1202</v>
      </c>
      <c r="B1203" s="1" t="str">
        <f>IFERROR(IF(F1202&lt;&gt;"",F1202,VLOOKUP(MAX(F$2:F1202),A$1:B1202,2,FALSE)),"")</f>
        <v/>
      </c>
      <c r="C1203" s="1" t="str">
        <f t="shared" si="36"/>
        <v/>
      </c>
      <c r="D1203" s="1" t="str">
        <f>IFERROR(IF(F1203&lt;&gt;"",F1203,VLOOKUP(MAX(C$2:C1203),A$2:F1203,2,FALSE)),"")</f>
        <v>XF</v>
      </c>
      <c r="E1203" s="1" t="str">
        <f t="shared" si="37"/>
        <v/>
      </c>
    </row>
    <row r="1204" spans="1:5" x14ac:dyDescent="0.25">
      <c r="A1204" s="1">
        <v>1203</v>
      </c>
      <c r="B1204" s="1" t="str">
        <f>IFERROR(IF(F1203&lt;&gt;"",F1203,VLOOKUP(MAX(F$2:F1203),A$1:B1203,2,FALSE)),"")</f>
        <v/>
      </c>
      <c r="C1204" s="1" t="str">
        <f t="shared" si="36"/>
        <v/>
      </c>
      <c r="D1204" s="1" t="str">
        <f>IFERROR(IF(F1204&lt;&gt;"",F1204,VLOOKUP(MAX(C$2:C1204),A$2:F1204,2,FALSE)),"")</f>
        <v>XF</v>
      </c>
      <c r="E1204" s="1" t="str">
        <f t="shared" si="37"/>
        <v/>
      </c>
    </row>
    <row r="1205" spans="1:5" x14ac:dyDescent="0.25">
      <c r="A1205" s="1">
        <v>1204</v>
      </c>
      <c r="B1205" s="1" t="str">
        <f>IFERROR(IF(F1204&lt;&gt;"",F1204,VLOOKUP(MAX(F$2:F1204),A$1:B1204,2,FALSE)),"")</f>
        <v/>
      </c>
      <c r="C1205" s="1" t="str">
        <f t="shared" si="36"/>
        <v/>
      </c>
      <c r="D1205" s="1" t="str">
        <f>IFERROR(IF(F1205&lt;&gt;"",F1205,VLOOKUP(MAX(C$2:C1205),A$2:F1205,2,FALSE)),"")</f>
        <v>XF</v>
      </c>
      <c r="E1205" s="1" t="str">
        <f t="shared" si="37"/>
        <v/>
      </c>
    </row>
    <row r="1206" spans="1:5" x14ac:dyDescent="0.25">
      <c r="A1206" s="1">
        <v>1205</v>
      </c>
      <c r="B1206" s="1" t="str">
        <f>IFERROR(IF(F1205&lt;&gt;"",F1205,VLOOKUP(MAX(F$2:F1205),A$1:B1205,2,FALSE)),"")</f>
        <v/>
      </c>
      <c r="C1206" s="1" t="str">
        <f t="shared" si="36"/>
        <v/>
      </c>
      <c r="D1206" s="1" t="str">
        <f>IFERROR(IF(F1206&lt;&gt;"",F1206,VLOOKUP(MAX(C$2:C1206),A$2:F1206,2,FALSE)),"")</f>
        <v>XF</v>
      </c>
      <c r="E1206" s="1" t="str">
        <f t="shared" si="37"/>
        <v/>
      </c>
    </row>
    <row r="1207" spans="1:5" x14ac:dyDescent="0.25">
      <c r="A1207" s="1">
        <v>1206</v>
      </c>
      <c r="B1207" s="1" t="str">
        <f>IFERROR(IF(F1206&lt;&gt;"",F1206,VLOOKUP(MAX(F$2:F1206),A$1:B1206,2,FALSE)),"")</f>
        <v/>
      </c>
      <c r="C1207" s="1" t="str">
        <f t="shared" si="36"/>
        <v/>
      </c>
      <c r="D1207" s="1" t="str">
        <f>IFERROR(IF(F1207&lt;&gt;"",F1207,VLOOKUP(MAX(C$2:C1207),A$2:F1207,2,FALSE)),"")</f>
        <v>XF</v>
      </c>
      <c r="E1207" s="1" t="str">
        <f t="shared" si="37"/>
        <v/>
      </c>
    </row>
    <row r="1208" spans="1:5" x14ac:dyDescent="0.25">
      <c r="A1208" s="1">
        <v>1207</v>
      </c>
      <c r="B1208" s="1" t="str">
        <f>IFERROR(IF(F1207&lt;&gt;"",F1207,VLOOKUP(MAX(F$2:F1207),A$1:B1207,2,FALSE)),"")</f>
        <v/>
      </c>
      <c r="C1208" s="1" t="str">
        <f t="shared" si="36"/>
        <v/>
      </c>
      <c r="D1208" s="1" t="str">
        <f>IFERROR(IF(F1208&lt;&gt;"",F1208,VLOOKUP(MAX(C$2:C1208),A$2:F1208,2,FALSE)),"")</f>
        <v>XF</v>
      </c>
      <c r="E1208" s="1" t="str">
        <f t="shared" si="37"/>
        <v/>
      </c>
    </row>
    <row r="1209" spans="1:5" x14ac:dyDescent="0.25">
      <c r="A1209" s="1">
        <v>1208</v>
      </c>
      <c r="B1209" s="1" t="str">
        <f>IFERROR(IF(F1208&lt;&gt;"",F1208,VLOOKUP(MAX(F$2:F1208),A$1:B1208,2,FALSE)),"")</f>
        <v/>
      </c>
      <c r="C1209" s="1" t="str">
        <f t="shared" si="36"/>
        <v/>
      </c>
      <c r="D1209" s="1" t="str">
        <f>IFERROR(IF(F1209&lt;&gt;"",F1209,VLOOKUP(MAX(C$2:C1209),A$2:F1209,2,FALSE)),"")</f>
        <v>XF</v>
      </c>
      <c r="E1209" s="1" t="str">
        <f t="shared" si="37"/>
        <v/>
      </c>
    </row>
    <row r="1210" spans="1:5" x14ac:dyDescent="0.25">
      <c r="A1210" s="1">
        <v>1209</v>
      </c>
      <c r="B1210" s="1" t="str">
        <f>IFERROR(IF(F1209&lt;&gt;"",F1209,VLOOKUP(MAX(F$2:F1209),A$1:B1209,2,FALSE)),"")</f>
        <v/>
      </c>
      <c r="C1210" s="1" t="str">
        <f t="shared" si="36"/>
        <v/>
      </c>
      <c r="D1210" s="1" t="str">
        <f>IFERROR(IF(F1210&lt;&gt;"",F1210,VLOOKUP(MAX(C$2:C1210),A$2:F1210,2,FALSE)),"")</f>
        <v>XF</v>
      </c>
      <c r="E1210" s="1" t="str">
        <f t="shared" si="37"/>
        <v/>
      </c>
    </row>
    <row r="1211" spans="1:5" x14ac:dyDescent="0.25">
      <c r="A1211" s="1">
        <v>1210</v>
      </c>
      <c r="B1211" s="1" t="str">
        <f>IFERROR(IF(F1210&lt;&gt;"",F1210,VLOOKUP(MAX(F$2:F1210),A$1:B1210,2,FALSE)),"")</f>
        <v/>
      </c>
      <c r="C1211" s="1" t="str">
        <f t="shared" si="36"/>
        <v/>
      </c>
      <c r="D1211" s="1" t="str">
        <f>IFERROR(IF(F1211&lt;&gt;"",F1211,VLOOKUP(MAX(C$2:C1211),A$2:F1211,2,FALSE)),"")</f>
        <v>XF</v>
      </c>
      <c r="E1211" s="1" t="str">
        <f t="shared" si="37"/>
        <v/>
      </c>
    </row>
    <row r="1212" spans="1:5" x14ac:dyDescent="0.25">
      <c r="A1212" s="1">
        <v>1211</v>
      </c>
      <c r="B1212" s="1" t="str">
        <f>IFERROR(IF(F1211&lt;&gt;"",F1211,VLOOKUP(MAX(F$2:F1211),A$1:B1211,2,FALSE)),"")</f>
        <v/>
      </c>
      <c r="C1212" s="1" t="str">
        <f t="shared" si="36"/>
        <v/>
      </c>
      <c r="D1212" s="1" t="str">
        <f>IFERROR(IF(F1212&lt;&gt;"",F1212,VLOOKUP(MAX(C$2:C1212),A$2:F1212,2,FALSE)),"")</f>
        <v>XF</v>
      </c>
      <c r="E1212" s="1" t="str">
        <f t="shared" si="37"/>
        <v/>
      </c>
    </row>
    <row r="1213" spans="1:5" x14ac:dyDescent="0.25">
      <c r="A1213" s="1">
        <v>1212</v>
      </c>
      <c r="B1213" s="1" t="str">
        <f>IFERROR(IF(F1212&lt;&gt;"",F1212,VLOOKUP(MAX(F$2:F1212),A$1:B1212,2,FALSE)),"")</f>
        <v/>
      </c>
      <c r="C1213" s="1" t="str">
        <f t="shared" si="36"/>
        <v/>
      </c>
      <c r="D1213" s="1" t="str">
        <f>IFERROR(IF(F1213&lt;&gt;"",F1213,VLOOKUP(MAX(C$2:C1213),A$2:F1213,2,FALSE)),"")</f>
        <v>XF</v>
      </c>
      <c r="E1213" s="1" t="str">
        <f t="shared" si="37"/>
        <v/>
      </c>
    </row>
    <row r="1214" spans="1:5" x14ac:dyDescent="0.25">
      <c r="A1214" s="1">
        <v>1213</v>
      </c>
      <c r="B1214" s="1" t="str">
        <f>IFERROR(IF(F1213&lt;&gt;"",F1213,VLOOKUP(MAX(F$2:F1213),A$1:B1213,2,FALSE)),"")</f>
        <v/>
      </c>
      <c r="C1214" s="1" t="str">
        <f t="shared" si="36"/>
        <v/>
      </c>
      <c r="D1214" s="1" t="str">
        <f>IFERROR(IF(F1214&lt;&gt;"",F1214,VLOOKUP(MAX(C$2:C1214),A$2:F1214,2,FALSE)),"")</f>
        <v>XF</v>
      </c>
      <c r="E1214" s="1" t="str">
        <f t="shared" si="37"/>
        <v/>
      </c>
    </row>
    <row r="1215" spans="1:5" x14ac:dyDescent="0.25">
      <c r="A1215" s="1">
        <v>1214</v>
      </c>
      <c r="B1215" s="1" t="str">
        <f>IFERROR(IF(F1214&lt;&gt;"",F1214,VLOOKUP(MAX(F$2:F1214),A$1:B1214,2,FALSE)),"")</f>
        <v/>
      </c>
      <c r="C1215" s="1" t="str">
        <f t="shared" si="36"/>
        <v/>
      </c>
      <c r="D1215" s="1" t="str">
        <f>IFERROR(IF(F1215&lt;&gt;"",F1215,VLOOKUP(MAX(C$2:C1215),A$2:F1215,2,FALSE)),"")</f>
        <v>XF</v>
      </c>
      <c r="E1215" s="1" t="str">
        <f t="shared" si="37"/>
        <v/>
      </c>
    </row>
    <row r="1216" spans="1:5" x14ac:dyDescent="0.25">
      <c r="A1216" s="1">
        <v>1215</v>
      </c>
      <c r="B1216" s="1" t="str">
        <f>IFERROR(IF(F1215&lt;&gt;"",F1215,VLOOKUP(MAX(F$2:F1215),A$1:B1215,2,FALSE)),"")</f>
        <v/>
      </c>
      <c r="C1216" s="1" t="str">
        <f t="shared" si="36"/>
        <v/>
      </c>
      <c r="D1216" s="1" t="str">
        <f>IFERROR(IF(F1216&lt;&gt;"",F1216,VLOOKUP(MAX(C$2:C1216),A$2:F1216,2,FALSE)),"")</f>
        <v>XF</v>
      </c>
      <c r="E1216" s="1" t="str">
        <f t="shared" si="37"/>
        <v/>
      </c>
    </row>
    <row r="1217" spans="1:5" x14ac:dyDescent="0.25">
      <c r="A1217" s="1">
        <v>1216</v>
      </c>
      <c r="B1217" s="1" t="str">
        <f>IFERROR(IF(F1216&lt;&gt;"",F1216,VLOOKUP(MAX(F$2:F1216),A$1:B1216,2,FALSE)),"")</f>
        <v/>
      </c>
      <c r="C1217" s="1" t="str">
        <f t="shared" si="36"/>
        <v/>
      </c>
      <c r="D1217" s="1" t="str">
        <f>IFERROR(IF(F1217&lt;&gt;"",F1217,VLOOKUP(MAX(C$2:C1217),A$2:F1217,2,FALSE)),"")</f>
        <v>XF</v>
      </c>
      <c r="E1217" s="1" t="str">
        <f t="shared" si="37"/>
        <v/>
      </c>
    </row>
    <row r="1218" spans="1:5" x14ac:dyDescent="0.25">
      <c r="A1218" s="1">
        <v>1217</v>
      </c>
      <c r="B1218" s="1" t="str">
        <f>IFERROR(IF(F1217&lt;&gt;"",F1217,VLOOKUP(MAX(F$2:F1217),A$1:B1217,2,FALSE)),"")</f>
        <v/>
      </c>
      <c r="C1218" s="1" t="str">
        <f t="shared" ref="C1218:C1281" si="38">IF(F1218&lt;&gt;"",A1218,"")</f>
        <v/>
      </c>
      <c r="D1218" s="1" t="str">
        <f>IFERROR(IF(F1218&lt;&gt;"",F1218,VLOOKUP(MAX(C$2:C1218),A$2:F1218,2,FALSE)),"")</f>
        <v>XF</v>
      </c>
      <c r="E1218" s="1" t="str">
        <f t="shared" si="37"/>
        <v/>
      </c>
    </row>
    <row r="1219" spans="1:5" x14ac:dyDescent="0.25">
      <c r="A1219" s="1">
        <v>1218</v>
      </c>
      <c r="B1219" s="1" t="str">
        <f>IFERROR(IF(F1218&lt;&gt;"",F1218,VLOOKUP(MAX(F$2:F1218),A$1:B1218,2,FALSE)),"")</f>
        <v/>
      </c>
      <c r="C1219" s="1" t="str">
        <f t="shared" si="38"/>
        <v/>
      </c>
      <c r="D1219" s="1" t="str">
        <f>IFERROR(IF(F1219&lt;&gt;"",F1219,VLOOKUP(MAX(C$2:C1219),A$2:F1219,2,FALSE)),"")</f>
        <v>XF</v>
      </c>
      <c r="E1219" s="1" t="str">
        <f t="shared" si="37"/>
        <v/>
      </c>
    </row>
    <row r="1220" spans="1:5" x14ac:dyDescent="0.25">
      <c r="A1220" s="1">
        <v>1219</v>
      </c>
      <c r="B1220" s="1" t="str">
        <f>IFERROR(IF(F1219&lt;&gt;"",F1219,VLOOKUP(MAX(F$2:F1219),A$1:B1219,2,FALSE)),"")</f>
        <v/>
      </c>
      <c r="C1220" s="1" t="str">
        <f t="shared" si="38"/>
        <v/>
      </c>
      <c r="D1220" s="1" t="str">
        <f>IFERROR(IF(F1220&lt;&gt;"",F1220,VLOOKUP(MAX(C$2:C1220),A$2:F1220,2,FALSE)),"")</f>
        <v>XF</v>
      </c>
      <c r="E1220" s="1" t="str">
        <f t="shared" ref="E1220:E1283" si="39">IF(H1220&lt;&gt;"",CONCATENATE(D1220,".",H1220),"")</f>
        <v/>
      </c>
    </row>
    <row r="1221" spans="1:5" x14ac:dyDescent="0.25">
      <c r="A1221" s="1">
        <v>1220</v>
      </c>
      <c r="B1221" s="1" t="str">
        <f>IFERROR(IF(F1220&lt;&gt;"",F1220,VLOOKUP(MAX(F$2:F1220),A$1:B1220,2,FALSE)),"")</f>
        <v/>
      </c>
      <c r="C1221" s="1" t="str">
        <f t="shared" si="38"/>
        <v/>
      </c>
      <c r="D1221" s="1" t="str">
        <f>IFERROR(IF(F1221&lt;&gt;"",F1221,VLOOKUP(MAX(C$2:C1221),A$2:F1221,2,FALSE)),"")</f>
        <v>XF</v>
      </c>
      <c r="E1221" s="1" t="str">
        <f t="shared" si="39"/>
        <v/>
      </c>
    </row>
    <row r="1222" spans="1:5" x14ac:dyDescent="0.25">
      <c r="A1222" s="1">
        <v>1221</v>
      </c>
      <c r="B1222" s="1" t="str">
        <f>IFERROR(IF(F1221&lt;&gt;"",F1221,VLOOKUP(MAX(F$2:F1221),A$1:B1221,2,FALSE)),"")</f>
        <v/>
      </c>
      <c r="C1222" s="1" t="str">
        <f t="shared" si="38"/>
        <v/>
      </c>
      <c r="D1222" s="1" t="str">
        <f>IFERROR(IF(F1222&lt;&gt;"",F1222,VLOOKUP(MAX(C$2:C1222),A$2:F1222,2,FALSE)),"")</f>
        <v>XF</v>
      </c>
      <c r="E1222" s="1" t="str">
        <f t="shared" si="39"/>
        <v/>
      </c>
    </row>
    <row r="1223" spans="1:5" x14ac:dyDescent="0.25">
      <c r="A1223" s="1">
        <v>1222</v>
      </c>
      <c r="B1223" s="1" t="str">
        <f>IFERROR(IF(F1222&lt;&gt;"",F1222,VLOOKUP(MAX(F$2:F1222),A$1:B1222,2,FALSE)),"")</f>
        <v/>
      </c>
      <c r="C1223" s="1" t="str">
        <f t="shared" si="38"/>
        <v/>
      </c>
      <c r="D1223" s="1" t="str">
        <f>IFERROR(IF(F1223&lt;&gt;"",F1223,VLOOKUP(MAX(C$2:C1223),A$2:F1223,2,FALSE)),"")</f>
        <v>XF</v>
      </c>
      <c r="E1223" s="1" t="str">
        <f t="shared" si="39"/>
        <v/>
      </c>
    </row>
    <row r="1224" spans="1:5" x14ac:dyDescent="0.25">
      <c r="A1224" s="1">
        <v>1223</v>
      </c>
      <c r="B1224" s="1" t="str">
        <f>IFERROR(IF(F1223&lt;&gt;"",F1223,VLOOKUP(MAX(F$2:F1223),A$1:B1223,2,FALSE)),"")</f>
        <v/>
      </c>
      <c r="C1224" s="1" t="str">
        <f t="shared" si="38"/>
        <v/>
      </c>
      <c r="D1224" s="1" t="str">
        <f>IFERROR(IF(F1224&lt;&gt;"",F1224,VLOOKUP(MAX(C$2:C1224),A$2:F1224,2,FALSE)),"")</f>
        <v>XF</v>
      </c>
      <c r="E1224" s="1" t="str">
        <f t="shared" si="39"/>
        <v/>
      </c>
    </row>
    <row r="1225" spans="1:5" x14ac:dyDescent="0.25">
      <c r="A1225" s="1">
        <v>1224</v>
      </c>
      <c r="B1225" s="1" t="str">
        <f>IFERROR(IF(F1224&lt;&gt;"",F1224,VLOOKUP(MAX(F$2:F1224),A$1:B1224,2,FALSE)),"")</f>
        <v/>
      </c>
      <c r="C1225" s="1" t="str">
        <f t="shared" si="38"/>
        <v/>
      </c>
      <c r="D1225" s="1" t="str">
        <f>IFERROR(IF(F1225&lt;&gt;"",F1225,VLOOKUP(MAX(C$2:C1225),A$2:F1225,2,FALSE)),"")</f>
        <v>XF</v>
      </c>
      <c r="E1225" s="1" t="str">
        <f t="shared" si="39"/>
        <v/>
      </c>
    </row>
    <row r="1226" spans="1:5" x14ac:dyDescent="0.25">
      <c r="A1226" s="1">
        <v>1225</v>
      </c>
      <c r="B1226" s="1" t="str">
        <f>IFERROR(IF(F1225&lt;&gt;"",F1225,VLOOKUP(MAX(F$2:F1225),A$1:B1225,2,FALSE)),"")</f>
        <v/>
      </c>
      <c r="C1226" s="1" t="str">
        <f t="shared" si="38"/>
        <v/>
      </c>
      <c r="D1226" s="1" t="str">
        <f>IFERROR(IF(F1226&lt;&gt;"",F1226,VLOOKUP(MAX(C$2:C1226),A$2:F1226,2,FALSE)),"")</f>
        <v>XF</v>
      </c>
      <c r="E1226" s="1" t="str">
        <f t="shared" si="39"/>
        <v/>
      </c>
    </row>
    <row r="1227" spans="1:5" x14ac:dyDescent="0.25">
      <c r="A1227" s="1">
        <v>1226</v>
      </c>
      <c r="B1227" s="1" t="str">
        <f>IFERROR(IF(F1226&lt;&gt;"",F1226,VLOOKUP(MAX(F$2:F1226),A$1:B1226,2,FALSE)),"")</f>
        <v/>
      </c>
      <c r="C1227" s="1" t="str">
        <f t="shared" si="38"/>
        <v/>
      </c>
      <c r="D1227" s="1" t="str">
        <f>IFERROR(IF(F1227&lt;&gt;"",F1227,VLOOKUP(MAX(C$2:C1227),A$2:F1227,2,FALSE)),"")</f>
        <v>XF</v>
      </c>
      <c r="E1227" s="1" t="str">
        <f t="shared" si="39"/>
        <v/>
      </c>
    </row>
    <row r="1228" spans="1:5" x14ac:dyDescent="0.25">
      <c r="A1228" s="1">
        <v>1227</v>
      </c>
      <c r="B1228" s="1" t="str">
        <f>IFERROR(IF(F1227&lt;&gt;"",F1227,VLOOKUP(MAX(F$2:F1227),A$1:B1227,2,FALSE)),"")</f>
        <v/>
      </c>
      <c r="C1228" s="1" t="str">
        <f t="shared" si="38"/>
        <v/>
      </c>
      <c r="D1228" s="1" t="str">
        <f>IFERROR(IF(F1228&lt;&gt;"",F1228,VLOOKUP(MAX(C$2:C1228),A$2:F1228,2,FALSE)),"")</f>
        <v>XF</v>
      </c>
      <c r="E1228" s="1" t="str">
        <f t="shared" si="39"/>
        <v/>
      </c>
    </row>
    <row r="1229" spans="1:5" x14ac:dyDescent="0.25">
      <c r="A1229" s="1">
        <v>1228</v>
      </c>
      <c r="B1229" s="1" t="str">
        <f>IFERROR(IF(F1228&lt;&gt;"",F1228,VLOOKUP(MAX(F$2:F1228),A$1:B1228,2,FALSE)),"")</f>
        <v/>
      </c>
      <c r="C1229" s="1" t="str">
        <f t="shared" si="38"/>
        <v/>
      </c>
      <c r="D1229" s="1" t="str">
        <f>IFERROR(IF(F1229&lt;&gt;"",F1229,VLOOKUP(MAX(C$2:C1229),A$2:F1229,2,FALSE)),"")</f>
        <v>XF</v>
      </c>
      <c r="E1229" s="1" t="str">
        <f t="shared" si="39"/>
        <v/>
      </c>
    </row>
    <row r="1230" spans="1:5" x14ac:dyDescent="0.25">
      <c r="A1230" s="1">
        <v>1229</v>
      </c>
      <c r="B1230" s="1" t="str">
        <f>IFERROR(IF(F1229&lt;&gt;"",F1229,VLOOKUP(MAX(F$2:F1229),A$1:B1229,2,FALSE)),"")</f>
        <v/>
      </c>
      <c r="C1230" s="1" t="str">
        <f t="shared" si="38"/>
        <v/>
      </c>
      <c r="D1230" s="1" t="str">
        <f>IFERROR(IF(F1230&lt;&gt;"",F1230,VLOOKUP(MAX(C$2:C1230),A$2:F1230,2,FALSE)),"")</f>
        <v>XF</v>
      </c>
      <c r="E1230" s="1" t="str">
        <f t="shared" si="39"/>
        <v/>
      </c>
    </row>
    <row r="1231" spans="1:5" x14ac:dyDescent="0.25">
      <c r="A1231" s="1">
        <v>1230</v>
      </c>
      <c r="B1231" s="1" t="str">
        <f>IFERROR(IF(F1230&lt;&gt;"",F1230,VLOOKUP(MAX(F$2:F1230),A$1:B1230,2,FALSE)),"")</f>
        <v/>
      </c>
      <c r="C1231" s="1" t="str">
        <f t="shared" si="38"/>
        <v/>
      </c>
      <c r="D1231" s="1" t="str">
        <f>IFERROR(IF(F1231&lt;&gt;"",F1231,VLOOKUP(MAX(C$2:C1231),A$2:F1231,2,FALSE)),"")</f>
        <v>XF</v>
      </c>
      <c r="E1231" s="1" t="str">
        <f t="shared" si="39"/>
        <v/>
      </c>
    </row>
    <row r="1232" spans="1:5" x14ac:dyDescent="0.25">
      <c r="A1232" s="1">
        <v>1231</v>
      </c>
      <c r="B1232" s="1" t="str">
        <f>IFERROR(IF(F1231&lt;&gt;"",F1231,VLOOKUP(MAX(F$2:F1231),A$1:B1231,2,FALSE)),"")</f>
        <v/>
      </c>
      <c r="C1232" s="1" t="str">
        <f t="shared" si="38"/>
        <v/>
      </c>
      <c r="D1232" s="1" t="str">
        <f>IFERROR(IF(F1232&lt;&gt;"",F1232,VLOOKUP(MAX(C$2:C1232),A$2:F1232,2,FALSE)),"")</f>
        <v>XF</v>
      </c>
      <c r="E1232" s="1" t="str">
        <f t="shared" si="39"/>
        <v/>
      </c>
    </row>
    <row r="1233" spans="1:5" x14ac:dyDescent="0.25">
      <c r="A1233" s="1">
        <v>1232</v>
      </c>
      <c r="B1233" s="1" t="str">
        <f>IFERROR(IF(F1232&lt;&gt;"",F1232,VLOOKUP(MAX(F$2:F1232),A$1:B1232,2,FALSE)),"")</f>
        <v/>
      </c>
      <c r="C1233" s="1" t="str">
        <f t="shared" si="38"/>
        <v/>
      </c>
      <c r="D1233" s="1" t="str">
        <f>IFERROR(IF(F1233&lt;&gt;"",F1233,VLOOKUP(MAX(C$2:C1233),A$2:F1233,2,FALSE)),"")</f>
        <v>XF</v>
      </c>
      <c r="E1233" s="1" t="str">
        <f t="shared" si="39"/>
        <v/>
      </c>
    </row>
    <row r="1234" spans="1:5" x14ac:dyDescent="0.25">
      <c r="A1234" s="1">
        <v>1233</v>
      </c>
      <c r="B1234" s="1" t="str">
        <f>IFERROR(IF(F1233&lt;&gt;"",F1233,VLOOKUP(MAX(F$2:F1233),A$1:B1233,2,FALSE)),"")</f>
        <v/>
      </c>
      <c r="C1234" s="1" t="str">
        <f t="shared" si="38"/>
        <v/>
      </c>
      <c r="D1234" s="1" t="str">
        <f>IFERROR(IF(F1234&lt;&gt;"",F1234,VLOOKUP(MAX(C$2:C1234),A$2:F1234,2,FALSE)),"")</f>
        <v>XF</v>
      </c>
      <c r="E1234" s="1" t="str">
        <f t="shared" si="39"/>
        <v/>
      </c>
    </row>
    <row r="1235" spans="1:5" x14ac:dyDescent="0.25">
      <c r="A1235" s="1">
        <v>1234</v>
      </c>
      <c r="B1235" s="1" t="str">
        <f>IFERROR(IF(F1234&lt;&gt;"",F1234,VLOOKUP(MAX(F$2:F1234),A$1:B1234,2,FALSE)),"")</f>
        <v/>
      </c>
      <c r="C1235" s="1" t="str">
        <f t="shared" si="38"/>
        <v/>
      </c>
      <c r="D1235" s="1" t="str">
        <f>IFERROR(IF(F1235&lt;&gt;"",F1235,VLOOKUP(MAX(C$2:C1235),A$2:F1235,2,FALSE)),"")</f>
        <v>XF</v>
      </c>
      <c r="E1235" s="1" t="str">
        <f t="shared" si="39"/>
        <v/>
      </c>
    </row>
    <row r="1236" spans="1:5" x14ac:dyDescent="0.25">
      <c r="A1236" s="1">
        <v>1235</v>
      </c>
      <c r="B1236" s="1" t="str">
        <f>IFERROR(IF(F1235&lt;&gt;"",F1235,VLOOKUP(MAX(F$2:F1235),A$1:B1235,2,FALSE)),"")</f>
        <v/>
      </c>
      <c r="C1236" s="1" t="str">
        <f t="shared" si="38"/>
        <v/>
      </c>
      <c r="D1236" s="1" t="str">
        <f>IFERROR(IF(F1236&lt;&gt;"",F1236,VLOOKUP(MAX(C$2:C1236),A$2:F1236,2,FALSE)),"")</f>
        <v>XF</v>
      </c>
      <c r="E1236" s="1" t="str">
        <f t="shared" si="39"/>
        <v/>
      </c>
    </row>
    <row r="1237" spans="1:5" x14ac:dyDescent="0.25">
      <c r="A1237" s="1">
        <v>1236</v>
      </c>
      <c r="B1237" s="1" t="str">
        <f>IFERROR(IF(F1236&lt;&gt;"",F1236,VLOOKUP(MAX(F$2:F1236),A$1:B1236,2,FALSE)),"")</f>
        <v/>
      </c>
      <c r="C1237" s="1" t="str">
        <f t="shared" si="38"/>
        <v/>
      </c>
      <c r="D1237" s="1" t="str">
        <f>IFERROR(IF(F1237&lt;&gt;"",F1237,VLOOKUP(MAX(C$2:C1237),A$2:F1237,2,FALSE)),"")</f>
        <v>XF</v>
      </c>
      <c r="E1237" s="1" t="str">
        <f t="shared" si="39"/>
        <v/>
      </c>
    </row>
    <row r="1238" spans="1:5" x14ac:dyDescent="0.25">
      <c r="A1238" s="1">
        <v>1237</v>
      </c>
      <c r="B1238" s="1" t="str">
        <f>IFERROR(IF(F1237&lt;&gt;"",F1237,VLOOKUP(MAX(F$2:F1237),A$1:B1237,2,FALSE)),"")</f>
        <v/>
      </c>
      <c r="C1238" s="1" t="str">
        <f t="shared" si="38"/>
        <v/>
      </c>
      <c r="D1238" s="1" t="str">
        <f>IFERROR(IF(F1238&lt;&gt;"",F1238,VLOOKUP(MAX(C$2:C1238),A$2:F1238,2,FALSE)),"")</f>
        <v>XF</v>
      </c>
      <c r="E1238" s="1" t="str">
        <f t="shared" si="39"/>
        <v/>
      </c>
    </row>
    <row r="1239" spans="1:5" x14ac:dyDescent="0.25">
      <c r="A1239" s="1">
        <v>1238</v>
      </c>
      <c r="B1239" s="1" t="str">
        <f>IFERROR(IF(F1238&lt;&gt;"",F1238,VLOOKUP(MAX(F$2:F1238),A$1:B1238,2,FALSE)),"")</f>
        <v/>
      </c>
      <c r="C1239" s="1" t="str">
        <f t="shared" si="38"/>
        <v/>
      </c>
      <c r="D1239" s="1" t="str">
        <f>IFERROR(IF(F1239&lt;&gt;"",F1239,VLOOKUP(MAX(C$2:C1239),A$2:F1239,2,FALSE)),"")</f>
        <v>XF</v>
      </c>
      <c r="E1239" s="1" t="str">
        <f t="shared" si="39"/>
        <v/>
      </c>
    </row>
    <row r="1240" spans="1:5" x14ac:dyDescent="0.25">
      <c r="A1240" s="1">
        <v>1239</v>
      </c>
      <c r="B1240" s="1" t="str">
        <f>IFERROR(IF(F1239&lt;&gt;"",F1239,VLOOKUP(MAX(F$2:F1239),A$1:B1239,2,FALSE)),"")</f>
        <v/>
      </c>
      <c r="C1240" s="1" t="str">
        <f t="shared" si="38"/>
        <v/>
      </c>
      <c r="D1240" s="1" t="str">
        <f>IFERROR(IF(F1240&lt;&gt;"",F1240,VLOOKUP(MAX(C$2:C1240),A$2:F1240,2,FALSE)),"")</f>
        <v>XF</v>
      </c>
      <c r="E1240" s="1" t="str">
        <f t="shared" si="39"/>
        <v/>
      </c>
    </row>
    <row r="1241" spans="1:5" x14ac:dyDescent="0.25">
      <c r="A1241" s="1">
        <v>1240</v>
      </c>
      <c r="B1241" s="1" t="str">
        <f>IFERROR(IF(F1240&lt;&gt;"",F1240,VLOOKUP(MAX(F$2:F1240),A$1:B1240,2,FALSE)),"")</f>
        <v/>
      </c>
      <c r="C1241" s="1" t="str">
        <f t="shared" si="38"/>
        <v/>
      </c>
      <c r="D1241" s="1" t="str">
        <f>IFERROR(IF(F1241&lt;&gt;"",F1241,VLOOKUP(MAX(C$2:C1241),A$2:F1241,2,FALSE)),"")</f>
        <v>XF</v>
      </c>
      <c r="E1241" s="1" t="str">
        <f t="shared" si="39"/>
        <v/>
      </c>
    </row>
    <row r="1242" spans="1:5" x14ac:dyDescent="0.25">
      <c r="A1242" s="1">
        <v>1241</v>
      </c>
      <c r="B1242" s="1" t="str">
        <f>IFERROR(IF(F1241&lt;&gt;"",F1241,VLOOKUP(MAX(F$2:F1241),A$1:B1241,2,FALSE)),"")</f>
        <v/>
      </c>
      <c r="C1242" s="1" t="str">
        <f t="shared" si="38"/>
        <v/>
      </c>
      <c r="D1242" s="1" t="str">
        <f>IFERROR(IF(F1242&lt;&gt;"",F1242,VLOOKUP(MAX(C$2:C1242),A$2:F1242,2,FALSE)),"")</f>
        <v>XF</v>
      </c>
      <c r="E1242" s="1" t="str">
        <f t="shared" si="39"/>
        <v/>
      </c>
    </row>
    <row r="1243" spans="1:5" x14ac:dyDescent="0.25">
      <c r="A1243" s="1">
        <v>1242</v>
      </c>
      <c r="B1243" s="1" t="str">
        <f>IFERROR(IF(F1242&lt;&gt;"",F1242,VLOOKUP(MAX(F$2:F1242),A$1:B1242,2,FALSE)),"")</f>
        <v/>
      </c>
      <c r="C1243" s="1" t="str">
        <f t="shared" si="38"/>
        <v/>
      </c>
      <c r="D1243" s="1" t="str">
        <f>IFERROR(IF(F1243&lt;&gt;"",F1243,VLOOKUP(MAX(C$2:C1243),A$2:F1243,2,FALSE)),"")</f>
        <v>XF</v>
      </c>
      <c r="E1243" s="1" t="str">
        <f t="shared" si="39"/>
        <v/>
      </c>
    </row>
    <row r="1244" spans="1:5" x14ac:dyDescent="0.25">
      <c r="A1244" s="1">
        <v>1243</v>
      </c>
      <c r="B1244" s="1" t="str">
        <f>IFERROR(IF(F1243&lt;&gt;"",F1243,VLOOKUP(MAX(F$2:F1243),A$1:B1243,2,FALSE)),"")</f>
        <v/>
      </c>
      <c r="C1244" s="1" t="str">
        <f t="shared" si="38"/>
        <v/>
      </c>
      <c r="D1244" s="1" t="str">
        <f>IFERROR(IF(F1244&lt;&gt;"",F1244,VLOOKUP(MAX(C$2:C1244),A$2:F1244,2,FALSE)),"")</f>
        <v>XF</v>
      </c>
      <c r="E1244" s="1" t="str">
        <f t="shared" si="39"/>
        <v/>
      </c>
    </row>
    <row r="1245" spans="1:5" x14ac:dyDescent="0.25">
      <c r="A1245" s="1">
        <v>1244</v>
      </c>
      <c r="B1245" s="1" t="str">
        <f>IFERROR(IF(F1244&lt;&gt;"",F1244,VLOOKUP(MAX(F$2:F1244),A$1:B1244,2,FALSE)),"")</f>
        <v/>
      </c>
      <c r="C1245" s="1" t="str">
        <f t="shared" si="38"/>
        <v/>
      </c>
      <c r="D1245" s="1" t="str">
        <f>IFERROR(IF(F1245&lt;&gt;"",F1245,VLOOKUP(MAX(C$2:C1245),A$2:F1245,2,FALSE)),"")</f>
        <v>XF</v>
      </c>
      <c r="E1245" s="1" t="str">
        <f t="shared" si="39"/>
        <v/>
      </c>
    </row>
    <row r="1246" spans="1:5" x14ac:dyDescent="0.25">
      <c r="A1246" s="1">
        <v>1245</v>
      </c>
      <c r="B1246" s="1" t="str">
        <f>IFERROR(IF(F1245&lt;&gt;"",F1245,VLOOKUP(MAX(F$2:F1245),A$1:B1245,2,FALSE)),"")</f>
        <v/>
      </c>
      <c r="C1246" s="1" t="str">
        <f t="shared" si="38"/>
        <v/>
      </c>
      <c r="D1246" s="1" t="str">
        <f>IFERROR(IF(F1246&lt;&gt;"",F1246,VLOOKUP(MAX(C$2:C1246),A$2:F1246,2,FALSE)),"")</f>
        <v>XF</v>
      </c>
      <c r="E1246" s="1" t="str">
        <f t="shared" si="39"/>
        <v/>
      </c>
    </row>
    <row r="1247" spans="1:5" x14ac:dyDescent="0.25">
      <c r="A1247" s="1">
        <v>1246</v>
      </c>
      <c r="B1247" s="1" t="str">
        <f>IFERROR(IF(F1246&lt;&gt;"",F1246,VLOOKUP(MAX(F$2:F1246),A$1:B1246,2,FALSE)),"")</f>
        <v/>
      </c>
      <c r="C1247" s="1" t="str">
        <f t="shared" si="38"/>
        <v/>
      </c>
      <c r="D1247" s="1" t="str">
        <f>IFERROR(IF(F1247&lt;&gt;"",F1247,VLOOKUP(MAX(C$2:C1247),A$2:F1247,2,FALSE)),"")</f>
        <v>XF</v>
      </c>
      <c r="E1247" s="1" t="str">
        <f t="shared" si="39"/>
        <v/>
      </c>
    </row>
    <row r="1248" spans="1:5" x14ac:dyDescent="0.25">
      <c r="A1248" s="1">
        <v>1247</v>
      </c>
      <c r="B1248" s="1" t="str">
        <f>IFERROR(IF(F1247&lt;&gt;"",F1247,VLOOKUP(MAX(F$2:F1247),A$1:B1247,2,FALSE)),"")</f>
        <v/>
      </c>
      <c r="C1248" s="1" t="str">
        <f t="shared" si="38"/>
        <v/>
      </c>
      <c r="D1248" s="1" t="str">
        <f>IFERROR(IF(F1248&lt;&gt;"",F1248,VLOOKUP(MAX(C$2:C1248),A$2:F1248,2,FALSE)),"")</f>
        <v>XF</v>
      </c>
      <c r="E1248" s="1" t="str">
        <f t="shared" si="39"/>
        <v/>
      </c>
    </row>
    <row r="1249" spans="1:5" x14ac:dyDescent="0.25">
      <c r="A1249" s="1">
        <v>1248</v>
      </c>
      <c r="B1249" s="1" t="str">
        <f>IFERROR(IF(F1248&lt;&gt;"",F1248,VLOOKUP(MAX(F$2:F1248),A$1:B1248,2,FALSE)),"")</f>
        <v/>
      </c>
      <c r="C1249" s="1" t="str">
        <f t="shared" si="38"/>
        <v/>
      </c>
      <c r="D1249" s="1" t="str">
        <f>IFERROR(IF(F1249&lt;&gt;"",F1249,VLOOKUP(MAX(C$2:C1249),A$2:F1249,2,FALSE)),"")</f>
        <v>XF</v>
      </c>
      <c r="E1249" s="1" t="str">
        <f t="shared" si="39"/>
        <v/>
      </c>
    </row>
    <row r="1250" spans="1:5" x14ac:dyDescent="0.25">
      <c r="A1250" s="1">
        <v>1249</v>
      </c>
      <c r="B1250" s="1" t="str">
        <f>IFERROR(IF(F1249&lt;&gt;"",F1249,VLOOKUP(MAX(F$2:F1249),A$1:B1249,2,FALSE)),"")</f>
        <v/>
      </c>
      <c r="C1250" s="1" t="str">
        <f t="shared" si="38"/>
        <v/>
      </c>
      <c r="D1250" s="1" t="str">
        <f>IFERROR(IF(F1250&lt;&gt;"",F1250,VLOOKUP(MAX(C$2:C1250),A$2:F1250,2,FALSE)),"")</f>
        <v>XF</v>
      </c>
      <c r="E1250" s="1" t="str">
        <f t="shared" si="39"/>
        <v/>
      </c>
    </row>
    <row r="1251" spans="1:5" x14ac:dyDescent="0.25">
      <c r="A1251" s="1">
        <v>1250</v>
      </c>
      <c r="B1251" s="1" t="str">
        <f>IFERROR(IF(F1250&lt;&gt;"",F1250,VLOOKUP(MAX(F$2:F1250),A$1:B1250,2,FALSE)),"")</f>
        <v/>
      </c>
      <c r="C1251" s="1" t="str">
        <f t="shared" si="38"/>
        <v/>
      </c>
      <c r="D1251" s="1" t="str">
        <f>IFERROR(IF(F1251&lt;&gt;"",F1251,VLOOKUP(MAX(C$2:C1251),A$2:F1251,2,FALSE)),"")</f>
        <v>XF</v>
      </c>
      <c r="E1251" s="1" t="str">
        <f t="shared" si="39"/>
        <v/>
      </c>
    </row>
    <row r="1252" spans="1:5" x14ac:dyDescent="0.25">
      <c r="A1252" s="1">
        <v>1251</v>
      </c>
      <c r="B1252" s="1" t="str">
        <f>IFERROR(IF(F1251&lt;&gt;"",F1251,VLOOKUP(MAX(F$2:F1251),A$1:B1251,2,FALSE)),"")</f>
        <v/>
      </c>
      <c r="C1252" s="1" t="str">
        <f t="shared" si="38"/>
        <v/>
      </c>
      <c r="D1252" s="1" t="str">
        <f>IFERROR(IF(F1252&lt;&gt;"",F1252,VLOOKUP(MAX(C$2:C1252),A$2:F1252,2,FALSE)),"")</f>
        <v>XF</v>
      </c>
      <c r="E1252" s="1" t="str">
        <f t="shared" si="39"/>
        <v/>
      </c>
    </row>
    <row r="1253" spans="1:5" x14ac:dyDescent="0.25">
      <c r="A1253" s="1">
        <v>1252</v>
      </c>
      <c r="B1253" s="1" t="str">
        <f>IFERROR(IF(F1252&lt;&gt;"",F1252,VLOOKUP(MAX(F$2:F1252),A$1:B1252,2,FALSE)),"")</f>
        <v/>
      </c>
      <c r="C1253" s="1" t="str">
        <f t="shared" si="38"/>
        <v/>
      </c>
      <c r="D1253" s="1" t="str">
        <f>IFERROR(IF(F1253&lt;&gt;"",F1253,VLOOKUP(MAX(C$2:C1253),A$2:F1253,2,FALSE)),"")</f>
        <v>XF</v>
      </c>
      <c r="E1253" s="1" t="str">
        <f t="shared" si="39"/>
        <v/>
      </c>
    </row>
    <row r="1254" spans="1:5" x14ac:dyDescent="0.25">
      <c r="A1254" s="1">
        <v>1253</v>
      </c>
      <c r="B1254" s="1" t="str">
        <f>IFERROR(IF(F1253&lt;&gt;"",F1253,VLOOKUP(MAX(F$2:F1253),A$1:B1253,2,FALSE)),"")</f>
        <v/>
      </c>
      <c r="C1254" s="1" t="str">
        <f t="shared" si="38"/>
        <v/>
      </c>
      <c r="D1254" s="1" t="str">
        <f>IFERROR(IF(F1254&lt;&gt;"",F1254,VLOOKUP(MAX(C$2:C1254),A$2:F1254,2,FALSE)),"")</f>
        <v>XF</v>
      </c>
      <c r="E1254" s="1" t="str">
        <f t="shared" si="39"/>
        <v/>
      </c>
    </row>
    <row r="1255" spans="1:5" x14ac:dyDescent="0.25">
      <c r="A1255" s="1">
        <v>1254</v>
      </c>
      <c r="B1255" s="1" t="str">
        <f>IFERROR(IF(F1254&lt;&gt;"",F1254,VLOOKUP(MAX(F$2:F1254),A$1:B1254,2,FALSE)),"")</f>
        <v/>
      </c>
      <c r="C1255" s="1" t="str">
        <f t="shared" si="38"/>
        <v/>
      </c>
      <c r="D1255" s="1" t="str">
        <f>IFERROR(IF(F1255&lt;&gt;"",F1255,VLOOKUP(MAX(C$2:C1255),A$2:F1255,2,FALSE)),"")</f>
        <v>XF</v>
      </c>
      <c r="E1255" s="1" t="str">
        <f t="shared" si="39"/>
        <v/>
      </c>
    </row>
    <row r="1256" spans="1:5" x14ac:dyDescent="0.25">
      <c r="A1256" s="1">
        <v>1255</v>
      </c>
      <c r="B1256" s="1" t="str">
        <f>IFERROR(IF(F1255&lt;&gt;"",F1255,VLOOKUP(MAX(F$2:F1255),A$1:B1255,2,FALSE)),"")</f>
        <v/>
      </c>
      <c r="C1256" s="1" t="str">
        <f t="shared" si="38"/>
        <v/>
      </c>
      <c r="D1256" s="1" t="str">
        <f>IFERROR(IF(F1256&lt;&gt;"",F1256,VLOOKUP(MAX(C$2:C1256),A$2:F1256,2,FALSE)),"")</f>
        <v>XF</v>
      </c>
      <c r="E1256" s="1" t="str">
        <f t="shared" si="39"/>
        <v/>
      </c>
    </row>
    <row r="1257" spans="1:5" x14ac:dyDescent="0.25">
      <c r="A1257" s="1">
        <v>1256</v>
      </c>
      <c r="B1257" s="1" t="str">
        <f>IFERROR(IF(F1256&lt;&gt;"",F1256,VLOOKUP(MAX(F$2:F1256),A$1:B1256,2,FALSE)),"")</f>
        <v/>
      </c>
      <c r="C1257" s="1" t="str">
        <f t="shared" si="38"/>
        <v/>
      </c>
      <c r="D1257" s="1" t="str">
        <f>IFERROR(IF(F1257&lt;&gt;"",F1257,VLOOKUP(MAX(C$2:C1257),A$2:F1257,2,FALSE)),"")</f>
        <v>XF</v>
      </c>
      <c r="E1257" s="1" t="str">
        <f t="shared" si="39"/>
        <v/>
      </c>
    </row>
    <row r="1258" spans="1:5" x14ac:dyDescent="0.25">
      <c r="A1258" s="1">
        <v>1257</v>
      </c>
      <c r="B1258" s="1" t="str">
        <f>IFERROR(IF(F1257&lt;&gt;"",F1257,VLOOKUP(MAX(F$2:F1257),A$1:B1257,2,FALSE)),"")</f>
        <v/>
      </c>
      <c r="C1258" s="1" t="str">
        <f t="shared" si="38"/>
        <v/>
      </c>
      <c r="D1258" s="1" t="str">
        <f>IFERROR(IF(F1258&lt;&gt;"",F1258,VLOOKUP(MAX(C$2:C1258),A$2:F1258,2,FALSE)),"")</f>
        <v>XF</v>
      </c>
      <c r="E1258" s="1" t="str">
        <f t="shared" si="39"/>
        <v/>
      </c>
    </row>
    <row r="1259" spans="1:5" x14ac:dyDescent="0.25">
      <c r="A1259" s="1">
        <v>1258</v>
      </c>
      <c r="B1259" s="1" t="str">
        <f>IFERROR(IF(F1258&lt;&gt;"",F1258,VLOOKUP(MAX(F$2:F1258),A$1:B1258,2,FALSE)),"")</f>
        <v/>
      </c>
      <c r="C1259" s="1" t="str">
        <f t="shared" si="38"/>
        <v/>
      </c>
      <c r="D1259" s="1" t="str">
        <f>IFERROR(IF(F1259&lt;&gt;"",F1259,VLOOKUP(MAX(C$2:C1259),A$2:F1259,2,FALSE)),"")</f>
        <v>XF</v>
      </c>
      <c r="E1259" s="1" t="str">
        <f t="shared" si="39"/>
        <v/>
      </c>
    </row>
    <row r="1260" spans="1:5" x14ac:dyDescent="0.25">
      <c r="A1260" s="1">
        <v>1259</v>
      </c>
      <c r="B1260" s="1" t="str">
        <f>IFERROR(IF(F1259&lt;&gt;"",F1259,VLOOKUP(MAX(F$2:F1259),A$1:B1259,2,FALSE)),"")</f>
        <v/>
      </c>
      <c r="C1260" s="1" t="str">
        <f t="shared" si="38"/>
        <v/>
      </c>
      <c r="D1260" s="1" t="str">
        <f>IFERROR(IF(F1260&lt;&gt;"",F1260,VLOOKUP(MAX(C$2:C1260),A$2:F1260,2,FALSE)),"")</f>
        <v>XF</v>
      </c>
      <c r="E1260" s="1" t="str">
        <f t="shared" si="39"/>
        <v/>
      </c>
    </row>
    <row r="1261" spans="1:5" x14ac:dyDescent="0.25">
      <c r="A1261" s="1">
        <v>1260</v>
      </c>
      <c r="B1261" s="1" t="str">
        <f>IFERROR(IF(F1260&lt;&gt;"",F1260,VLOOKUP(MAX(F$2:F1260),A$1:B1260,2,FALSE)),"")</f>
        <v/>
      </c>
      <c r="C1261" s="1" t="str">
        <f t="shared" si="38"/>
        <v/>
      </c>
      <c r="D1261" s="1" t="str">
        <f>IFERROR(IF(F1261&lt;&gt;"",F1261,VLOOKUP(MAX(C$2:C1261),A$2:F1261,2,FALSE)),"")</f>
        <v>XF</v>
      </c>
      <c r="E1261" s="1" t="str">
        <f t="shared" si="39"/>
        <v/>
      </c>
    </row>
    <row r="1262" spans="1:5" x14ac:dyDescent="0.25">
      <c r="A1262" s="1">
        <v>1261</v>
      </c>
      <c r="B1262" s="1" t="str">
        <f>IFERROR(IF(F1261&lt;&gt;"",F1261,VLOOKUP(MAX(F$2:F1261),A$1:B1261,2,FALSE)),"")</f>
        <v/>
      </c>
      <c r="C1262" s="1" t="str">
        <f t="shared" si="38"/>
        <v/>
      </c>
      <c r="D1262" s="1" t="str">
        <f>IFERROR(IF(F1262&lt;&gt;"",F1262,VLOOKUP(MAX(C$2:C1262),A$2:F1262,2,FALSE)),"")</f>
        <v>XF</v>
      </c>
      <c r="E1262" s="1" t="str">
        <f t="shared" si="39"/>
        <v/>
      </c>
    </row>
    <row r="1263" spans="1:5" x14ac:dyDescent="0.25">
      <c r="A1263" s="1">
        <v>1262</v>
      </c>
      <c r="B1263" s="1" t="str">
        <f>IFERROR(IF(F1262&lt;&gt;"",F1262,VLOOKUP(MAX(F$2:F1262),A$1:B1262,2,FALSE)),"")</f>
        <v/>
      </c>
      <c r="C1263" s="1" t="str">
        <f t="shared" si="38"/>
        <v/>
      </c>
      <c r="D1263" s="1" t="str">
        <f>IFERROR(IF(F1263&lt;&gt;"",F1263,VLOOKUP(MAX(C$2:C1263),A$2:F1263,2,FALSE)),"")</f>
        <v>XF</v>
      </c>
      <c r="E1263" s="1" t="str">
        <f t="shared" si="39"/>
        <v/>
      </c>
    </row>
    <row r="1264" spans="1:5" x14ac:dyDescent="0.25">
      <c r="A1264" s="1">
        <v>1263</v>
      </c>
      <c r="B1264" s="1" t="str">
        <f>IFERROR(IF(F1263&lt;&gt;"",F1263,VLOOKUP(MAX(F$2:F1263),A$1:B1263,2,FALSE)),"")</f>
        <v/>
      </c>
      <c r="C1264" s="1" t="str">
        <f t="shared" si="38"/>
        <v/>
      </c>
      <c r="D1264" s="1" t="str">
        <f>IFERROR(IF(F1264&lt;&gt;"",F1264,VLOOKUP(MAX(C$2:C1264),A$2:F1264,2,FALSE)),"")</f>
        <v>XF</v>
      </c>
      <c r="E1264" s="1" t="str">
        <f t="shared" si="39"/>
        <v/>
      </c>
    </row>
    <row r="1265" spans="1:5" x14ac:dyDescent="0.25">
      <c r="A1265" s="1">
        <v>1264</v>
      </c>
      <c r="B1265" s="1" t="str">
        <f>IFERROR(IF(F1264&lt;&gt;"",F1264,VLOOKUP(MAX(F$2:F1264),A$1:B1264,2,FALSE)),"")</f>
        <v/>
      </c>
      <c r="C1265" s="1" t="str">
        <f t="shared" si="38"/>
        <v/>
      </c>
      <c r="D1265" s="1" t="str">
        <f>IFERROR(IF(F1265&lt;&gt;"",F1265,VLOOKUP(MAX(C$2:C1265),A$2:F1265,2,FALSE)),"")</f>
        <v>XF</v>
      </c>
      <c r="E1265" s="1" t="str">
        <f t="shared" si="39"/>
        <v/>
      </c>
    </row>
    <row r="1266" spans="1:5" x14ac:dyDescent="0.25">
      <c r="A1266" s="1">
        <v>1265</v>
      </c>
      <c r="B1266" s="1" t="str">
        <f>IFERROR(IF(F1265&lt;&gt;"",F1265,VLOOKUP(MAX(F$2:F1265),A$1:B1265,2,FALSE)),"")</f>
        <v/>
      </c>
      <c r="C1266" s="1" t="str">
        <f t="shared" si="38"/>
        <v/>
      </c>
      <c r="D1266" s="1" t="str">
        <f>IFERROR(IF(F1266&lt;&gt;"",F1266,VLOOKUP(MAX(C$2:C1266),A$2:F1266,2,FALSE)),"")</f>
        <v>XF</v>
      </c>
      <c r="E1266" s="1" t="str">
        <f t="shared" si="39"/>
        <v/>
      </c>
    </row>
    <row r="1267" spans="1:5" x14ac:dyDescent="0.25">
      <c r="A1267" s="1">
        <v>1266</v>
      </c>
      <c r="B1267" s="1" t="str">
        <f>IFERROR(IF(F1266&lt;&gt;"",F1266,VLOOKUP(MAX(F$2:F1266),A$1:B1266,2,FALSE)),"")</f>
        <v/>
      </c>
      <c r="C1267" s="1" t="str">
        <f t="shared" si="38"/>
        <v/>
      </c>
      <c r="D1267" s="1" t="str">
        <f>IFERROR(IF(F1267&lt;&gt;"",F1267,VLOOKUP(MAX(C$2:C1267),A$2:F1267,2,FALSE)),"")</f>
        <v>XF</v>
      </c>
      <c r="E1267" s="1" t="str">
        <f t="shared" si="39"/>
        <v/>
      </c>
    </row>
    <row r="1268" spans="1:5" x14ac:dyDescent="0.25">
      <c r="A1268" s="1">
        <v>1267</v>
      </c>
      <c r="B1268" s="1" t="str">
        <f>IFERROR(IF(F1267&lt;&gt;"",F1267,VLOOKUP(MAX(F$2:F1267),A$1:B1267,2,FALSE)),"")</f>
        <v/>
      </c>
      <c r="C1268" s="1" t="str">
        <f t="shared" si="38"/>
        <v/>
      </c>
      <c r="D1268" s="1" t="str">
        <f>IFERROR(IF(F1268&lt;&gt;"",F1268,VLOOKUP(MAX(C$2:C1268),A$2:F1268,2,FALSE)),"")</f>
        <v>XF</v>
      </c>
      <c r="E1268" s="1" t="str">
        <f t="shared" si="39"/>
        <v/>
      </c>
    </row>
    <row r="1269" spans="1:5" x14ac:dyDescent="0.25">
      <c r="A1269" s="1">
        <v>1268</v>
      </c>
      <c r="B1269" s="1" t="str">
        <f>IFERROR(IF(F1268&lt;&gt;"",F1268,VLOOKUP(MAX(F$2:F1268),A$1:B1268,2,FALSE)),"")</f>
        <v/>
      </c>
      <c r="C1269" s="1" t="str">
        <f t="shared" si="38"/>
        <v/>
      </c>
      <c r="D1269" s="1" t="str">
        <f>IFERROR(IF(F1269&lt;&gt;"",F1269,VLOOKUP(MAX(C$2:C1269),A$2:F1269,2,FALSE)),"")</f>
        <v>XF</v>
      </c>
      <c r="E1269" s="1" t="str">
        <f t="shared" si="39"/>
        <v/>
      </c>
    </row>
    <row r="1270" spans="1:5" x14ac:dyDescent="0.25">
      <c r="A1270" s="1">
        <v>1269</v>
      </c>
      <c r="B1270" s="1" t="str">
        <f>IFERROR(IF(F1269&lt;&gt;"",F1269,VLOOKUP(MAX(F$2:F1269),A$1:B1269,2,FALSE)),"")</f>
        <v/>
      </c>
      <c r="C1270" s="1" t="str">
        <f t="shared" si="38"/>
        <v/>
      </c>
      <c r="D1270" s="1" t="str">
        <f>IFERROR(IF(F1270&lt;&gt;"",F1270,VLOOKUP(MAX(C$2:C1270),A$2:F1270,2,FALSE)),"")</f>
        <v>XF</v>
      </c>
      <c r="E1270" s="1" t="str">
        <f t="shared" si="39"/>
        <v/>
      </c>
    </row>
    <row r="1271" spans="1:5" x14ac:dyDescent="0.25">
      <c r="A1271" s="1">
        <v>1270</v>
      </c>
      <c r="B1271" s="1" t="str">
        <f>IFERROR(IF(F1270&lt;&gt;"",F1270,VLOOKUP(MAX(F$2:F1270),A$1:B1270,2,FALSE)),"")</f>
        <v/>
      </c>
      <c r="C1271" s="1" t="str">
        <f t="shared" si="38"/>
        <v/>
      </c>
      <c r="D1271" s="1" t="str">
        <f>IFERROR(IF(F1271&lt;&gt;"",F1271,VLOOKUP(MAX(C$2:C1271),A$2:F1271,2,FALSE)),"")</f>
        <v>XF</v>
      </c>
      <c r="E1271" s="1" t="str">
        <f t="shared" si="39"/>
        <v/>
      </c>
    </row>
    <row r="1272" spans="1:5" x14ac:dyDescent="0.25">
      <c r="A1272" s="1">
        <v>1271</v>
      </c>
      <c r="B1272" s="1" t="str">
        <f>IFERROR(IF(F1271&lt;&gt;"",F1271,VLOOKUP(MAX(F$2:F1271),A$1:B1271,2,FALSE)),"")</f>
        <v/>
      </c>
      <c r="C1272" s="1" t="str">
        <f t="shared" si="38"/>
        <v/>
      </c>
      <c r="D1272" s="1" t="str">
        <f>IFERROR(IF(F1272&lt;&gt;"",F1272,VLOOKUP(MAX(C$2:C1272),A$2:F1272,2,FALSE)),"")</f>
        <v>XF</v>
      </c>
      <c r="E1272" s="1" t="str">
        <f t="shared" si="39"/>
        <v/>
      </c>
    </row>
    <row r="1273" spans="1:5" x14ac:dyDescent="0.25">
      <c r="A1273" s="1">
        <v>1272</v>
      </c>
      <c r="B1273" s="1" t="str">
        <f>IFERROR(IF(F1272&lt;&gt;"",F1272,VLOOKUP(MAX(F$2:F1272),A$1:B1272,2,FALSE)),"")</f>
        <v/>
      </c>
      <c r="C1273" s="1" t="str">
        <f t="shared" si="38"/>
        <v/>
      </c>
      <c r="D1273" s="1" t="str">
        <f>IFERROR(IF(F1273&lt;&gt;"",F1273,VLOOKUP(MAX(C$2:C1273),A$2:F1273,2,FALSE)),"")</f>
        <v>XF</v>
      </c>
      <c r="E1273" s="1" t="str">
        <f t="shared" si="39"/>
        <v/>
      </c>
    </row>
    <row r="1274" spans="1:5" x14ac:dyDescent="0.25">
      <c r="A1274" s="1">
        <v>1273</v>
      </c>
      <c r="B1274" s="1" t="str">
        <f>IFERROR(IF(F1273&lt;&gt;"",F1273,VLOOKUP(MAX(F$2:F1273),A$1:B1273,2,FALSE)),"")</f>
        <v/>
      </c>
      <c r="C1274" s="1" t="str">
        <f t="shared" si="38"/>
        <v/>
      </c>
      <c r="D1274" s="1" t="str">
        <f>IFERROR(IF(F1274&lt;&gt;"",F1274,VLOOKUP(MAX(C$2:C1274),A$2:F1274,2,FALSE)),"")</f>
        <v>XF</v>
      </c>
      <c r="E1274" s="1" t="str">
        <f t="shared" si="39"/>
        <v/>
      </c>
    </row>
    <row r="1275" spans="1:5" x14ac:dyDescent="0.25">
      <c r="A1275" s="1">
        <v>1274</v>
      </c>
      <c r="B1275" s="1" t="str">
        <f>IFERROR(IF(F1274&lt;&gt;"",F1274,VLOOKUP(MAX(F$2:F1274),A$1:B1274,2,FALSE)),"")</f>
        <v/>
      </c>
      <c r="C1275" s="1" t="str">
        <f t="shared" si="38"/>
        <v/>
      </c>
      <c r="D1275" s="1" t="str">
        <f>IFERROR(IF(F1275&lt;&gt;"",F1275,VLOOKUP(MAX(C$2:C1275),A$2:F1275,2,FALSE)),"")</f>
        <v>XF</v>
      </c>
      <c r="E1275" s="1" t="str">
        <f t="shared" si="39"/>
        <v/>
      </c>
    </row>
    <row r="1276" spans="1:5" x14ac:dyDescent="0.25">
      <c r="A1276" s="1">
        <v>1275</v>
      </c>
      <c r="B1276" s="1" t="str">
        <f>IFERROR(IF(F1275&lt;&gt;"",F1275,VLOOKUP(MAX(F$2:F1275),A$1:B1275,2,FALSE)),"")</f>
        <v/>
      </c>
      <c r="C1276" s="1" t="str">
        <f t="shared" si="38"/>
        <v/>
      </c>
      <c r="D1276" s="1" t="str">
        <f>IFERROR(IF(F1276&lt;&gt;"",F1276,VLOOKUP(MAX(C$2:C1276),A$2:F1276,2,FALSE)),"")</f>
        <v>XF</v>
      </c>
      <c r="E1276" s="1" t="str">
        <f t="shared" si="39"/>
        <v/>
      </c>
    </row>
    <row r="1277" spans="1:5" x14ac:dyDescent="0.25">
      <c r="A1277" s="1">
        <v>1276</v>
      </c>
      <c r="B1277" s="1" t="str">
        <f>IFERROR(IF(F1276&lt;&gt;"",F1276,VLOOKUP(MAX(F$2:F1276),A$1:B1276,2,FALSE)),"")</f>
        <v/>
      </c>
      <c r="C1277" s="1" t="str">
        <f t="shared" si="38"/>
        <v/>
      </c>
      <c r="D1277" s="1" t="str">
        <f>IFERROR(IF(F1277&lt;&gt;"",F1277,VLOOKUP(MAX(C$2:C1277),A$2:F1277,2,FALSE)),"")</f>
        <v>XF</v>
      </c>
      <c r="E1277" s="1" t="str">
        <f t="shared" si="39"/>
        <v/>
      </c>
    </row>
    <row r="1278" spans="1:5" x14ac:dyDescent="0.25">
      <c r="A1278" s="1">
        <v>1277</v>
      </c>
      <c r="B1278" s="1" t="str">
        <f>IFERROR(IF(F1277&lt;&gt;"",F1277,VLOOKUP(MAX(F$2:F1277),A$1:B1277,2,FALSE)),"")</f>
        <v/>
      </c>
      <c r="C1278" s="1" t="str">
        <f t="shared" si="38"/>
        <v/>
      </c>
      <c r="D1278" s="1" t="str">
        <f>IFERROR(IF(F1278&lt;&gt;"",F1278,VLOOKUP(MAX(C$2:C1278),A$2:F1278,2,FALSE)),"")</f>
        <v>XF</v>
      </c>
      <c r="E1278" s="1" t="str">
        <f t="shared" si="39"/>
        <v/>
      </c>
    </row>
    <row r="1279" spans="1:5" x14ac:dyDescent="0.25">
      <c r="A1279" s="1">
        <v>1278</v>
      </c>
      <c r="B1279" s="1" t="str">
        <f>IFERROR(IF(F1278&lt;&gt;"",F1278,VLOOKUP(MAX(F$2:F1278),A$1:B1278,2,FALSE)),"")</f>
        <v/>
      </c>
      <c r="C1279" s="1" t="str">
        <f t="shared" si="38"/>
        <v/>
      </c>
      <c r="D1279" s="1" t="str">
        <f>IFERROR(IF(F1279&lt;&gt;"",F1279,VLOOKUP(MAX(C$2:C1279),A$2:F1279,2,FALSE)),"")</f>
        <v>XF</v>
      </c>
      <c r="E1279" s="1" t="str">
        <f t="shared" si="39"/>
        <v/>
      </c>
    </row>
    <row r="1280" spans="1:5" x14ac:dyDescent="0.25">
      <c r="A1280" s="1">
        <v>1279</v>
      </c>
      <c r="B1280" s="1" t="str">
        <f>IFERROR(IF(F1279&lt;&gt;"",F1279,VLOOKUP(MAX(F$2:F1279),A$1:B1279,2,FALSE)),"")</f>
        <v/>
      </c>
      <c r="C1280" s="1" t="str">
        <f t="shared" si="38"/>
        <v/>
      </c>
      <c r="D1280" s="1" t="str">
        <f>IFERROR(IF(F1280&lt;&gt;"",F1280,VLOOKUP(MAX(C$2:C1280),A$2:F1280,2,FALSE)),"")</f>
        <v>XF</v>
      </c>
      <c r="E1280" s="1" t="str">
        <f t="shared" si="39"/>
        <v/>
      </c>
    </row>
    <row r="1281" spans="1:5" x14ac:dyDescent="0.25">
      <c r="A1281" s="1">
        <v>1280</v>
      </c>
      <c r="B1281" s="1" t="str">
        <f>IFERROR(IF(F1280&lt;&gt;"",F1280,VLOOKUP(MAX(F$2:F1280),A$1:B1280,2,FALSE)),"")</f>
        <v/>
      </c>
      <c r="C1281" s="1" t="str">
        <f t="shared" si="38"/>
        <v/>
      </c>
      <c r="D1281" s="1" t="str">
        <f>IFERROR(IF(F1281&lt;&gt;"",F1281,VLOOKUP(MAX(C$2:C1281),A$2:F1281,2,FALSE)),"")</f>
        <v>XF</v>
      </c>
      <c r="E1281" s="1" t="str">
        <f t="shared" si="39"/>
        <v/>
      </c>
    </row>
    <row r="1282" spans="1:5" x14ac:dyDescent="0.25">
      <c r="A1282" s="1">
        <v>1281</v>
      </c>
      <c r="B1282" s="1" t="str">
        <f>IFERROR(IF(F1281&lt;&gt;"",F1281,VLOOKUP(MAX(F$2:F1281),A$1:B1281,2,FALSE)),"")</f>
        <v/>
      </c>
      <c r="C1282" s="1" t="str">
        <f t="shared" ref="C1282:C1345" si="40">IF(F1282&lt;&gt;"",A1282,"")</f>
        <v/>
      </c>
      <c r="D1282" s="1" t="str">
        <f>IFERROR(IF(F1282&lt;&gt;"",F1282,VLOOKUP(MAX(C$2:C1282),A$2:F1282,2,FALSE)),"")</f>
        <v>XF</v>
      </c>
      <c r="E1282" s="1" t="str">
        <f t="shared" si="39"/>
        <v/>
      </c>
    </row>
    <row r="1283" spans="1:5" x14ac:dyDescent="0.25">
      <c r="A1283" s="1">
        <v>1282</v>
      </c>
      <c r="B1283" s="1" t="str">
        <f>IFERROR(IF(F1282&lt;&gt;"",F1282,VLOOKUP(MAX(F$2:F1282),A$1:B1282,2,FALSE)),"")</f>
        <v/>
      </c>
      <c r="C1283" s="1" t="str">
        <f t="shared" si="40"/>
        <v/>
      </c>
      <c r="D1283" s="1" t="str">
        <f>IFERROR(IF(F1283&lt;&gt;"",F1283,VLOOKUP(MAX(C$2:C1283),A$2:F1283,2,FALSE)),"")</f>
        <v>XF</v>
      </c>
      <c r="E1283" s="1" t="str">
        <f t="shared" si="39"/>
        <v/>
      </c>
    </row>
    <row r="1284" spans="1:5" x14ac:dyDescent="0.25">
      <c r="A1284" s="1">
        <v>1283</v>
      </c>
      <c r="B1284" s="1" t="str">
        <f>IFERROR(IF(F1283&lt;&gt;"",F1283,VLOOKUP(MAX(F$2:F1283),A$1:B1283,2,FALSE)),"")</f>
        <v/>
      </c>
      <c r="C1284" s="1" t="str">
        <f t="shared" si="40"/>
        <v/>
      </c>
      <c r="D1284" s="1" t="str">
        <f>IFERROR(IF(F1284&lt;&gt;"",F1284,VLOOKUP(MAX(C$2:C1284),A$2:F1284,2,FALSE)),"")</f>
        <v>XF</v>
      </c>
      <c r="E1284" s="1" t="str">
        <f t="shared" ref="E1284:E1347" si="41">IF(H1284&lt;&gt;"",CONCATENATE(D1284,".",H1284),"")</f>
        <v/>
      </c>
    </row>
    <row r="1285" spans="1:5" x14ac:dyDescent="0.25">
      <c r="A1285" s="1">
        <v>1284</v>
      </c>
      <c r="B1285" s="1" t="str">
        <f>IFERROR(IF(F1284&lt;&gt;"",F1284,VLOOKUP(MAX(F$2:F1284),A$1:B1284,2,FALSE)),"")</f>
        <v/>
      </c>
      <c r="C1285" s="1" t="str">
        <f t="shared" si="40"/>
        <v/>
      </c>
      <c r="D1285" s="1" t="str">
        <f>IFERROR(IF(F1285&lt;&gt;"",F1285,VLOOKUP(MAX(C$2:C1285),A$2:F1285,2,FALSE)),"")</f>
        <v>XF</v>
      </c>
      <c r="E1285" s="1" t="str">
        <f t="shared" si="41"/>
        <v/>
      </c>
    </row>
    <row r="1286" spans="1:5" x14ac:dyDescent="0.25">
      <c r="A1286" s="1">
        <v>1285</v>
      </c>
      <c r="B1286" s="1" t="str">
        <f>IFERROR(IF(F1285&lt;&gt;"",F1285,VLOOKUP(MAX(F$2:F1285),A$1:B1285,2,FALSE)),"")</f>
        <v/>
      </c>
      <c r="C1286" s="1" t="str">
        <f t="shared" si="40"/>
        <v/>
      </c>
      <c r="D1286" s="1" t="str">
        <f>IFERROR(IF(F1286&lt;&gt;"",F1286,VLOOKUP(MAX(C$2:C1286),A$2:F1286,2,FALSE)),"")</f>
        <v>XF</v>
      </c>
      <c r="E1286" s="1" t="str">
        <f t="shared" si="41"/>
        <v/>
      </c>
    </row>
    <row r="1287" spans="1:5" x14ac:dyDescent="0.25">
      <c r="A1287" s="1">
        <v>1286</v>
      </c>
      <c r="B1287" s="1" t="str">
        <f>IFERROR(IF(F1286&lt;&gt;"",F1286,VLOOKUP(MAX(F$2:F1286),A$1:B1286,2,FALSE)),"")</f>
        <v/>
      </c>
      <c r="C1287" s="1" t="str">
        <f t="shared" si="40"/>
        <v/>
      </c>
      <c r="D1287" s="1" t="str">
        <f>IFERROR(IF(F1287&lt;&gt;"",F1287,VLOOKUP(MAX(C$2:C1287),A$2:F1287,2,FALSE)),"")</f>
        <v>XF</v>
      </c>
      <c r="E1287" s="1" t="str">
        <f t="shared" si="41"/>
        <v/>
      </c>
    </row>
    <row r="1288" spans="1:5" x14ac:dyDescent="0.25">
      <c r="A1288" s="1">
        <v>1287</v>
      </c>
      <c r="B1288" s="1" t="str">
        <f>IFERROR(IF(F1287&lt;&gt;"",F1287,VLOOKUP(MAX(F$2:F1287),A$1:B1287,2,FALSE)),"")</f>
        <v/>
      </c>
      <c r="C1288" s="1" t="str">
        <f t="shared" si="40"/>
        <v/>
      </c>
      <c r="D1288" s="1" t="str">
        <f>IFERROR(IF(F1288&lt;&gt;"",F1288,VLOOKUP(MAX(C$2:C1288),A$2:F1288,2,FALSE)),"")</f>
        <v>XF</v>
      </c>
      <c r="E1288" s="1" t="str">
        <f t="shared" si="41"/>
        <v/>
      </c>
    </row>
    <row r="1289" spans="1:5" x14ac:dyDescent="0.25">
      <c r="A1289" s="1">
        <v>1288</v>
      </c>
      <c r="B1289" s="1" t="str">
        <f>IFERROR(IF(F1288&lt;&gt;"",F1288,VLOOKUP(MAX(F$2:F1288),A$1:B1288,2,FALSE)),"")</f>
        <v/>
      </c>
      <c r="C1289" s="1" t="str">
        <f t="shared" si="40"/>
        <v/>
      </c>
      <c r="D1289" s="1" t="str">
        <f>IFERROR(IF(F1289&lt;&gt;"",F1289,VLOOKUP(MAX(C$2:C1289),A$2:F1289,2,FALSE)),"")</f>
        <v>XF</v>
      </c>
      <c r="E1289" s="1" t="str">
        <f t="shared" si="41"/>
        <v/>
      </c>
    </row>
    <row r="1290" spans="1:5" x14ac:dyDescent="0.25">
      <c r="A1290" s="1">
        <v>1289</v>
      </c>
      <c r="B1290" s="1" t="str">
        <f>IFERROR(IF(F1289&lt;&gt;"",F1289,VLOOKUP(MAX(F$2:F1289),A$1:B1289,2,FALSE)),"")</f>
        <v/>
      </c>
      <c r="C1290" s="1" t="str">
        <f t="shared" si="40"/>
        <v/>
      </c>
      <c r="D1290" s="1" t="str">
        <f>IFERROR(IF(F1290&lt;&gt;"",F1290,VLOOKUP(MAX(C$2:C1290),A$2:F1290,2,FALSE)),"")</f>
        <v>XF</v>
      </c>
      <c r="E1290" s="1" t="str">
        <f t="shared" si="41"/>
        <v/>
      </c>
    </row>
    <row r="1291" spans="1:5" x14ac:dyDescent="0.25">
      <c r="A1291" s="1">
        <v>1290</v>
      </c>
      <c r="B1291" s="1" t="str">
        <f>IFERROR(IF(F1290&lt;&gt;"",F1290,VLOOKUP(MAX(F$2:F1290),A$1:B1290,2,FALSE)),"")</f>
        <v/>
      </c>
      <c r="C1291" s="1" t="str">
        <f t="shared" si="40"/>
        <v/>
      </c>
      <c r="D1291" s="1" t="str">
        <f>IFERROR(IF(F1291&lt;&gt;"",F1291,VLOOKUP(MAX(C$2:C1291),A$2:F1291,2,FALSE)),"")</f>
        <v>XF</v>
      </c>
      <c r="E1291" s="1" t="str">
        <f t="shared" si="41"/>
        <v/>
      </c>
    </row>
    <row r="1292" spans="1:5" x14ac:dyDescent="0.25">
      <c r="A1292" s="1">
        <v>1291</v>
      </c>
      <c r="B1292" s="1" t="str">
        <f>IFERROR(IF(F1291&lt;&gt;"",F1291,VLOOKUP(MAX(F$2:F1291),A$1:B1291,2,FALSE)),"")</f>
        <v/>
      </c>
      <c r="C1292" s="1" t="str">
        <f t="shared" si="40"/>
        <v/>
      </c>
      <c r="D1292" s="1" t="str">
        <f>IFERROR(IF(F1292&lt;&gt;"",F1292,VLOOKUP(MAX(C$2:C1292),A$2:F1292,2,FALSE)),"")</f>
        <v>XF</v>
      </c>
      <c r="E1292" s="1" t="str">
        <f t="shared" si="41"/>
        <v/>
      </c>
    </row>
    <row r="1293" spans="1:5" x14ac:dyDescent="0.25">
      <c r="A1293" s="1">
        <v>1292</v>
      </c>
      <c r="B1293" s="1" t="str">
        <f>IFERROR(IF(F1292&lt;&gt;"",F1292,VLOOKUP(MAX(F$2:F1292),A$1:B1292,2,FALSE)),"")</f>
        <v/>
      </c>
      <c r="C1293" s="1" t="str">
        <f t="shared" si="40"/>
        <v/>
      </c>
      <c r="D1293" s="1" t="str">
        <f>IFERROR(IF(F1293&lt;&gt;"",F1293,VLOOKUP(MAX(C$2:C1293),A$2:F1293,2,FALSE)),"")</f>
        <v>XF</v>
      </c>
      <c r="E1293" s="1" t="str">
        <f t="shared" si="41"/>
        <v/>
      </c>
    </row>
    <row r="1294" spans="1:5" x14ac:dyDescent="0.25">
      <c r="A1294" s="1">
        <v>1293</v>
      </c>
      <c r="B1294" s="1" t="str">
        <f>IFERROR(IF(F1293&lt;&gt;"",F1293,VLOOKUP(MAX(F$2:F1293),A$1:B1293,2,FALSE)),"")</f>
        <v/>
      </c>
      <c r="C1294" s="1" t="str">
        <f t="shared" si="40"/>
        <v/>
      </c>
      <c r="D1294" s="1" t="str">
        <f>IFERROR(IF(F1294&lt;&gt;"",F1294,VLOOKUP(MAX(C$2:C1294),A$2:F1294,2,FALSE)),"")</f>
        <v>XF</v>
      </c>
      <c r="E1294" s="1" t="str">
        <f t="shared" si="41"/>
        <v/>
      </c>
    </row>
    <row r="1295" spans="1:5" x14ac:dyDescent="0.25">
      <c r="A1295" s="1">
        <v>1294</v>
      </c>
      <c r="B1295" s="1" t="str">
        <f>IFERROR(IF(F1294&lt;&gt;"",F1294,VLOOKUP(MAX(F$2:F1294),A$1:B1294,2,FALSE)),"")</f>
        <v/>
      </c>
      <c r="C1295" s="1" t="str">
        <f t="shared" si="40"/>
        <v/>
      </c>
      <c r="D1295" s="1" t="str">
        <f>IFERROR(IF(F1295&lt;&gt;"",F1295,VLOOKUP(MAX(C$2:C1295),A$2:F1295,2,FALSE)),"")</f>
        <v>XF</v>
      </c>
      <c r="E1295" s="1" t="str">
        <f t="shared" si="41"/>
        <v/>
      </c>
    </row>
    <row r="1296" spans="1:5" x14ac:dyDescent="0.25">
      <c r="A1296" s="1">
        <v>1295</v>
      </c>
      <c r="B1296" s="1" t="str">
        <f>IFERROR(IF(F1295&lt;&gt;"",F1295,VLOOKUP(MAX(F$2:F1295),A$1:B1295,2,FALSE)),"")</f>
        <v/>
      </c>
      <c r="C1296" s="1" t="str">
        <f t="shared" si="40"/>
        <v/>
      </c>
      <c r="D1296" s="1" t="str">
        <f>IFERROR(IF(F1296&lt;&gt;"",F1296,VLOOKUP(MAX(C$2:C1296),A$2:F1296,2,FALSE)),"")</f>
        <v>XF</v>
      </c>
      <c r="E1296" s="1" t="str">
        <f t="shared" si="41"/>
        <v/>
      </c>
    </row>
    <row r="1297" spans="1:5" x14ac:dyDescent="0.25">
      <c r="A1297" s="1">
        <v>1296</v>
      </c>
      <c r="B1297" s="1" t="str">
        <f>IFERROR(IF(F1296&lt;&gt;"",F1296,VLOOKUP(MAX(F$2:F1296),A$1:B1296,2,FALSE)),"")</f>
        <v/>
      </c>
      <c r="C1297" s="1" t="str">
        <f t="shared" si="40"/>
        <v/>
      </c>
      <c r="D1297" s="1" t="str">
        <f>IFERROR(IF(F1297&lt;&gt;"",F1297,VLOOKUP(MAX(C$2:C1297),A$2:F1297,2,FALSE)),"")</f>
        <v>XF</v>
      </c>
      <c r="E1297" s="1" t="str">
        <f t="shared" si="41"/>
        <v/>
      </c>
    </row>
    <row r="1298" spans="1:5" x14ac:dyDescent="0.25">
      <c r="A1298" s="1">
        <v>1297</v>
      </c>
      <c r="B1298" s="1" t="str">
        <f>IFERROR(IF(F1297&lt;&gt;"",F1297,VLOOKUP(MAX(F$2:F1297),A$1:B1297,2,FALSE)),"")</f>
        <v/>
      </c>
      <c r="C1298" s="1" t="str">
        <f t="shared" si="40"/>
        <v/>
      </c>
      <c r="D1298" s="1" t="str">
        <f>IFERROR(IF(F1298&lt;&gt;"",F1298,VLOOKUP(MAX(C$2:C1298),A$2:F1298,2,FALSE)),"")</f>
        <v>XF</v>
      </c>
      <c r="E1298" s="1" t="str">
        <f t="shared" si="41"/>
        <v/>
      </c>
    </row>
    <row r="1299" spans="1:5" x14ac:dyDescent="0.25">
      <c r="A1299" s="1">
        <v>1298</v>
      </c>
      <c r="B1299" s="1" t="str">
        <f>IFERROR(IF(F1298&lt;&gt;"",F1298,VLOOKUP(MAX(F$2:F1298),A$1:B1298,2,FALSE)),"")</f>
        <v/>
      </c>
      <c r="C1299" s="1" t="str">
        <f t="shared" si="40"/>
        <v/>
      </c>
      <c r="D1299" s="1" t="str">
        <f>IFERROR(IF(F1299&lt;&gt;"",F1299,VLOOKUP(MAX(C$2:C1299),A$2:F1299,2,FALSE)),"")</f>
        <v>XF</v>
      </c>
      <c r="E1299" s="1" t="str">
        <f t="shared" si="41"/>
        <v/>
      </c>
    </row>
    <row r="1300" spans="1:5" x14ac:dyDescent="0.25">
      <c r="A1300" s="1">
        <v>1299</v>
      </c>
      <c r="B1300" s="1" t="str">
        <f>IFERROR(IF(F1299&lt;&gt;"",F1299,VLOOKUP(MAX(F$2:F1299),A$1:B1299,2,FALSE)),"")</f>
        <v/>
      </c>
      <c r="C1300" s="1" t="str">
        <f t="shared" si="40"/>
        <v/>
      </c>
      <c r="D1300" s="1" t="str">
        <f>IFERROR(IF(F1300&lt;&gt;"",F1300,VLOOKUP(MAX(C$2:C1300),A$2:F1300,2,FALSE)),"")</f>
        <v>XF</v>
      </c>
      <c r="E1300" s="1" t="str">
        <f t="shared" si="41"/>
        <v/>
      </c>
    </row>
    <row r="1301" spans="1:5" x14ac:dyDescent="0.25">
      <c r="A1301" s="1">
        <v>1300</v>
      </c>
      <c r="B1301" s="1" t="str">
        <f>IFERROR(IF(F1300&lt;&gt;"",F1300,VLOOKUP(MAX(F$2:F1300),A$1:B1300,2,FALSE)),"")</f>
        <v/>
      </c>
      <c r="C1301" s="1" t="str">
        <f t="shared" si="40"/>
        <v/>
      </c>
      <c r="D1301" s="1" t="str">
        <f>IFERROR(IF(F1301&lt;&gt;"",F1301,VLOOKUP(MAX(C$2:C1301),A$2:F1301,2,FALSE)),"")</f>
        <v>XF</v>
      </c>
      <c r="E1301" s="1" t="str">
        <f t="shared" si="41"/>
        <v/>
      </c>
    </row>
    <row r="1302" spans="1:5" x14ac:dyDescent="0.25">
      <c r="A1302" s="1">
        <v>1301</v>
      </c>
      <c r="B1302" s="1" t="str">
        <f>IFERROR(IF(F1301&lt;&gt;"",F1301,VLOOKUP(MAX(F$2:F1301),A$1:B1301,2,FALSE)),"")</f>
        <v/>
      </c>
      <c r="C1302" s="1" t="str">
        <f t="shared" si="40"/>
        <v/>
      </c>
      <c r="D1302" s="1" t="str">
        <f>IFERROR(IF(F1302&lt;&gt;"",F1302,VLOOKUP(MAX(C$2:C1302),A$2:F1302,2,FALSE)),"")</f>
        <v>XF</v>
      </c>
      <c r="E1302" s="1" t="str">
        <f t="shared" si="41"/>
        <v/>
      </c>
    </row>
    <row r="1303" spans="1:5" x14ac:dyDescent="0.25">
      <c r="A1303" s="1">
        <v>1302</v>
      </c>
      <c r="B1303" s="1" t="str">
        <f>IFERROR(IF(F1302&lt;&gt;"",F1302,VLOOKUP(MAX(F$2:F1302),A$1:B1302,2,FALSE)),"")</f>
        <v/>
      </c>
      <c r="C1303" s="1" t="str">
        <f t="shared" si="40"/>
        <v/>
      </c>
      <c r="D1303" s="1" t="str">
        <f>IFERROR(IF(F1303&lt;&gt;"",F1303,VLOOKUP(MAX(C$2:C1303),A$2:F1303,2,FALSE)),"")</f>
        <v>XF</v>
      </c>
      <c r="E1303" s="1" t="str">
        <f t="shared" si="41"/>
        <v/>
      </c>
    </row>
    <row r="1304" spans="1:5" x14ac:dyDescent="0.25">
      <c r="A1304" s="1">
        <v>1303</v>
      </c>
      <c r="B1304" s="1" t="str">
        <f>IFERROR(IF(F1303&lt;&gt;"",F1303,VLOOKUP(MAX(F$2:F1303),A$1:B1303,2,FALSE)),"")</f>
        <v/>
      </c>
      <c r="C1304" s="1" t="str">
        <f t="shared" si="40"/>
        <v/>
      </c>
      <c r="D1304" s="1" t="str">
        <f>IFERROR(IF(F1304&lt;&gt;"",F1304,VLOOKUP(MAX(C$2:C1304),A$2:F1304,2,FALSE)),"")</f>
        <v>XF</v>
      </c>
      <c r="E1304" s="1" t="str">
        <f t="shared" si="41"/>
        <v/>
      </c>
    </row>
    <row r="1305" spans="1:5" x14ac:dyDescent="0.25">
      <c r="A1305" s="1">
        <v>1304</v>
      </c>
      <c r="B1305" s="1" t="str">
        <f>IFERROR(IF(F1304&lt;&gt;"",F1304,VLOOKUP(MAX(F$2:F1304),A$1:B1304,2,FALSE)),"")</f>
        <v/>
      </c>
      <c r="C1305" s="1" t="str">
        <f t="shared" si="40"/>
        <v/>
      </c>
      <c r="D1305" s="1" t="str">
        <f>IFERROR(IF(F1305&lt;&gt;"",F1305,VLOOKUP(MAX(C$2:C1305),A$2:F1305,2,FALSE)),"")</f>
        <v>XF</v>
      </c>
      <c r="E1305" s="1" t="str">
        <f t="shared" si="41"/>
        <v/>
      </c>
    </row>
    <row r="1306" spans="1:5" x14ac:dyDescent="0.25">
      <c r="A1306" s="1">
        <v>1305</v>
      </c>
      <c r="B1306" s="1" t="str">
        <f>IFERROR(IF(F1305&lt;&gt;"",F1305,VLOOKUP(MAX(F$2:F1305),A$1:B1305,2,FALSE)),"")</f>
        <v/>
      </c>
      <c r="C1306" s="1" t="str">
        <f t="shared" si="40"/>
        <v/>
      </c>
      <c r="D1306" s="1" t="str">
        <f>IFERROR(IF(F1306&lt;&gt;"",F1306,VLOOKUP(MAX(C$2:C1306),A$2:F1306,2,FALSE)),"")</f>
        <v>XF</v>
      </c>
      <c r="E1306" s="1" t="str">
        <f t="shared" si="41"/>
        <v/>
      </c>
    </row>
    <row r="1307" spans="1:5" x14ac:dyDescent="0.25">
      <c r="A1307" s="1">
        <v>1306</v>
      </c>
      <c r="B1307" s="1" t="str">
        <f>IFERROR(IF(F1306&lt;&gt;"",F1306,VLOOKUP(MAX(F$2:F1306),A$1:B1306,2,FALSE)),"")</f>
        <v/>
      </c>
      <c r="C1307" s="1" t="str">
        <f t="shared" si="40"/>
        <v/>
      </c>
      <c r="D1307" s="1" t="str">
        <f>IFERROR(IF(F1307&lt;&gt;"",F1307,VLOOKUP(MAX(C$2:C1307),A$2:F1307,2,FALSE)),"")</f>
        <v>XF</v>
      </c>
      <c r="E1307" s="1" t="str">
        <f t="shared" si="41"/>
        <v/>
      </c>
    </row>
    <row r="1308" spans="1:5" x14ac:dyDescent="0.25">
      <c r="A1308" s="1">
        <v>1307</v>
      </c>
      <c r="B1308" s="1" t="str">
        <f>IFERROR(IF(F1307&lt;&gt;"",F1307,VLOOKUP(MAX(F$2:F1307),A$1:B1307,2,FALSE)),"")</f>
        <v/>
      </c>
      <c r="C1308" s="1" t="str">
        <f t="shared" si="40"/>
        <v/>
      </c>
      <c r="D1308" s="1" t="str">
        <f>IFERROR(IF(F1308&lt;&gt;"",F1308,VLOOKUP(MAX(C$2:C1308),A$2:F1308,2,FALSE)),"")</f>
        <v>XF</v>
      </c>
      <c r="E1308" s="1" t="str">
        <f t="shared" si="41"/>
        <v/>
      </c>
    </row>
    <row r="1309" spans="1:5" x14ac:dyDescent="0.25">
      <c r="A1309" s="1">
        <v>1308</v>
      </c>
      <c r="B1309" s="1" t="str">
        <f>IFERROR(IF(F1308&lt;&gt;"",F1308,VLOOKUP(MAX(F$2:F1308),A$1:B1308,2,FALSE)),"")</f>
        <v/>
      </c>
      <c r="C1309" s="1" t="str">
        <f t="shared" si="40"/>
        <v/>
      </c>
      <c r="D1309" s="1" t="str">
        <f>IFERROR(IF(F1309&lt;&gt;"",F1309,VLOOKUP(MAX(C$2:C1309),A$2:F1309,2,FALSE)),"")</f>
        <v>XF</v>
      </c>
      <c r="E1309" s="1" t="str">
        <f t="shared" si="41"/>
        <v/>
      </c>
    </row>
    <row r="1310" spans="1:5" x14ac:dyDescent="0.25">
      <c r="A1310" s="1">
        <v>1309</v>
      </c>
      <c r="B1310" s="1" t="str">
        <f>IFERROR(IF(F1309&lt;&gt;"",F1309,VLOOKUP(MAX(F$2:F1309),A$1:B1309,2,FALSE)),"")</f>
        <v/>
      </c>
      <c r="C1310" s="1" t="str">
        <f t="shared" si="40"/>
        <v/>
      </c>
      <c r="D1310" s="1" t="str">
        <f>IFERROR(IF(F1310&lt;&gt;"",F1310,VLOOKUP(MAX(C$2:C1310),A$2:F1310,2,FALSE)),"")</f>
        <v>XF</v>
      </c>
      <c r="E1310" s="1" t="str">
        <f t="shared" si="41"/>
        <v/>
      </c>
    </row>
    <row r="1311" spans="1:5" x14ac:dyDescent="0.25">
      <c r="A1311" s="1">
        <v>1310</v>
      </c>
      <c r="B1311" s="1" t="str">
        <f>IFERROR(IF(F1310&lt;&gt;"",F1310,VLOOKUP(MAX(F$2:F1310),A$1:B1310,2,FALSE)),"")</f>
        <v/>
      </c>
      <c r="C1311" s="1" t="str">
        <f t="shared" si="40"/>
        <v/>
      </c>
      <c r="D1311" s="1" t="str">
        <f>IFERROR(IF(F1311&lt;&gt;"",F1311,VLOOKUP(MAX(C$2:C1311),A$2:F1311,2,FALSE)),"")</f>
        <v>XF</v>
      </c>
      <c r="E1311" s="1" t="str">
        <f t="shared" si="41"/>
        <v/>
      </c>
    </row>
    <row r="1312" spans="1:5" x14ac:dyDescent="0.25">
      <c r="A1312" s="1">
        <v>1311</v>
      </c>
      <c r="B1312" s="1" t="str">
        <f>IFERROR(IF(F1311&lt;&gt;"",F1311,VLOOKUP(MAX(F$2:F1311),A$1:B1311,2,FALSE)),"")</f>
        <v/>
      </c>
      <c r="C1312" s="1" t="str">
        <f t="shared" si="40"/>
        <v/>
      </c>
      <c r="D1312" s="1" t="str">
        <f>IFERROR(IF(F1312&lt;&gt;"",F1312,VLOOKUP(MAX(C$2:C1312),A$2:F1312,2,FALSE)),"")</f>
        <v>XF</v>
      </c>
      <c r="E1312" s="1" t="str">
        <f t="shared" si="41"/>
        <v/>
      </c>
    </row>
    <row r="1313" spans="1:5" x14ac:dyDescent="0.25">
      <c r="A1313" s="1">
        <v>1312</v>
      </c>
      <c r="B1313" s="1" t="str">
        <f>IFERROR(IF(F1312&lt;&gt;"",F1312,VLOOKUP(MAX(F$2:F1312),A$1:B1312,2,FALSE)),"")</f>
        <v/>
      </c>
      <c r="C1313" s="1" t="str">
        <f t="shared" si="40"/>
        <v/>
      </c>
      <c r="D1313" s="1" t="str">
        <f>IFERROR(IF(F1313&lt;&gt;"",F1313,VLOOKUP(MAX(C$2:C1313),A$2:F1313,2,FALSE)),"")</f>
        <v>XF</v>
      </c>
      <c r="E1313" s="1" t="str">
        <f t="shared" si="41"/>
        <v/>
      </c>
    </row>
    <row r="1314" spans="1:5" x14ac:dyDescent="0.25">
      <c r="A1314" s="1">
        <v>1313</v>
      </c>
      <c r="B1314" s="1" t="str">
        <f>IFERROR(IF(F1313&lt;&gt;"",F1313,VLOOKUP(MAX(F$2:F1313),A$1:B1313,2,FALSE)),"")</f>
        <v/>
      </c>
      <c r="C1314" s="1" t="str">
        <f t="shared" si="40"/>
        <v/>
      </c>
      <c r="D1314" s="1" t="str">
        <f>IFERROR(IF(F1314&lt;&gt;"",F1314,VLOOKUP(MAX(C$2:C1314),A$2:F1314,2,FALSE)),"")</f>
        <v>XF</v>
      </c>
      <c r="E1314" s="1" t="str">
        <f t="shared" si="41"/>
        <v/>
      </c>
    </row>
    <row r="1315" spans="1:5" x14ac:dyDescent="0.25">
      <c r="A1315" s="1">
        <v>1314</v>
      </c>
      <c r="B1315" s="1" t="str">
        <f>IFERROR(IF(F1314&lt;&gt;"",F1314,VLOOKUP(MAX(F$2:F1314),A$1:B1314,2,FALSE)),"")</f>
        <v/>
      </c>
      <c r="C1315" s="1" t="str">
        <f t="shared" si="40"/>
        <v/>
      </c>
      <c r="D1315" s="1" t="str">
        <f>IFERROR(IF(F1315&lt;&gt;"",F1315,VLOOKUP(MAX(C$2:C1315),A$2:F1315,2,FALSE)),"")</f>
        <v>XF</v>
      </c>
      <c r="E1315" s="1" t="str">
        <f t="shared" si="41"/>
        <v/>
      </c>
    </row>
    <row r="1316" spans="1:5" x14ac:dyDescent="0.25">
      <c r="A1316" s="1">
        <v>1315</v>
      </c>
      <c r="B1316" s="1" t="str">
        <f>IFERROR(IF(F1315&lt;&gt;"",F1315,VLOOKUP(MAX(F$2:F1315),A$1:B1315,2,FALSE)),"")</f>
        <v/>
      </c>
      <c r="C1316" s="1" t="str">
        <f t="shared" si="40"/>
        <v/>
      </c>
      <c r="D1316" s="1" t="str">
        <f>IFERROR(IF(F1316&lt;&gt;"",F1316,VLOOKUP(MAX(C$2:C1316),A$2:F1316,2,FALSE)),"")</f>
        <v>XF</v>
      </c>
      <c r="E1316" s="1" t="str">
        <f t="shared" si="41"/>
        <v/>
      </c>
    </row>
    <row r="1317" spans="1:5" x14ac:dyDescent="0.25">
      <c r="A1317" s="1">
        <v>1316</v>
      </c>
      <c r="B1317" s="1" t="str">
        <f>IFERROR(IF(F1316&lt;&gt;"",F1316,VLOOKUP(MAX(F$2:F1316),A$1:B1316,2,FALSE)),"")</f>
        <v/>
      </c>
      <c r="C1317" s="1" t="str">
        <f t="shared" si="40"/>
        <v/>
      </c>
      <c r="D1317" s="1" t="str">
        <f>IFERROR(IF(F1317&lt;&gt;"",F1317,VLOOKUP(MAX(C$2:C1317),A$2:F1317,2,FALSE)),"")</f>
        <v>XF</v>
      </c>
      <c r="E1317" s="1" t="str">
        <f t="shared" si="41"/>
        <v/>
      </c>
    </row>
    <row r="1318" spans="1:5" x14ac:dyDescent="0.25">
      <c r="A1318" s="1">
        <v>1317</v>
      </c>
      <c r="B1318" s="1" t="str">
        <f>IFERROR(IF(F1317&lt;&gt;"",F1317,VLOOKUP(MAX(F$2:F1317),A$1:B1317,2,FALSE)),"")</f>
        <v/>
      </c>
      <c r="C1318" s="1" t="str">
        <f t="shared" si="40"/>
        <v/>
      </c>
      <c r="D1318" s="1" t="str">
        <f>IFERROR(IF(F1318&lt;&gt;"",F1318,VLOOKUP(MAX(C$2:C1318),A$2:F1318,2,FALSE)),"")</f>
        <v>XF</v>
      </c>
      <c r="E1318" s="1" t="str">
        <f t="shared" si="41"/>
        <v/>
      </c>
    </row>
    <row r="1319" spans="1:5" x14ac:dyDescent="0.25">
      <c r="A1319" s="1">
        <v>1318</v>
      </c>
      <c r="B1319" s="1" t="str">
        <f>IFERROR(IF(F1318&lt;&gt;"",F1318,VLOOKUP(MAX(F$2:F1318),A$1:B1318,2,FALSE)),"")</f>
        <v/>
      </c>
      <c r="C1319" s="1" t="str">
        <f t="shared" si="40"/>
        <v/>
      </c>
      <c r="D1319" s="1" t="str">
        <f>IFERROR(IF(F1319&lt;&gt;"",F1319,VLOOKUP(MAX(C$2:C1319),A$2:F1319,2,FALSE)),"")</f>
        <v>XF</v>
      </c>
      <c r="E1319" s="1" t="str">
        <f t="shared" si="41"/>
        <v/>
      </c>
    </row>
    <row r="1320" spans="1:5" x14ac:dyDescent="0.25">
      <c r="A1320" s="1">
        <v>1319</v>
      </c>
      <c r="B1320" s="1" t="str">
        <f>IFERROR(IF(F1319&lt;&gt;"",F1319,VLOOKUP(MAX(F$2:F1319),A$1:B1319,2,FALSE)),"")</f>
        <v/>
      </c>
      <c r="C1320" s="1" t="str">
        <f t="shared" si="40"/>
        <v/>
      </c>
      <c r="D1320" s="1" t="str">
        <f>IFERROR(IF(F1320&lt;&gt;"",F1320,VLOOKUP(MAX(C$2:C1320),A$2:F1320,2,FALSE)),"")</f>
        <v>XF</v>
      </c>
      <c r="E1320" s="1" t="str">
        <f t="shared" si="41"/>
        <v/>
      </c>
    </row>
    <row r="1321" spans="1:5" x14ac:dyDescent="0.25">
      <c r="A1321" s="1">
        <v>1320</v>
      </c>
      <c r="B1321" s="1" t="str">
        <f>IFERROR(IF(F1320&lt;&gt;"",F1320,VLOOKUP(MAX(F$2:F1320),A$1:B1320,2,FALSE)),"")</f>
        <v/>
      </c>
      <c r="C1321" s="1" t="str">
        <f t="shared" si="40"/>
        <v/>
      </c>
      <c r="D1321" s="1" t="str">
        <f>IFERROR(IF(F1321&lt;&gt;"",F1321,VLOOKUP(MAX(C$2:C1321),A$2:F1321,2,FALSE)),"")</f>
        <v>XF</v>
      </c>
      <c r="E1321" s="1" t="str">
        <f t="shared" si="41"/>
        <v/>
      </c>
    </row>
    <row r="1322" spans="1:5" x14ac:dyDescent="0.25">
      <c r="A1322" s="1">
        <v>1321</v>
      </c>
      <c r="B1322" s="1" t="str">
        <f>IFERROR(IF(F1321&lt;&gt;"",F1321,VLOOKUP(MAX(F$2:F1321),A$1:B1321,2,FALSE)),"")</f>
        <v/>
      </c>
      <c r="C1322" s="1" t="str">
        <f t="shared" si="40"/>
        <v/>
      </c>
      <c r="D1322" s="1" t="str">
        <f>IFERROR(IF(F1322&lt;&gt;"",F1322,VLOOKUP(MAX(C$2:C1322),A$2:F1322,2,FALSE)),"")</f>
        <v>XF</v>
      </c>
      <c r="E1322" s="1" t="str">
        <f t="shared" si="41"/>
        <v/>
      </c>
    </row>
    <row r="1323" spans="1:5" x14ac:dyDescent="0.25">
      <c r="A1323" s="1">
        <v>1322</v>
      </c>
      <c r="B1323" s="1" t="str">
        <f>IFERROR(IF(F1322&lt;&gt;"",F1322,VLOOKUP(MAX(F$2:F1322),A$1:B1322,2,FALSE)),"")</f>
        <v/>
      </c>
      <c r="C1323" s="1" t="str">
        <f t="shared" si="40"/>
        <v/>
      </c>
      <c r="D1323" s="1" t="str">
        <f>IFERROR(IF(F1323&lt;&gt;"",F1323,VLOOKUP(MAX(C$2:C1323),A$2:F1323,2,FALSE)),"")</f>
        <v>XF</v>
      </c>
      <c r="E1323" s="1" t="str">
        <f t="shared" si="41"/>
        <v/>
      </c>
    </row>
    <row r="1324" spans="1:5" x14ac:dyDescent="0.25">
      <c r="A1324" s="1">
        <v>1323</v>
      </c>
      <c r="B1324" s="1" t="str">
        <f>IFERROR(IF(F1323&lt;&gt;"",F1323,VLOOKUP(MAX(F$2:F1323),A$1:B1323,2,FALSE)),"")</f>
        <v/>
      </c>
      <c r="C1324" s="1" t="str">
        <f t="shared" si="40"/>
        <v/>
      </c>
      <c r="D1324" s="1" t="str">
        <f>IFERROR(IF(F1324&lt;&gt;"",F1324,VLOOKUP(MAX(C$2:C1324),A$2:F1324,2,FALSE)),"")</f>
        <v>XF</v>
      </c>
      <c r="E1324" s="1" t="str">
        <f t="shared" si="41"/>
        <v/>
      </c>
    </row>
    <row r="1325" spans="1:5" x14ac:dyDescent="0.25">
      <c r="A1325" s="1">
        <v>1324</v>
      </c>
      <c r="B1325" s="1" t="str">
        <f>IFERROR(IF(F1324&lt;&gt;"",F1324,VLOOKUP(MAX(F$2:F1324),A$1:B1324,2,FALSE)),"")</f>
        <v/>
      </c>
      <c r="C1325" s="1" t="str">
        <f t="shared" si="40"/>
        <v/>
      </c>
      <c r="D1325" s="1" t="str">
        <f>IFERROR(IF(F1325&lt;&gt;"",F1325,VLOOKUP(MAX(C$2:C1325),A$2:F1325,2,FALSE)),"")</f>
        <v>XF</v>
      </c>
      <c r="E1325" s="1" t="str">
        <f t="shared" si="41"/>
        <v/>
      </c>
    </row>
    <row r="1326" spans="1:5" x14ac:dyDescent="0.25">
      <c r="A1326" s="1">
        <v>1325</v>
      </c>
      <c r="B1326" s="1" t="str">
        <f>IFERROR(IF(F1325&lt;&gt;"",F1325,VLOOKUP(MAX(F$2:F1325),A$1:B1325,2,FALSE)),"")</f>
        <v/>
      </c>
      <c r="C1326" s="1" t="str">
        <f t="shared" si="40"/>
        <v/>
      </c>
      <c r="D1326" s="1" t="str">
        <f>IFERROR(IF(F1326&lt;&gt;"",F1326,VLOOKUP(MAX(C$2:C1326),A$2:F1326,2,FALSE)),"")</f>
        <v>XF</v>
      </c>
      <c r="E1326" s="1" t="str">
        <f t="shared" si="41"/>
        <v/>
      </c>
    </row>
    <row r="1327" spans="1:5" x14ac:dyDescent="0.25">
      <c r="A1327" s="1">
        <v>1326</v>
      </c>
      <c r="B1327" s="1" t="str">
        <f>IFERROR(IF(F1326&lt;&gt;"",F1326,VLOOKUP(MAX(F$2:F1326),A$1:B1326,2,FALSE)),"")</f>
        <v/>
      </c>
      <c r="C1327" s="1" t="str">
        <f t="shared" si="40"/>
        <v/>
      </c>
      <c r="D1327" s="1" t="str">
        <f>IFERROR(IF(F1327&lt;&gt;"",F1327,VLOOKUP(MAX(C$2:C1327),A$2:F1327,2,FALSE)),"")</f>
        <v>XF</v>
      </c>
      <c r="E1327" s="1" t="str">
        <f t="shared" si="41"/>
        <v/>
      </c>
    </row>
    <row r="1328" spans="1:5" x14ac:dyDescent="0.25">
      <c r="A1328" s="1">
        <v>1327</v>
      </c>
      <c r="B1328" s="1" t="str">
        <f>IFERROR(IF(F1327&lt;&gt;"",F1327,VLOOKUP(MAX(F$2:F1327),A$1:B1327,2,FALSE)),"")</f>
        <v/>
      </c>
      <c r="C1328" s="1" t="str">
        <f t="shared" si="40"/>
        <v/>
      </c>
      <c r="D1328" s="1" t="str">
        <f>IFERROR(IF(F1328&lt;&gt;"",F1328,VLOOKUP(MAX(C$2:C1328),A$2:F1328,2,FALSE)),"")</f>
        <v>XF</v>
      </c>
      <c r="E1328" s="1" t="str">
        <f t="shared" si="41"/>
        <v/>
      </c>
    </row>
    <row r="1329" spans="1:5" x14ac:dyDescent="0.25">
      <c r="A1329" s="1">
        <v>1328</v>
      </c>
      <c r="B1329" s="1" t="str">
        <f>IFERROR(IF(F1328&lt;&gt;"",F1328,VLOOKUP(MAX(F$2:F1328),A$1:B1328,2,FALSE)),"")</f>
        <v/>
      </c>
      <c r="C1329" s="1" t="str">
        <f t="shared" si="40"/>
        <v/>
      </c>
      <c r="D1329" s="1" t="str">
        <f>IFERROR(IF(F1329&lt;&gt;"",F1329,VLOOKUP(MAX(C$2:C1329),A$2:F1329,2,FALSE)),"")</f>
        <v>XF</v>
      </c>
      <c r="E1329" s="1" t="str">
        <f t="shared" si="41"/>
        <v/>
      </c>
    </row>
    <row r="1330" spans="1:5" x14ac:dyDescent="0.25">
      <c r="A1330" s="1">
        <v>1329</v>
      </c>
      <c r="B1330" s="1" t="str">
        <f>IFERROR(IF(F1329&lt;&gt;"",F1329,VLOOKUP(MAX(F$2:F1329),A$1:B1329,2,FALSE)),"")</f>
        <v/>
      </c>
      <c r="C1330" s="1" t="str">
        <f t="shared" si="40"/>
        <v/>
      </c>
      <c r="D1330" s="1" t="str">
        <f>IFERROR(IF(F1330&lt;&gt;"",F1330,VLOOKUP(MAX(C$2:C1330),A$2:F1330,2,FALSE)),"")</f>
        <v>XF</v>
      </c>
      <c r="E1330" s="1" t="str">
        <f t="shared" si="41"/>
        <v/>
      </c>
    </row>
    <row r="1331" spans="1:5" x14ac:dyDescent="0.25">
      <c r="A1331" s="1">
        <v>1330</v>
      </c>
      <c r="B1331" s="1" t="str">
        <f>IFERROR(IF(F1330&lt;&gt;"",F1330,VLOOKUP(MAX(F$2:F1330),A$1:B1330,2,FALSE)),"")</f>
        <v/>
      </c>
      <c r="C1331" s="1" t="str">
        <f t="shared" si="40"/>
        <v/>
      </c>
      <c r="D1331" s="1" t="str">
        <f>IFERROR(IF(F1331&lt;&gt;"",F1331,VLOOKUP(MAX(C$2:C1331),A$2:F1331,2,FALSE)),"")</f>
        <v>XF</v>
      </c>
      <c r="E1331" s="1" t="str">
        <f t="shared" si="41"/>
        <v/>
      </c>
    </row>
    <row r="1332" spans="1:5" x14ac:dyDescent="0.25">
      <c r="A1332" s="1">
        <v>1331</v>
      </c>
      <c r="B1332" s="1" t="str">
        <f>IFERROR(IF(F1331&lt;&gt;"",F1331,VLOOKUP(MAX(F$2:F1331),A$1:B1331,2,FALSE)),"")</f>
        <v/>
      </c>
      <c r="C1332" s="1" t="str">
        <f t="shared" si="40"/>
        <v/>
      </c>
      <c r="D1332" s="1" t="str">
        <f>IFERROR(IF(F1332&lt;&gt;"",F1332,VLOOKUP(MAX(C$2:C1332),A$2:F1332,2,FALSE)),"")</f>
        <v>XF</v>
      </c>
      <c r="E1332" s="1" t="str">
        <f t="shared" si="41"/>
        <v/>
      </c>
    </row>
    <row r="1333" spans="1:5" x14ac:dyDescent="0.25">
      <c r="A1333" s="1">
        <v>1332</v>
      </c>
      <c r="B1333" s="1" t="str">
        <f>IFERROR(IF(F1332&lt;&gt;"",F1332,VLOOKUP(MAX(F$2:F1332),A$1:B1332,2,FALSE)),"")</f>
        <v/>
      </c>
      <c r="C1333" s="1" t="str">
        <f t="shared" si="40"/>
        <v/>
      </c>
      <c r="D1333" s="1" t="str">
        <f>IFERROR(IF(F1333&lt;&gt;"",F1333,VLOOKUP(MAX(C$2:C1333),A$2:F1333,2,FALSE)),"")</f>
        <v>XF</v>
      </c>
      <c r="E1333" s="1" t="str">
        <f t="shared" si="41"/>
        <v/>
      </c>
    </row>
    <row r="1334" spans="1:5" x14ac:dyDescent="0.25">
      <c r="A1334" s="1">
        <v>1333</v>
      </c>
      <c r="B1334" s="1" t="str">
        <f>IFERROR(IF(F1333&lt;&gt;"",F1333,VLOOKUP(MAX(F$2:F1333),A$1:B1333,2,FALSE)),"")</f>
        <v/>
      </c>
      <c r="C1334" s="1" t="str">
        <f t="shared" si="40"/>
        <v/>
      </c>
      <c r="D1334" s="1" t="str">
        <f>IFERROR(IF(F1334&lt;&gt;"",F1334,VLOOKUP(MAX(C$2:C1334),A$2:F1334,2,FALSE)),"")</f>
        <v>XF</v>
      </c>
      <c r="E1334" s="1" t="str">
        <f t="shared" si="41"/>
        <v/>
      </c>
    </row>
    <row r="1335" spans="1:5" x14ac:dyDescent="0.25">
      <c r="A1335" s="1">
        <v>1334</v>
      </c>
      <c r="B1335" s="1" t="str">
        <f>IFERROR(IF(F1334&lt;&gt;"",F1334,VLOOKUP(MAX(F$2:F1334),A$1:B1334,2,FALSE)),"")</f>
        <v/>
      </c>
      <c r="C1335" s="1" t="str">
        <f t="shared" si="40"/>
        <v/>
      </c>
      <c r="D1335" s="1" t="str">
        <f>IFERROR(IF(F1335&lt;&gt;"",F1335,VLOOKUP(MAX(C$2:C1335),A$2:F1335,2,FALSE)),"")</f>
        <v>XF</v>
      </c>
      <c r="E1335" s="1" t="str">
        <f t="shared" si="41"/>
        <v/>
      </c>
    </row>
    <row r="1336" spans="1:5" x14ac:dyDescent="0.25">
      <c r="A1336" s="1">
        <v>1335</v>
      </c>
      <c r="B1336" s="1" t="str">
        <f>IFERROR(IF(F1335&lt;&gt;"",F1335,VLOOKUP(MAX(F$2:F1335),A$1:B1335,2,FALSE)),"")</f>
        <v/>
      </c>
      <c r="C1336" s="1" t="str">
        <f t="shared" si="40"/>
        <v/>
      </c>
      <c r="D1336" s="1" t="str">
        <f>IFERROR(IF(F1336&lt;&gt;"",F1336,VLOOKUP(MAX(C$2:C1336),A$2:F1336,2,FALSE)),"")</f>
        <v>XF</v>
      </c>
      <c r="E1336" s="1" t="str">
        <f t="shared" si="41"/>
        <v/>
      </c>
    </row>
    <row r="1337" spans="1:5" x14ac:dyDescent="0.25">
      <c r="A1337" s="1">
        <v>1336</v>
      </c>
      <c r="B1337" s="1" t="str">
        <f>IFERROR(IF(F1336&lt;&gt;"",F1336,VLOOKUP(MAX(F$2:F1336),A$1:B1336,2,FALSE)),"")</f>
        <v/>
      </c>
      <c r="C1337" s="1" t="str">
        <f t="shared" si="40"/>
        <v/>
      </c>
      <c r="D1337" s="1" t="str">
        <f>IFERROR(IF(F1337&lt;&gt;"",F1337,VLOOKUP(MAX(C$2:C1337),A$2:F1337,2,FALSE)),"")</f>
        <v>XF</v>
      </c>
      <c r="E1337" s="1" t="str">
        <f t="shared" si="41"/>
        <v/>
      </c>
    </row>
    <row r="1338" spans="1:5" x14ac:dyDescent="0.25">
      <c r="A1338" s="1">
        <v>1337</v>
      </c>
      <c r="B1338" s="1" t="str">
        <f>IFERROR(IF(F1337&lt;&gt;"",F1337,VLOOKUP(MAX(F$2:F1337),A$1:B1337,2,FALSE)),"")</f>
        <v/>
      </c>
      <c r="C1338" s="1" t="str">
        <f t="shared" si="40"/>
        <v/>
      </c>
      <c r="D1338" s="1" t="str">
        <f>IFERROR(IF(F1338&lt;&gt;"",F1338,VLOOKUP(MAX(C$2:C1338),A$2:F1338,2,FALSE)),"")</f>
        <v>XF</v>
      </c>
      <c r="E1338" s="1" t="str">
        <f t="shared" si="41"/>
        <v/>
      </c>
    </row>
    <row r="1339" spans="1:5" x14ac:dyDescent="0.25">
      <c r="A1339" s="1">
        <v>1338</v>
      </c>
      <c r="B1339" s="1" t="str">
        <f>IFERROR(IF(F1338&lt;&gt;"",F1338,VLOOKUP(MAX(F$2:F1338),A$1:B1338,2,FALSE)),"")</f>
        <v/>
      </c>
      <c r="C1339" s="1" t="str">
        <f t="shared" si="40"/>
        <v/>
      </c>
      <c r="D1339" s="1" t="str">
        <f>IFERROR(IF(F1339&lt;&gt;"",F1339,VLOOKUP(MAX(C$2:C1339),A$2:F1339,2,FALSE)),"")</f>
        <v>XF</v>
      </c>
      <c r="E1339" s="1" t="str">
        <f t="shared" si="41"/>
        <v/>
      </c>
    </row>
    <row r="1340" spans="1:5" x14ac:dyDescent="0.25">
      <c r="A1340" s="1">
        <v>1339</v>
      </c>
      <c r="B1340" s="1" t="str">
        <f>IFERROR(IF(F1339&lt;&gt;"",F1339,VLOOKUP(MAX(F$2:F1339),A$1:B1339,2,FALSE)),"")</f>
        <v/>
      </c>
      <c r="C1340" s="1" t="str">
        <f t="shared" si="40"/>
        <v/>
      </c>
      <c r="D1340" s="1" t="str">
        <f>IFERROR(IF(F1340&lt;&gt;"",F1340,VLOOKUP(MAX(C$2:C1340),A$2:F1340,2,FALSE)),"")</f>
        <v>XF</v>
      </c>
      <c r="E1340" s="1" t="str">
        <f t="shared" si="41"/>
        <v/>
      </c>
    </row>
    <row r="1341" spans="1:5" x14ac:dyDescent="0.25">
      <c r="A1341" s="1">
        <v>1340</v>
      </c>
      <c r="B1341" s="1" t="str">
        <f>IFERROR(IF(F1340&lt;&gt;"",F1340,VLOOKUP(MAX(F$2:F1340),A$1:B1340,2,FALSE)),"")</f>
        <v/>
      </c>
      <c r="C1341" s="1" t="str">
        <f t="shared" si="40"/>
        <v/>
      </c>
      <c r="D1341" s="1" t="str">
        <f>IFERROR(IF(F1341&lt;&gt;"",F1341,VLOOKUP(MAX(C$2:C1341),A$2:F1341,2,FALSE)),"")</f>
        <v>XF</v>
      </c>
      <c r="E1341" s="1" t="str">
        <f t="shared" si="41"/>
        <v/>
      </c>
    </row>
    <row r="1342" spans="1:5" x14ac:dyDescent="0.25">
      <c r="A1342" s="1">
        <v>1341</v>
      </c>
      <c r="B1342" s="1" t="str">
        <f>IFERROR(IF(F1341&lt;&gt;"",F1341,VLOOKUP(MAX(F$2:F1341),A$1:B1341,2,FALSE)),"")</f>
        <v/>
      </c>
      <c r="C1342" s="1" t="str">
        <f t="shared" si="40"/>
        <v/>
      </c>
      <c r="D1342" s="1" t="str">
        <f>IFERROR(IF(F1342&lt;&gt;"",F1342,VLOOKUP(MAX(C$2:C1342),A$2:F1342,2,FALSE)),"")</f>
        <v>XF</v>
      </c>
      <c r="E1342" s="1" t="str">
        <f t="shared" si="41"/>
        <v/>
      </c>
    </row>
    <row r="1343" spans="1:5" x14ac:dyDescent="0.25">
      <c r="A1343" s="1">
        <v>1342</v>
      </c>
      <c r="B1343" s="1" t="str">
        <f>IFERROR(IF(F1342&lt;&gt;"",F1342,VLOOKUP(MAX(F$2:F1342),A$1:B1342,2,FALSE)),"")</f>
        <v/>
      </c>
      <c r="C1343" s="1" t="str">
        <f t="shared" si="40"/>
        <v/>
      </c>
      <c r="D1343" s="1" t="str">
        <f>IFERROR(IF(F1343&lt;&gt;"",F1343,VLOOKUP(MAX(C$2:C1343),A$2:F1343,2,FALSE)),"")</f>
        <v>XF</v>
      </c>
      <c r="E1343" s="1" t="str">
        <f t="shared" si="41"/>
        <v/>
      </c>
    </row>
    <row r="1344" spans="1:5" x14ac:dyDescent="0.25">
      <c r="A1344" s="1">
        <v>1343</v>
      </c>
      <c r="B1344" s="1" t="str">
        <f>IFERROR(IF(F1343&lt;&gt;"",F1343,VLOOKUP(MAX(F$2:F1343),A$1:B1343,2,FALSE)),"")</f>
        <v/>
      </c>
      <c r="C1344" s="1" t="str">
        <f t="shared" si="40"/>
        <v/>
      </c>
      <c r="D1344" s="1" t="str">
        <f>IFERROR(IF(F1344&lt;&gt;"",F1344,VLOOKUP(MAX(C$2:C1344),A$2:F1344,2,FALSE)),"")</f>
        <v>XF</v>
      </c>
      <c r="E1344" s="1" t="str">
        <f t="shared" si="41"/>
        <v/>
      </c>
    </row>
    <row r="1345" spans="1:5" x14ac:dyDescent="0.25">
      <c r="A1345" s="1">
        <v>1344</v>
      </c>
      <c r="B1345" s="1" t="str">
        <f>IFERROR(IF(F1344&lt;&gt;"",F1344,VLOOKUP(MAX(F$2:F1344),A$1:B1344,2,FALSE)),"")</f>
        <v/>
      </c>
      <c r="C1345" s="1" t="str">
        <f t="shared" si="40"/>
        <v/>
      </c>
      <c r="D1345" s="1" t="str">
        <f>IFERROR(IF(F1345&lt;&gt;"",F1345,VLOOKUP(MAX(C$2:C1345),A$2:F1345,2,FALSE)),"")</f>
        <v>XF</v>
      </c>
      <c r="E1345" s="1" t="str">
        <f t="shared" si="41"/>
        <v/>
      </c>
    </row>
    <row r="1346" spans="1:5" x14ac:dyDescent="0.25">
      <c r="A1346" s="1">
        <v>1345</v>
      </c>
      <c r="B1346" s="1" t="str">
        <f>IFERROR(IF(F1345&lt;&gt;"",F1345,VLOOKUP(MAX(F$2:F1345),A$1:B1345,2,FALSE)),"")</f>
        <v/>
      </c>
      <c r="C1346" s="1" t="str">
        <f t="shared" ref="C1346:C1357" si="42">IF(F1346&lt;&gt;"",A1346,"")</f>
        <v/>
      </c>
      <c r="D1346" s="1" t="str">
        <f>IFERROR(IF(F1346&lt;&gt;"",F1346,VLOOKUP(MAX(C$2:C1346),A$2:F1346,2,FALSE)),"")</f>
        <v>XF</v>
      </c>
      <c r="E1346" s="1" t="str">
        <f t="shared" si="41"/>
        <v/>
      </c>
    </row>
    <row r="1347" spans="1:5" x14ac:dyDescent="0.25">
      <c r="A1347" s="1">
        <v>1346</v>
      </c>
      <c r="B1347" s="1" t="str">
        <f>IFERROR(IF(F1346&lt;&gt;"",F1346,VLOOKUP(MAX(F$2:F1346),A$1:B1346,2,FALSE)),"")</f>
        <v/>
      </c>
      <c r="C1347" s="1" t="str">
        <f t="shared" si="42"/>
        <v/>
      </c>
      <c r="D1347" s="1" t="str">
        <f>IFERROR(IF(F1347&lt;&gt;"",F1347,VLOOKUP(MAX(C$2:C1347),A$2:F1347,2,FALSE)),"")</f>
        <v>XF</v>
      </c>
      <c r="E1347" s="1" t="str">
        <f t="shared" si="41"/>
        <v/>
      </c>
    </row>
    <row r="1348" spans="1:5" x14ac:dyDescent="0.25">
      <c r="A1348" s="1">
        <v>1347</v>
      </c>
      <c r="B1348" s="1" t="str">
        <f>IFERROR(IF(F1347&lt;&gt;"",F1347,VLOOKUP(MAX(F$2:F1347),A$1:B1347,2,FALSE)),"")</f>
        <v/>
      </c>
      <c r="C1348" s="1" t="str">
        <f t="shared" si="42"/>
        <v/>
      </c>
      <c r="D1348" s="1" t="str">
        <f>IFERROR(IF(F1348&lt;&gt;"",F1348,VLOOKUP(MAX(C$2:C1348),A$2:F1348,2,FALSE)),"")</f>
        <v>XF</v>
      </c>
      <c r="E1348" s="1" t="str">
        <f t="shared" ref="E1348:E1357" si="43">IF(H1348&lt;&gt;"",CONCATENATE(D1348,".",H1348),"")</f>
        <v/>
      </c>
    </row>
    <row r="1349" spans="1:5" x14ac:dyDescent="0.25">
      <c r="A1349" s="1">
        <v>1348</v>
      </c>
      <c r="B1349" s="1" t="str">
        <f>IFERROR(IF(F1348&lt;&gt;"",F1348,VLOOKUP(MAX(F$2:F1348),A$1:B1348,2,FALSE)),"")</f>
        <v/>
      </c>
      <c r="C1349" s="1" t="str">
        <f t="shared" si="42"/>
        <v/>
      </c>
      <c r="D1349" s="1" t="str">
        <f>IFERROR(IF(F1349&lt;&gt;"",F1349,VLOOKUP(MAX(C$2:C1349),A$2:F1349,2,FALSE)),"")</f>
        <v>XF</v>
      </c>
      <c r="E1349" s="1" t="str">
        <f t="shared" si="43"/>
        <v/>
      </c>
    </row>
    <row r="1350" spans="1:5" x14ac:dyDescent="0.25">
      <c r="A1350" s="1">
        <v>1349</v>
      </c>
      <c r="B1350" s="1" t="str">
        <f>IFERROR(IF(F1349&lt;&gt;"",F1349,VLOOKUP(MAX(F$2:F1349),A$1:B1349,2,FALSE)),"")</f>
        <v/>
      </c>
      <c r="C1350" s="1" t="str">
        <f t="shared" si="42"/>
        <v/>
      </c>
      <c r="D1350" s="1" t="str">
        <f>IFERROR(IF(F1350&lt;&gt;"",F1350,VLOOKUP(MAX(C$2:C1350),A$2:F1350,2,FALSE)),"")</f>
        <v>XF</v>
      </c>
      <c r="E1350" s="1" t="str">
        <f t="shared" si="43"/>
        <v/>
      </c>
    </row>
    <row r="1351" spans="1:5" x14ac:dyDescent="0.25">
      <c r="A1351" s="1">
        <v>1350</v>
      </c>
      <c r="B1351" s="1" t="str">
        <f>IFERROR(IF(F1350&lt;&gt;"",F1350,VLOOKUP(MAX(F$2:F1350),A$1:B1350,2,FALSE)),"")</f>
        <v/>
      </c>
      <c r="C1351" s="1" t="str">
        <f t="shared" si="42"/>
        <v/>
      </c>
      <c r="D1351" s="1" t="str">
        <f>IFERROR(IF(F1351&lt;&gt;"",F1351,VLOOKUP(MAX(C$2:C1351),A$2:F1351,2,FALSE)),"")</f>
        <v>XF</v>
      </c>
      <c r="E1351" s="1" t="str">
        <f t="shared" si="43"/>
        <v/>
      </c>
    </row>
    <row r="1352" spans="1:5" x14ac:dyDescent="0.25">
      <c r="A1352" s="1">
        <v>1351</v>
      </c>
      <c r="B1352" s="1" t="str">
        <f>IFERROR(IF(F1351&lt;&gt;"",F1351,VLOOKUP(MAX(F$2:F1351),A$1:B1351,2,FALSE)),"")</f>
        <v/>
      </c>
      <c r="C1352" s="1" t="str">
        <f t="shared" si="42"/>
        <v/>
      </c>
      <c r="D1352" s="1" t="str">
        <f>IFERROR(IF(F1352&lt;&gt;"",F1352,VLOOKUP(MAX(C$2:C1352),A$2:F1352,2,FALSE)),"")</f>
        <v>XF</v>
      </c>
      <c r="E1352" s="1" t="str">
        <f t="shared" si="43"/>
        <v/>
      </c>
    </row>
    <row r="1353" spans="1:5" x14ac:dyDescent="0.25">
      <c r="A1353" s="1">
        <v>1352</v>
      </c>
      <c r="B1353" s="1" t="str">
        <f>IFERROR(IF(F1352&lt;&gt;"",F1352,VLOOKUP(MAX(F$2:F1352),A$1:B1352,2,FALSE)),"")</f>
        <v/>
      </c>
      <c r="C1353" s="1" t="str">
        <f t="shared" si="42"/>
        <v/>
      </c>
      <c r="D1353" s="1" t="str">
        <f>IFERROR(IF(F1353&lt;&gt;"",F1353,VLOOKUP(MAX(C$2:C1353),A$2:F1353,2,FALSE)),"")</f>
        <v>XF</v>
      </c>
      <c r="E1353" s="1" t="str">
        <f t="shared" si="43"/>
        <v/>
      </c>
    </row>
    <row r="1354" spans="1:5" x14ac:dyDescent="0.25">
      <c r="A1354" s="1">
        <v>1353</v>
      </c>
      <c r="B1354" s="1" t="str">
        <f>IFERROR(IF(F1353&lt;&gt;"",F1353,VLOOKUP(MAX(F$2:F1353),A$1:B1353,2,FALSE)),"")</f>
        <v/>
      </c>
      <c r="C1354" s="1" t="str">
        <f t="shared" si="42"/>
        <v/>
      </c>
      <c r="D1354" s="1" t="str">
        <f>IFERROR(IF(F1354&lt;&gt;"",F1354,VLOOKUP(MAX(C$2:C1354),A$2:F1354,2,FALSE)),"")</f>
        <v>XF</v>
      </c>
      <c r="E1354" s="1" t="str">
        <f t="shared" si="43"/>
        <v/>
      </c>
    </row>
    <row r="1355" spans="1:5" x14ac:dyDescent="0.25">
      <c r="A1355" s="1">
        <v>1354</v>
      </c>
      <c r="B1355" s="1" t="str">
        <f>IFERROR(IF(F1354&lt;&gt;"",F1354,VLOOKUP(MAX(F$2:F1354),A$1:B1354,2,FALSE)),"")</f>
        <v/>
      </c>
      <c r="C1355" s="1" t="str">
        <f t="shared" si="42"/>
        <v/>
      </c>
      <c r="D1355" s="1" t="str">
        <f>IFERROR(IF(F1355&lt;&gt;"",F1355,VLOOKUP(MAX(C$2:C1355),A$2:F1355,2,FALSE)),"")</f>
        <v>XF</v>
      </c>
      <c r="E1355" s="1" t="str">
        <f t="shared" si="43"/>
        <v/>
      </c>
    </row>
    <row r="1356" spans="1:5" x14ac:dyDescent="0.25">
      <c r="A1356" s="1">
        <v>1355</v>
      </c>
      <c r="B1356" s="1" t="str">
        <f>IFERROR(IF(F1355&lt;&gt;"",F1355,VLOOKUP(MAX(F$2:F1355),A$1:B1355,2,FALSE)),"")</f>
        <v/>
      </c>
      <c r="C1356" s="1" t="str">
        <f t="shared" si="42"/>
        <v/>
      </c>
      <c r="D1356" s="1" t="str">
        <f>IFERROR(IF(F1356&lt;&gt;"",F1356,VLOOKUP(MAX(C$2:C1356),A$2:F1356,2,FALSE)),"")</f>
        <v>XF</v>
      </c>
      <c r="E1356" s="1" t="str">
        <f t="shared" si="43"/>
        <v/>
      </c>
    </row>
    <row r="1357" spans="1:5" x14ac:dyDescent="0.25">
      <c r="A1357" s="1">
        <v>1356</v>
      </c>
      <c r="B1357" s="1" t="str">
        <f>IFERROR(IF(F1356&lt;&gt;"",F1356,VLOOKUP(MAX(F$2:F1356),A$1:B1356,2,FALSE)),"")</f>
        <v/>
      </c>
      <c r="C1357" s="1" t="str">
        <f t="shared" si="42"/>
        <v/>
      </c>
      <c r="D1357" s="1" t="str">
        <f>IFERROR(IF(F1357&lt;&gt;"",F1357,VLOOKUP(MAX(C$2:C1357),A$2:F1357,2,FALSE)),"")</f>
        <v>XF</v>
      </c>
      <c r="E1357" s="1" t="str">
        <f t="shared" si="43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7402B-62BC-4C4E-B86C-6716FC51F994}">
  <sheetPr codeName="Sheet4"/>
  <dimension ref="A1:N1901"/>
  <sheetViews>
    <sheetView topLeftCell="F112" workbookViewId="0">
      <selection activeCell="F2" sqref="F2:J9997"/>
    </sheetView>
  </sheetViews>
  <sheetFormatPr defaultRowHeight="15" x14ac:dyDescent="0.25"/>
  <cols>
    <col min="1" max="3" width="9.140625" style="4"/>
    <col min="4" max="4" width="13.5703125" style="4" bestFit="1" customWidth="1"/>
    <col min="5" max="5" width="100.42578125" style="4" bestFit="1" customWidth="1"/>
    <col min="8" max="8" width="38.7109375" customWidth="1"/>
    <col min="11" max="11" width="10.42578125" bestFit="1" customWidth="1"/>
    <col min="12" max="12" width="66.42578125" bestFit="1" customWidth="1"/>
    <col min="13" max="13" width="71.28515625" style="4" bestFit="1" customWidth="1"/>
    <col min="14" max="14" width="34.140625" style="4" bestFit="1" customWidth="1"/>
  </cols>
  <sheetData>
    <row r="1" spans="1:14" x14ac:dyDescent="0.25">
      <c r="A1" s="5" t="s">
        <v>6</v>
      </c>
      <c r="B1" s="5" t="s">
        <v>7</v>
      </c>
      <c r="C1" s="5" t="s">
        <v>10</v>
      </c>
      <c r="D1" s="5" t="s">
        <v>9</v>
      </c>
      <c r="E1" s="5" t="s">
        <v>8</v>
      </c>
      <c r="F1" s="2" t="s">
        <v>0</v>
      </c>
      <c r="G1" s="2" t="s">
        <v>1</v>
      </c>
      <c r="H1" s="2" t="s">
        <v>2</v>
      </c>
      <c r="I1" s="2" t="s">
        <v>3</v>
      </c>
      <c r="J1" s="3" t="s">
        <v>4</v>
      </c>
      <c r="K1" s="3" t="s">
        <v>11</v>
      </c>
      <c r="L1" s="2" t="s">
        <v>12</v>
      </c>
      <c r="M1" s="5" t="s">
        <v>5</v>
      </c>
      <c r="N1" s="5" t="s">
        <v>13</v>
      </c>
    </row>
    <row r="2" spans="1:14" x14ac:dyDescent="0.25">
      <c r="A2" s="5">
        <v>1</v>
      </c>
      <c r="B2" s="5">
        <f>IF(F3&lt;&gt;"",F3,F2)</f>
        <v>0</v>
      </c>
      <c r="C2" s="5" t="str">
        <f t="shared" ref="C2:C65" si="0">IF(F2&lt;&gt;"",A2,"")</f>
        <v/>
      </c>
      <c r="D2" s="5" t="str">
        <f>IFERROR(IF(F2&lt;&gt;"",F2,VLOOKUP(MAX(C$2:C2),A$2:F2,2,FALSE)),"")</f>
        <v/>
      </c>
      <c r="E2" s="5" t="str">
        <f>IF(H2&lt;&gt;"",CONCATENATE(D2,".",H2),"")</f>
        <v/>
      </c>
      <c r="M2" s="5" t="str">
        <f>IF(OR(L2 =0,L2="#N/A",L2=""),"",L2)</f>
        <v/>
      </c>
      <c r="N2" s="5"/>
    </row>
    <row r="3" spans="1:14" x14ac:dyDescent="0.25">
      <c r="A3" s="5">
        <v>2</v>
      </c>
      <c r="B3" s="5">
        <f t="shared" ref="B3:B66" si="1">IF(F4&lt;&gt;"",F4,F3)</f>
        <v>0</v>
      </c>
      <c r="C3" s="5" t="str">
        <f t="shared" si="0"/>
        <v/>
      </c>
      <c r="D3" s="5" t="str">
        <f>IFERROR(IF(F3&lt;&gt;"",F3,VLOOKUP(MAX(C$2:C3),A$2:F3,2,FALSE)),"")</f>
        <v/>
      </c>
      <c r="E3" s="5" t="str">
        <f t="shared" ref="E3:E66" si="2">IF(H3&lt;&gt;"",CONCATENATE(D3,".",H3),"")</f>
        <v/>
      </c>
      <c r="K3" t="str">
        <f>IFERROR(IF(VLOOKUP(E:E,'Old Report'!E:J,6,FALSE)="","",VLOOKUP(E:E,'Old Report'!E:J,6,FALSE)),"")</f>
        <v/>
      </c>
      <c r="L3" t="str">
        <f>IFERROR(IF(VLOOKUP(E:E,'Old Report'!E:L,8,FALSE)="","",VLOOKUP(E:E,'Old Report'!E:L,8,FALSE)),"")</f>
        <v/>
      </c>
      <c r="M3" s="5" t="str">
        <f>IFERROR(L3,"")</f>
        <v/>
      </c>
      <c r="N3" s="5" t="str">
        <f>IFERROR( IF(J3&lt;&gt;"",IF(K3 &lt;&gt; "",IF(J3 = K3,"No Change",IF(J3 &lt; K3,CONCATENATE("Issues reduced from ",K3," to ",J3),IF(J3&gt;K3,CONCATENATE("Issues increased from ",K3," to ",J3),""))),"New issue - needs to be checked"),""),"")</f>
        <v/>
      </c>
    </row>
    <row r="4" spans="1:14" x14ac:dyDescent="0.25">
      <c r="A4" s="5">
        <v>3</v>
      </c>
      <c r="B4" s="5">
        <f t="shared" si="1"/>
        <v>0</v>
      </c>
      <c r="C4" s="5" t="str">
        <f t="shared" si="0"/>
        <v/>
      </c>
      <c r="D4" s="5" t="str">
        <f>IFERROR(IF(F4&lt;&gt;"",F4,VLOOKUP(MAX(C$2:C4),A$2:F4,2,FALSE)),"")</f>
        <v/>
      </c>
      <c r="E4" s="5" t="str">
        <f t="shared" si="2"/>
        <v/>
      </c>
      <c r="K4" t="str">
        <f>IFERROR(IF(VLOOKUP(E:E,'Old Report'!E:J,6,FALSE)="","",VLOOKUP(E:E,'Old Report'!E:J,6,FALSE)),"")</f>
        <v/>
      </c>
      <c r="L4" t="str">
        <f>IFERROR(IF(VLOOKUP(E:E,'Old Report'!E:L,8,FALSE)="","",VLOOKUP(E:E,'Old Report'!E:L,8,FALSE)),"")</f>
        <v/>
      </c>
      <c r="M4" s="5" t="str">
        <f t="shared" ref="M4:M67" si="3">IFERROR(L4,"")</f>
        <v/>
      </c>
      <c r="N4" s="5" t="str">
        <f t="shared" ref="N4:N67" si="4">IFERROR( IF(J4&lt;&gt;"",IF(K4 &lt;&gt; "",IF(J4 = K4,"No Change",IF(J4 &lt; K4,CONCATENATE("Issues reduced from ",K4," to ",J4),IF(J4&gt;K4,CONCATENATE("Issues increased from ",K4," to ",J4),""))),"New issue - needs to be checked"),""),"")</f>
        <v/>
      </c>
    </row>
    <row r="5" spans="1:14" x14ac:dyDescent="0.25">
      <c r="A5" s="5">
        <v>4</v>
      </c>
      <c r="B5" s="5">
        <f t="shared" si="1"/>
        <v>0</v>
      </c>
      <c r="C5" s="5" t="str">
        <f t="shared" si="0"/>
        <v/>
      </c>
      <c r="D5" s="5" t="str">
        <f>IFERROR(IF(F5&lt;&gt;"",F5,VLOOKUP(MAX(C$2:C5),A$2:F5,2,FALSE)),"")</f>
        <v/>
      </c>
      <c r="E5" s="5" t="str">
        <f t="shared" si="2"/>
        <v/>
      </c>
      <c r="K5" t="str">
        <f>IFERROR(IF(VLOOKUP(E:E,'Old Report'!E:J,6,FALSE)="","",VLOOKUP(E:E,'Old Report'!E:J,6,FALSE)),"")</f>
        <v/>
      </c>
      <c r="L5" t="str">
        <f>IFERROR(IF(VLOOKUP(E:E,'Old Report'!E:L,8,FALSE)="","",VLOOKUP(E:E,'Old Report'!E:L,8,FALSE)),"")</f>
        <v/>
      </c>
      <c r="M5" s="5" t="str">
        <f t="shared" si="3"/>
        <v/>
      </c>
      <c r="N5" s="5" t="str">
        <f t="shared" si="4"/>
        <v/>
      </c>
    </row>
    <row r="6" spans="1:14" x14ac:dyDescent="0.25">
      <c r="A6" s="5">
        <v>5</v>
      </c>
      <c r="B6" s="5">
        <f t="shared" si="1"/>
        <v>0</v>
      </c>
      <c r="C6" s="5" t="str">
        <f t="shared" si="0"/>
        <v/>
      </c>
      <c r="D6" s="5" t="str">
        <f>IFERROR(IF(F6&lt;&gt;"",F6,VLOOKUP(MAX(C$2:C6),A$2:F6,2,FALSE)),"")</f>
        <v/>
      </c>
      <c r="E6" s="5" t="str">
        <f t="shared" si="2"/>
        <v/>
      </c>
      <c r="K6" t="str">
        <f>IFERROR(IF(VLOOKUP(E:E,'Old Report'!E:J,6,FALSE)="","",VLOOKUP(E:E,'Old Report'!E:J,6,FALSE)),"")</f>
        <v/>
      </c>
      <c r="L6" t="str">
        <f>IFERROR(IF(VLOOKUP(E:E,'Old Report'!E:L,8,FALSE)="","",VLOOKUP(E:E,'Old Report'!E:L,8,FALSE)),"")</f>
        <v/>
      </c>
      <c r="M6" s="5" t="str">
        <f t="shared" si="3"/>
        <v/>
      </c>
      <c r="N6" s="5" t="str">
        <f t="shared" si="4"/>
        <v/>
      </c>
    </row>
    <row r="7" spans="1:14" x14ac:dyDescent="0.25">
      <c r="A7" s="5">
        <v>6</v>
      </c>
      <c r="B7" s="5">
        <f t="shared" si="1"/>
        <v>0</v>
      </c>
      <c r="C7" s="5" t="str">
        <f t="shared" si="0"/>
        <v/>
      </c>
      <c r="D7" s="5" t="str">
        <f>IFERROR(IF(F7&lt;&gt;"",F7,VLOOKUP(MAX(C$2:C7),A$2:F7,2,FALSE)),"")</f>
        <v/>
      </c>
      <c r="E7" s="5" t="str">
        <f t="shared" si="2"/>
        <v/>
      </c>
      <c r="K7" t="str">
        <f>IFERROR(IF(VLOOKUP(E:E,'Old Report'!E:J,6,FALSE)="","",VLOOKUP(E:E,'Old Report'!E:J,6,FALSE)),"")</f>
        <v/>
      </c>
      <c r="L7" t="str">
        <f>IFERROR(IF(VLOOKUP(E:E,'Old Report'!E:L,8,FALSE)="","",VLOOKUP(E:E,'Old Report'!E:L,8,FALSE)),"")</f>
        <v/>
      </c>
      <c r="M7" s="5" t="str">
        <f t="shared" si="3"/>
        <v/>
      </c>
      <c r="N7" s="5" t="str">
        <f t="shared" si="4"/>
        <v/>
      </c>
    </row>
    <row r="8" spans="1:14" x14ac:dyDescent="0.25">
      <c r="A8" s="5">
        <v>7</v>
      </c>
      <c r="B8" s="5">
        <f t="shared" si="1"/>
        <v>0</v>
      </c>
      <c r="C8" s="5" t="str">
        <f t="shared" si="0"/>
        <v/>
      </c>
      <c r="D8" s="5" t="str">
        <f>IFERROR(IF(F8&lt;&gt;"",F8,VLOOKUP(MAX(C$2:C8),A$2:F8,2,FALSE)),"")</f>
        <v/>
      </c>
      <c r="E8" s="5" t="str">
        <f t="shared" si="2"/>
        <v/>
      </c>
      <c r="K8" t="str">
        <f>IFERROR(IF(VLOOKUP(E:E,'Old Report'!E:J,6,FALSE)="","",VLOOKUP(E:E,'Old Report'!E:J,6,FALSE)),"")</f>
        <v/>
      </c>
      <c r="L8" t="str">
        <f>IFERROR(IF(VLOOKUP(E:E,'Old Report'!E:L,8,FALSE)="","",VLOOKUP(E:E,'Old Report'!E:L,8,FALSE)),"")</f>
        <v/>
      </c>
      <c r="M8" s="5" t="str">
        <f t="shared" si="3"/>
        <v/>
      </c>
      <c r="N8" s="5" t="str">
        <f t="shared" si="4"/>
        <v/>
      </c>
    </row>
    <row r="9" spans="1:14" x14ac:dyDescent="0.25">
      <c r="A9" s="5">
        <v>8</v>
      </c>
      <c r="B9" s="5">
        <f t="shared" si="1"/>
        <v>0</v>
      </c>
      <c r="C9" s="5" t="str">
        <f t="shared" si="0"/>
        <v/>
      </c>
      <c r="D9" s="5" t="str">
        <f>IFERROR(IF(F9&lt;&gt;"",F9,VLOOKUP(MAX(C$2:C9),A$2:F9,2,FALSE)),"")</f>
        <v/>
      </c>
      <c r="E9" s="5" t="str">
        <f t="shared" si="2"/>
        <v/>
      </c>
      <c r="K9" t="str">
        <f>IFERROR(IF(VLOOKUP(E:E,'Old Report'!E:J,6,FALSE)="","",VLOOKUP(E:E,'Old Report'!E:J,6,FALSE)),"")</f>
        <v/>
      </c>
      <c r="L9" t="str">
        <f>IFERROR(IF(VLOOKUP(E:E,'Old Report'!E:L,8,FALSE)="","",VLOOKUP(E:E,'Old Report'!E:L,8,FALSE)),"")</f>
        <v/>
      </c>
      <c r="M9" s="5" t="str">
        <f t="shared" si="3"/>
        <v/>
      </c>
      <c r="N9" s="5" t="str">
        <f t="shared" si="4"/>
        <v/>
      </c>
    </row>
    <row r="10" spans="1:14" x14ac:dyDescent="0.25">
      <c r="A10" s="5">
        <v>9</v>
      </c>
      <c r="B10" s="5">
        <f t="shared" si="1"/>
        <v>0</v>
      </c>
      <c r="C10" s="5" t="str">
        <f t="shared" si="0"/>
        <v/>
      </c>
      <c r="D10" s="5" t="str">
        <f>IFERROR(IF(F10&lt;&gt;"",F10,VLOOKUP(MAX(C$2:C10),A$2:F10,2,FALSE)),"")</f>
        <v/>
      </c>
      <c r="E10" s="5" t="str">
        <f t="shared" si="2"/>
        <v/>
      </c>
      <c r="K10" t="str">
        <f>IFERROR(IF(VLOOKUP(E:E,'Old Report'!E:J,6,FALSE)="","",VLOOKUP(E:E,'Old Report'!E:J,6,FALSE)),"")</f>
        <v/>
      </c>
      <c r="L10" t="str">
        <f>IFERROR(IF(VLOOKUP(E:E,'Old Report'!E:L,8,FALSE)="","",VLOOKUP(E:E,'Old Report'!E:L,8,FALSE)),"")</f>
        <v/>
      </c>
      <c r="M10" s="5" t="str">
        <f t="shared" si="3"/>
        <v/>
      </c>
      <c r="N10" s="5" t="str">
        <f t="shared" si="4"/>
        <v/>
      </c>
    </row>
    <row r="11" spans="1:14" x14ac:dyDescent="0.25">
      <c r="A11" s="5">
        <v>10</v>
      </c>
      <c r="B11" s="5">
        <f t="shared" si="1"/>
        <v>0</v>
      </c>
      <c r="C11" s="5" t="str">
        <f t="shared" si="0"/>
        <v/>
      </c>
      <c r="D11" s="5" t="str">
        <f>IFERROR(IF(F11&lt;&gt;"",F11,VLOOKUP(MAX(C$2:C11),A$2:F11,2,FALSE)),"")</f>
        <v/>
      </c>
      <c r="E11" s="5" t="str">
        <f t="shared" si="2"/>
        <v/>
      </c>
      <c r="K11" t="str">
        <f>IFERROR(IF(VLOOKUP(E:E,'Old Report'!E:J,6,FALSE)="","",VLOOKUP(E:E,'Old Report'!E:J,6,FALSE)),"")</f>
        <v/>
      </c>
      <c r="L11" t="str">
        <f>IFERROR(IF(VLOOKUP(E:E,'Old Report'!E:L,8,FALSE)="","",VLOOKUP(E:E,'Old Report'!E:L,8,FALSE)),"")</f>
        <v/>
      </c>
      <c r="M11" s="5" t="str">
        <f t="shared" si="3"/>
        <v/>
      </c>
      <c r="N11" s="5" t="str">
        <f t="shared" si="4"/>
        <v/>
      </c>
    </row>
    <row r="12" spans="1:14" x14ac:dyDescent="0.25">
      <c r="A12" s="5">
        <v>11</v>
      </c>
      <c r="B12" s="5">
        <f t="shared" si="1"/>
        <v>0</v>
      </c>
      <c r="C12" s="5" t="str">
        <f t="shared" si="0"/>
        <v/>
      </c>
      <c r="D12" s="5" t="str">
        <f>IFERROR(IF(F12&lt;&gt;"",F12,VLOOKUP(MAX(C$2:C12),A$2:F12,2,FALSE)),"")</f>
        <v/>
      </c>
      <c r="E12" s="5" t="str">
        <f t="shared" si="2"/>
        <v/>
      </c>
      <c r="K12" t="str">
        <f>IFERROR(IF(VLOOKUP(E:E,'Old Report'!E:J,6,FALSE)="","",VLOOKUP(E:E,'Old Report'!E:J,6,FALSE)),"")</f>
        <v/>
      </c>
      <c r="L12" t="str">
        <f>IFERROR(IF(VLOOKUP(E:E,'Old Report'!E:L,8,FALSE)="","",VLOOKUP(E:E,'Old Report'!E:L,8,FALSE)),"")</f>
        <v/>
      </c>
      <c r="M12" s="5" t="str">
        <f t="shared" si="3"/>
        <v/>
      </c>
      <c r="N12" s="5" t="str">
        <f t="shared" si="4"/>
        <v/>
      </c>
    </row>
    <row r="13" spans="1:14" x14ac:dyDescent="0.25">
      <c r="A13" s="5">
        <v>12</v>
      </c>
      <c r="B13" s="5">
        <f t="shared" si="1"/>
        <v>0</v>
      </c>
      <c r="C13" s="5" t="str">
        <f t="shared" si="0"/>
        <v/>
      </c>
      <c r="D13" s="5" t="str">
        <f>IFERROR(IF(F13&lt;&gt;"",F13,VLOOKUP(MAX(C$2:C13),A$2:F13,2,FALSE)),"")</f>
        <v/>
      </c>
      <c r="E13" s="5" t="str">
        <f t="shared" si="2"/>
        <v/>
      </c>
      <c r="K13" t="str">
        <f>IFERROR(IF(VLOOKUP(E:E,'Old Report'!E:J,6,FALSE)="","",VLOOKUP(E:E,'Old Report'!E:J,6,FALSE)),"")</f>
        <v/>
      </c>
      <c r="L13" t="str">
        <f>IFERROR(IF(VLOOKUP(E:E,'Old Report'!E:L,8,FALSE)="","",VLOOKUP(E:E,'Old Report'!E:L,8,FALSE)),"")</f>
        <v/>
      </c>
      <c r="M13" s="5" t="str">
        <f t="shared" si="3"/>
        <v/>
      </c>
      <c r="N13" s="5" t="str">
        <f t="shared" si="4"/>
        <v/>
      </c>
    </row>
    <row r="14" spans="1:14" x14ac:dyDescent="0.25">
      <c r="A14" s="5">
        <v>13</v>
      </c>
      <c r="B14" s="5">
        <f t="shared" si="1"/>
        <v>0</v>
      </c>
      <c r="C14" s="5" t="str">
        <f t="shared" si="0"/>
        <v/>
      </c>
      <c r="D14" s="5" t="str">
        <f>IFERROR(IF(F14&lt;&gt;"",F14,VLOOKUP(MAX(C$2:C14),A$2:F14,2,FALSE)),"")</f>
        <v/>
      </c>
      <c r="E14" s="5" t="str">
        <f t="shared" si="2"/>
        <v/>
      </c>
      <c r="K14" t="str">
        <f>IFERROR(IF(VLOOKUP(E:E,'Old Report'!E:J,6,FALSE)="","",VLOOKUP(E:E,'Old Report'!E:J,6,FALSE)),"")</f>
        <v/>
      </c>
      <c r="L14" t="str">
        <f>IFERROR(IF(VLOOKUP(E:E,'Old Report'!E:L,8,FALSE)="","",VLOOKUP(E:E,'Old Report'!E:L,8,FALSE)),"")</f>
        <v/>
      </c>
      <c r="M14" s="5" t="str">
        <f t="shared" si="3"/>
        <v/>
      </c>
      <c r="N14" s="5" t="str">
        <f t="shared" si="4"/>
        <v/>
      </c>
    </row>
    <row r="15" spans="1:14" x14ac:dyDescent="0.25">
      <c r="A15" s="5">
        <v>14</v>
      </c>
      <c r="B15" s="5">
        <f t="shared" si="1"/>
        <v>0</v>
      </c>
      <c r="C15" s="5" t="str">
        <f t="shared" si="0"/>
        <v/>
      </c>
      <c r="D15" s="5" t="str">
        <f>IFERROR(IF(F15&lt;&gt;"",F15,VLOOKUP(MAX(C$2:C15),A$2:F15,2,FALSE)),"")</f>
        <v/>
      </c>
      <c r="E15" s="5" t="str">
        <f t="shared" si="2"/>
        <v/>
      </c>
      <c r="K15" t="str">
        <f>IFERROR(IF(VLOOKUP(E:E,'Old Report'!E:J,6,FALSE)="","",VLOOKUP(E:E,'Old Report'!E:J,6,FALSE)),"")</f>
        <v/>
      </c>
      <c r="L15" t="str">
        <f>IFERROR(IF(VLOOKUP(E:E,'Old Report'!E:L,8,FALSE)="","",VLOOKUP(E:E,'Old Report'!E:L,8,FALSE)),"")</f>
        <v/>
      </c>
      <c r="M15" s="5" t="str">
        <f t="shared" si="3"/>
        <v/>
      </c>
      <c r="N15" s="5" t="str">
        <f t="shared" si="4"/>
        <v/>
      </c>
    </row>
    <row r="16" spans="1:14" x14ac:dyDescent="0.25">
      <c r="A16" s="5">
        <v>15</v>
      </c>
      <c r="B16" s="5">
        <f t="shared" si="1"/>
        <v>0</v>
      </c>
      <c r="C16" s="5" t="str">
        <f t="shared" si="0"/>
        <v/>
      </c>
      <c r="D16" s="5" t="str">
        <f>IFERROR(IF(F16&lt;&gt;"",F16,VLOOKUP(MAX(C$2:C16),A$2:F16,2,FALSE)),"")</f>
        <v/>
      </c>
      <c r="E16" s="5" t="str">
        <f t="shared" si="2"/>
        <v/>
      </c>
      <c r="K16" t="str">
        <f>IFERROR(IF(VLOOKUP(E:E,'Old Report'!E:J,6,FALSE)="","",VLOOKUP(E:E,'Old Report'!E:J,6,FALSE)),"")</f>
        <v/>
      </c>
      <c r="L16" t="str">
        <f>IFERROR(IF(VLOOKUP(E:E,'Old Report'!E:L,8,FALSE)="","",VLOOKUP(E:E,'Old Report'!E:L,8,FALSE)),"")</f>
        <v/>
      </c>
      <c r="M16" s="5" t="str">
        <f t="shared" si="3"/>
        <v/>
      </c>
      <c r="N16" s="5" t="str">
        <f t="shared" si="4"/>
        <v/>
      </c>
    </row>
    <row r="17" spans="1:14" x14ac:dyDescent="0.25">
      <c r="A17" s="5">
        <v>16</v>
      </c>
      <c r="B17" s="5">
        <f t="shared" si="1"/>
        <v>0</v>
      </c>
      <c r="C17" s="5" t="str">
        <f t="shared" si="0"/>
        <v/>
      </c>
      <c r="D17" s="5" t="str">
        <f>IFERROR(IF(F17&lt;&gt;"",F17,VLOOKUP(MAX(C$2:C17),A$2:F17,2,FALSE)),"")</f>
        <v/>
      </c>
      <c r="E17" s="5" t="str">
        <f t="shared" si="2"/>
        <v/>
      </c>
      <c r="K17" t="str">
        <f>IFERROR(IF(VLOOKUP(E:E,'Old Report'!E:J,6,FALSE)="","",VLOOKUP(E:E,'Old Report'!E:J,6,FALSE)),"")</f>
        <v/>
      </c>
      <c r="L17" t="str">
        <f>IFERROR(IF(VLOOKUP(E:E,'Old Report'!E:L,8,FALSE)="","",VLOOKUP(E:E,'Old Report'!E:L,8,FALSE)),"")</f>
        <v/>
      </c>
      <c r="M17" s="5" t="str">
        <f t="shared" si="3"/>
        <v/>
      </c>
      <c r="N17" s="5" t="str">
        <f t="shared" si="4"/>
        <v/>
      </c>
    </row>
    <row r="18" spans="1:14" x14ac:dyDescent="0.25">
      <c r="A18" s="5">
        <v>17</v>
      </c>
      <c r="B18" s="5">
        <f t="shared" si="1"/>
        <v>0</v>
      </c>
      <c r="C18" s="5" t="str">
        <f t="shared" si="0"/>
        <v/>
      </c>
      <c r="D18" s="5" t="str">
        <f>IFERROR(IF(F18&lt;&gt;"",F18,VLOOKUP(MAX(C$2:C18),A$2:F18,2,FALSE)),"")</f>
        <v/>
      </c>
      <c r="E18" s="5" t="str">
        <f t="shared" si="2"/>
        <v/>
      </c>
      <c r="K18" t="str">
        <f>IFERROR(IF(VLOOKUP(E:E,'Old Report'!E:J,6,FALSE)="","",VLOOKUP(E:E,'Old Report'!E:J,6,FALSE)),"")</f>
        <v/>
      </c>
      <c r="L18" t="str">
        <f>IFERROR(IF(VLOOKUP(E:E,'Old Report'!E:L,8,FALSE)="","",VLOOKUP(E:E,'Old Report'!E:L,8,FALSE)),"")</f>
        <v/>
      </c>
      <c r="M18" s="5" t="str">
        <f t="shared" si="3"/>
        <v/>
      </c>
      <c r="N18" s="5" t="str">
        <f t="shared" si="4"/>
        <v/>
      </c>
    </row>
    <row r="19" spans="1:14" x14ac:dyDescent="0.25">
      <c r="A19" s="5">
        <v>18</v>
      </c>
      <c r="B19" s="5">
        <f t="shared" si="1"/>
        <v>0</v>
      </c>
      <c r="C19" s="5" t="str">
        <f t="shared" si="0"/>
        <v/>
      </c>
      <c r="D19" s="5" t="str">
        <f>IFERROR(IF(F19&lt;&gt;"",F19,VLOOKUP(MAX(C$2:C19),A$2:F19,2,FALSE)),"")</f>
        <v/>
      </c>
      <c r="E19" s="5" t="str">
        <f t="shared" si="2"/>
        <v/>
      </c>
      <c r="K19" t="str">
        <f>IFERROR(IF(VLOOKUP(E:E,'Old Report'!E:J,6,FALSE)="","",VLOOKUP(E:E,'Old Report'!E:J,6,FALSE)),"")</f>
        <v/>
      </c>
      <c r="L19" t="str">
        <f>IFERROR(IF(VLOOKUP(E:E,'Old Report'!E:L,8,FALSE)="","",VLOOKUP(E:E,'Old Report'!E:L,8,FALSE)),"")</f>
        <v/>
      </c>
      <c r="M19" s="5" t="str">
        <f t="shared" si="3"/>
        <v/>
      </c>
      <c r="N19" s="5" t="str">
        <f t="shared" si="4"/>
        <v/>
      </c>
    </row>
    <row r="20" spans="1:14" x14ac:dyDescent="0.25">
      <c r="A20" s="5">
        <v>19</v>
      </c>
      <c r="B20" s="5">
        <f t="shared" si="1"/>
        <v>0</v>
      </c>
      <c r="C20" s="5" t="str">
        <f t="shared" si="0"/>
        <v/>
      </c>
      <c r="D20" s="5" t="str">
        <f>IFERROR(IF(F20&lt;&gt;"",F20,VLOOKUP(MAX(C$2:C20),A$2:F20,2,FALSE)),"")</f>
        <v/>
      </c>
      <c r="E20" s="5" t="str">
        <f t="shared" si="2"/>
        <v/>
      </c>
      <c r="K20" t="str">
        <f>IFERROR(IF(VLOOKUP(E:E,'Old Report'!E:J,6,FALSE)="","",VLOOKUP(E:E,'Old Report'!E:J,6,FALSE)),"")</f>
        <v/>
      </c>
      <c r="L20" t="str">
        <f>IFERROR(IF(VLOOKUP(E:E,'Old Report'!E:L,8,FALSE)="","",VLOOKUP(E:E,'Old Report'!E:L,8,FALSE)),"")</f>
        <v/>
      </c>
      <c r="M20" s="5" t="str">
        <f t="shared" si="3"/>
        <v/>
      </c>
      <c r="N20" s="5" t="str">
        <f t="shared" si="4"/>
        <v/>
      </c>
    </row>
    <row r="21" spans="1:14" x14ac:dyDescent="0.25">
      <c r="A21" s="5">
        <v>20</v>
      </c>
      <c r="B21" s="5">
        <f t="shared" si="1"/>
        <v>0</v>
      </c>
      <c r="C21" s="5" t="str">
        <f t="shared" si="0"/>
        <v/>
      </c>
      <c r="D21" s="5" t="str">
        <f>IFERROR(IF(F21&lt;&gt;"",F21,VLOOKUP(MAX(C$2:C21),A$2:F21,2,FALSE)),"")</f>
        <v/>
      </c>
      <c r="E21" s="5" t="str">
        <f t="shared" si="2"/>
        <v/>
      </c>
      <c r="K21" t="str">
        <f>IFERROR(IF(VLOOKUP(E:E,'Old Report'!E:J,6,FALSE)="","",VLOOKUP(E:E,'Old Report'!E:J,6,FALSE)),"")</f>
        <v/>
      </c>
      <c r="L21" t="str">
        <f>IFERROR(IF(VLOOKUP(E:E,'Old Report'!E:L,8,FALSE)="","",VLOOKUP(E:E,'Old Report'!E:L,8,FALSE)),"")</f>
        <v/>
      </c>
      <c r="M21" s="5" t="str">
        <f t="shared" si="3"/>
        <v/>
      </c>
      <c r="N21" s="5" t="str">
        <f t="shared" si="4"/>
        <v/>
      </c>
    </row>
    <row r="22" spans="1:14" x14ac:dyDescent="0.25">
      <c r="A22" s="5">
        <v>21</v>
      </c>
      <c r="B22" s="5">
        <f t="shared" si="1"/>
        <v>0</v>
      </c>
      <c r="C22" s="5" t="str">
        <f t="shared" si="0"/>
        <v/>
      </c>
      <c r="D22" s="5" t="str">
        <f>IFERROR(IF(F22&lt;&gt;"",F22,VLOOKUP(MAX(C$2:C22),A$2:F22,2,FALSE)),"")</f>
        <v/>
      </c>
      <c r="E22" s="5" t="str">
        <f t="shared" si="2"/>
        <v/>
      </c>
      <c r="K22" t="str">
        <f>IFERROR(IF(VLOOKUP(E:E,'Old Report'!E:J,6,FALSE)="","",VLOOKUP(E:E,'Old Report'!E:J,6,FALSE)),"")</f>
        <v/>
      </c>
      <c r="L22" t="str">
        <f>IFERROR(IF(VLOOKUP(E:E,'Old Report'!E:L,8,FALSE)="","",VLOOKUP(E:E,'Old Report'!E:L,8,FALSE)),"")</f>
        <v/>
      </c>
      <c r="M22" s="5" t="str">
        <f t="shared" si="3"/>
        <v/>
      </c>
      <c r="N22" s="5" t="str">
        <f t="shared" si="4"/>
        <v/>
      </c>
    </row>
    <row r="23" spans="1:14" x14ac:dyDescent="0.25">
      <c r="A23" s="5">
        <v>22</v>
      </c>
      <c r="B23" s="5">
        <f t="shared" si="1"/>
        <v>0</v>
      </c>
      <c r="C23" s="5" t="str">
        <f t="shared" si="0"/>
        <v/>
      </c>
      <c r="D23" s="5" t="str">
        <f>IFERROR(IF(F23&lt;&gt;"",F23,VLOOKUP(MAX(C$2:C23),A$2:F23,2,FALSE)),"")</f>
        <v/>
      </c>
      <c r="E23" s="5" t="str">
        <f t="shared" si="2"/>
        <v/>
      </c>
      <c r="K23" t="str">
        <f>IFERROR(IF(VLOOKUP(E:E,'Old Report'!E:J,6,FALSE)="","",VLOOKUP(E:E,'Old Report'!E:J,6,FALSE)),"")</f>
        <v/>
      </c>
      <c r="L23" t="str">
        <f>IFERROR(IF(VLOOKUP(E:E,'Old Report'!E:L,8,FALSE)="","",VLOOKUP(E:E,'Old Report'!E:L,8,FALSE)),"")</f>
        <v/>
      </c>
      <c r="M23" s="5" t="str">
        <f t="shared" si="3"/>
        <v/>
      </c>
      <c r="N23" s="5" t="str">
        <f t="shared" si="4"/>
        <v/>
      </c>
    </row>
    <row r="24" spans="1:14" x14ac:dyDescent="0.25">
      <c r="A24" s="5">
        <v>23</v>
      </c>
      <c r="B24" s="5">
        <f t="shared" si="1"/>
        <v>0</v>
      </c>
      <c r="C24" s="5" t="str">
        <f t="shared" si="0"/>
        <v/>
      </c>
      <c r="D24" s="5" t="str">
        <f>IFERROR(IF(F24&lt;&gt;"",F24,VLOOKUP(MAX(C$2:C24),A$2:F24,2,FALSE)),"")</f>
        <v/>
      </c>
      <c r="E24" s="5" t="str">
        <f t="shared" si="2"/>
        <v/>
      </c>
      <c r="K24" t="str">
        <f>IFERROR(IF(VLOOKUP(E:E,'Old Report'!E:J,6,FALSE)="","",VLOOKUP(E:E,'Old Report'!E:J,6,FALSE)),"")</f>
        <v/>
      </c>
      <c r="L24" t="str">
        <f>IFERROR(IF(VLOOKUP(E:E,'Old Report'!E:L,8,FALSE)="","",VLOOKUP(E:E,'Old Report'!E:L,8,FALSE)),"")</f>
        <v/>
      </c>
      <c r="M24" s="5" t="str">
        <f t="shared" si="3"/>
        <v/>
      </c>
      <c r="N24" s="5" t="str">
        <f t="shared" si="4"/>
        <v/>
      </c>
    </row>
    <row r="25" spans="1:14" x14ac:dyDescent="0.25">
      <c r="A25" s="5">
        <v>24</v>
      </c>
      <c r="B25" s="5">
        <f t="shared" si="1"/>
        <v>0</v>
      </c>
      <c r="C25" s="5" t="str">
        <f t="shared" si="0"/>
        <v/>
      </c>
      <c r="D25" s="5" t="str">
        <f>IFERROR(IF(F25&lt;&gt;"",F25,VLOOKUP(MAX(C$2:C25),A$2:F25,2,FALSE)),"")</f>
        <v/>
      </c>
      <c r="E25" s="5" t="str">
        <f t="shared" si="2"/>
        <v/>
      </c>
      <c r="K25" t="str">
        <f>IFERROR(IF(VLOOKUP(E:E,'Old Report'!E:J,6,FALSE)="","",VLOOKUP(E:E,'Old Report'!E:J,6,FALSE)),"")</f>
        <v/>
      </c>
      <c r="L25" t="str">
        <f>IFERROR(IF(VLOOKUP(E:E,'Old Report'!E:L,8,FALSE)="","",VLOOKUP(E:E,'Old Report'!E:L,8,FALSE)),"")</f>
        <v/>
      </c>
      <c r="M25" s="5" t="str">
        <f t="shared" si="3"/>
        <v/>
      </c>
      <c r="N25" s="5" t="str">
        <f t="shared" si="4"/>
        <v/>
      </c>
    </row>
    <row r="26" spans="1:14" x14ac:dyDescent="0.25">
      <c r="A26" s="5">
        <v>25</v>
      </c>
      <c r="B26" s="5">
        <f t="shared" si="1"/>
        <v>0</v>
      </c>
      <c r="C26" s="5" t="str">
        <f t="shared" si="0"/>
        <v/>
      </c>
      <c r="D26" s="5" t="str">
        <f>IFERROR(IF(F26&lt;&gt;"",F26,VLOOKUP(MAX(C$2:C26),A$2:F26,2,FALSE)),"")</f>
        <v/>
      </c>
      <c r="E26" s="5" t="str">
        <f t="shared" si="2"/>
        <v/>
      </c>
      <c r="K26" t="str">
        <f>IFERROR(IF(VLOOKUP(E:E,'Old Report'!E:J,6,FALSE)="","",VLOOKUP(E:E,'Old Report'!E:J,6,FALSE)),"")</f>
        <v/>
      </c>
      <c r="L26" t="str">
        <f>IFERROR(IF(VLOOKUP(E:E,'Old Report'!E:L,8,FALSE)="","",VLOOKUP(E:E,'Old Report'!E:L,8,FALSE)),"")</f>
        <v/>
      </c>
      <c r="M26" s="5" t="str">
        <f t="shared" si="3"/>
        <v/>
      </c>
      <c r="N26" s="5" t="str">
        <f t="shared" si="4"/>
        <v/>
      </c>
    </row>
    <row r="27" spans="1:14" x14ac:dyDescent="0.25">
      <c r="A27" s="5">
        <v>26</v>
      </c>
      <c r="B27" s="5">
        <f t="shared" si="1"/>
        <v>0</v>
      </c>
      <c r="C27" s="5" t="str">
        <f t="shared" si="0"/>
        <v/>
      </c>
      <c r="D27" s="5" t="str">
        <f>IFERROR(IF(F27&lt;&gt;"",F27,VLOOKUP(MAX(C$2:C27),A$2:F27,2,FALSE)),"")</f>
        <v/>
      </c>
      <c r="E27" s="5" t="str">
        <f t="shared" si="2"/>
        <v/>
      </c>
      <c r="K27" t="str">
        <f>IFERROR(IF(VLOOKUP(E:E,'Old Report'!E:J,6,FALSE)="","",VLOOKUP(E:E,'Old Report'!E:J,6,FALSE)),"")</f>
        <v/>
      </c>
      <c r="L27" t="str">
        <f>IFERROR(IF(VLOOKUP(E:E,'Old Report'!E:L,8,FALSE)="","",VLOOKUP(E:E,'Old Report'!E:L,8,FALSE)),"")</f>
        <v/>
      </c>
      <c r="M27" s="5" t="str">
        <f t="shared" si="3"/>
        <v/>
      </c>
      <c r="N27" s="5" t="str">
        <f t="shared" si="4"/>
        <v/>
      </c>
    </row>
    <row r="28" spans="1:14" x14ac:dyDescent="0.25">
      <c r="A28" s="5">
        <v>27</v>
      </c>
      <c r="B28" s="5">
        <f t="shared" si="1"/>
        <v>0</v>
      </c>
      <c r="C28" s="5" t="str">
        <f t="shared" si="0"/>
        <v/>
      </c>
      <c r="D28" s="5" t="str">
        <f>IFERROR(IF(F28&lt;&gt;"",F28,VLOOKUP(MAX(C$2:C28),A$2:F28,2,FALSE)),"")</f>
        <v/>
      </c>
      <c r="E28" s="5" t="str">
        <f t="shared" si="2"/>
        <v/>
      </c>
      <c r="K28" t="str">
        <f>IFERROR(IF(VLOOKUP(E:E,'Old Report'!E:J,6,FALSE)="","",VLOOKUP(E:E,'Old Report'!E:J,6,FALSE)),"")</f>
        <v/>
      </c>
      <c r="L28" t="str">
        <f>IFERROR(IF(VLOOKUP(E:E,'Old Report'!E:L,8,FALSE)="","",VLOOKUP(E:E,'Old Report'!E:L,8,FALSE)),"")</f>
        <v/>
      </c>
      <c r="M28" s="5" t="str">
        <f t="shared" si="3"/>
        <v/>
      </c>
      <c r="N28" s="5" t="str">
        <f t="shared" si="4"/>
        <v/>
      </c>
    </row>
    <row r="29" spans="1:14" x14ac:dyDescent="0.25">
      <c r="A29" s="5">
        <v>28</v>
      </c>
      <c r="B29" s="5">
        <f t="shared" si="1"/>
        <v>0</v>
      </c>
      <c r="C29" s="5" t="str">
        <f t="shared" si="0"/>
        <v/>
      </c>
      <c r="D29" s="5" t="str">
        <f>IFERROR(IF(F29&lt;&gt;"",F29,VLOOKUP(MAX(C$2:C29),A$2:F29,2,FALSE)),"")</f>
        <v/>
      </c>
      <c r="E29" s="5" t="str">
        <f t="shared" si="2"/>
        <v/>
      </c>
      <c r="K29" t="str">
        <f>IFERROR(IF(VLOOKUP(E:E,'Old Report'!E:J,6,FALSE)="","",VLOOKUP(E:E,'Old Report'!E:J,6,FALSE)),"")</f>
        <v/>
      </c>
      <c r="L29" t="str">
        <f>IFERROR(IF(VLOOKUP(E:E,'Old Report'!E:L,8,FALSE)="","",VLOOKUP(E:E,'Old Report'!E:L,8,FALSE)),"")</f>
        <v/>
      </c>
      <c r="M29" s="5" t="str">
        <f t="shared" si="3"/>
        <v/>
      </c>
      <c r="N29" s="5" t="str">
        <f t="shared" si="4"/>
        <v/>
      </c>
    </row>
    <row r="30" spans="1:14" x14ac:dyDescent="0.25">
      <c r="A30" s="5">
        <v>29</v>
      </c>
      <c r="B30" s="5">
        <f t="shared" si="1"/>
        <v>0</v>
      </c>
      <c r="C30" s="5" t="str">
        <f t="shared" si="0"/>
        <v/>
      </c>
      <c r="D30" s="5" t="str">
        <f>IFERROR(IF(F30&lt;&gt;"",F30,VLOOKUP(MAX(C$2:C30),A$2:F30,2,FALSE)),"")</f>
        <v/>
      </c>
      <c r="E30" s="5" t="str">
        <f t="shared" si="2"/>
        <v/>
      </c>
      <c r="K30" t="str">
        <f>IFERROR(IF(VLOOKUP(E:E,'Old Report'!E:J,6,FALSE)="","",VLOOKUP(E:E,'Old Report'!E:J,6,FALSE)),"")</f>
        <v/>
      </c>
      <c r="L30" t="str">
        <f>IFERROR(IF(VLOOKUP(E:E,'Old Report'!E:L,8,FALSE)="","",VLOOKUP(E:E,'Old Report'!E:L,8,FALSE)),"")</f>
        <v/>
      </c>
      <c r="M30" s="5" t="str">
        <f t="shared" si="3"/>
        <v/>
      </c>
      <c r="N30" s="5" t="str">
        <f t="shared" si="4"/>
        <v/>
      </c>
    </row>
    <row r="31" spans="1:14" x14ac:dyDescent="0.25">
      <c r="A31" s="5">
        <v>30</v>
      </c>
      <c r="B31" s="5">
        <f t="shared" si="1"/>
        <v>0</v>
      </c>
      <c r="C31" s="5" t="str">
        <f t="shared" si="0"/>
        <v/>
      </c>
      <c r="D31" s="5" t="str">
        <f>IFERROR(IF(F31&lt;&gt;"",F31,VLOOKUP(MAX(C$2:C31),A$2:F31,2,FALSE)),"")</f>
        <v/>
      </c>
      <c r="E31" s="5" t="str">
        <f t="shared" si="2"/>
        <v/>
      </c>
      <c r="K31" t="str">
        <f>IFERROR(IF(VLOOKUP(E:E,'Old Report'!E:J,6,FALSE)="","",VLOOKUP(E:E,'Old Report'!E:J,6,FALSE)),"")</f>
        <v/>
      </c>
      <c r="L31" t="str">
        <f>IFERROR(IF(VLOOKUP(E:E,'Old Report'!E:L,8,FALSE)="","",VLOOKUP(E:E,'Old Report'!E:L,8,FALSE)),"")</f>
        <v/>
      </c>
      <c r="M31" s="5" t="str">
        <f t="shared" si="3"/>
        <v/>
      </c>
      <c r="N31" s="5" t="str">
        <f t="shared" si="4"/>
        <v/>
      </c>
    </row>
    <row r="32" spans="1:14" x14ac:dyDescent="0.25">
      <c r="A32" s="5">
        <v>31</v>
      </c>
      <c r="B32" s="5">
        <f t="shared" si="1"/>
        <v>0</v>
      </c>
      <c r="C32" s="5" t="str">
        <f t="shared" si="0"/>
        <v/>
      </c>
      <c r="D32" s="5" t="str">
        <f>IFERROR(IF(F32&lt;&gt;"",F32,VLOOKUP(MAX(C$2:C32),A$2:F32,2,FALSE)),"")</f>
        <v/>
      </c>
      <c r="E32" s="5" t="str">
        <f t="shared" si="2"/>
        <v/>
      </c>
      <c r="K32" t="str">
        <f>IFERROR(IF(VLOOKUP(E:E,'Old Report'!E:J,6,FALSE)="","",VLOOKUP(E:E,'Old Report'!E:J,6,FALSE)),"")</f>
        <v/>
      </c>
      <c r="L32" t="str">
        <f>IFERROR(IF(VLOOKUP(E:E,'Old Report'!E:L,8,FALSE)="","",VLOOKUP(E:E,'Old Report'!E:L,8,FALSE)),"")</f>
        <v/>
      </c>
      <c r="M32" s="5" t="str">
        <f t="shared" si="3"/>
        <v/>
      </c>
      <c r="N32" s="5" t="str">
        <f t="shared" si="4"/>
        <v/>
      </c>
    </row>
    <row r="33" spans="1:14" x14ac:dyDescent="0.25">
      <c r="A33" s="5">
        <v>32</v>
      </c>
      <c r="B33" s="5">
        <f t="shared" si="1"/>
        <v>0</v>
      </c>
      <c r="C33" s="5" t="str">
        <f t="shared" si="0"/>
        <v/>
      </c>
      <c r="D33" s="5" t="str">
        <f>IFERROR(IF(F33&lt;&gt;"",F33,VLOOKUP(MAX(C$2:C33),A$2:F33,2,FALSE)),"")</f>
        <v/>
      </c>
      <c r="E33" s="5" t="str">
        <f t="shared" si="2"/>
        <v/>
      </c>
      <c r="K33" t="str">
        <f>IFERROR(IF(VLOOKUP(E:E,'Old Report'!E:J,6,FALSE)="","",VLOOKUP(E:E,'Old Report'!E:J,6,FALSE)),"")</f>
        <v/>
      </c>
      <c r="L33" t="str">
        <f>IFERROR(IF(VLOOKUP(E:E,'Old Report'!E:L,8,FALSE)="","",VLOOKUP(E:E,'Old Report'!E:L,8,FALSE)),"")</f>
        <v/>
      </c>
      <c r="M33" s="5" t="str">
        <f t="shared" si="3"/>
        <v/>
      </c>
      <c r="N33" s="5" t="str">
        <f t="shared" si="4"/>
        <v/>
      </c>
    </row>
    <row r="34" spans="1:14" x14ac:dyDescent="0.25">
      <c r="A34" s="5">
        <v>33</v>
      </c>
      <c r="B34" s="5">
        <f t="shared" si="1"/>
        <v>0</v>
      </c>
      <c r="C34" s="5" t="str">
        <f t="shared" si="0"/>
        <v/>
      </c>
      <c r="D34" s="5" t="str">
        <f>IFERROR(IF(F34&lt;&gt;"",F34,VLOOKUP(MAX(C$2:C34),A$2:F34,2,FALSE)),"")</f>
        <v/>
      </c>
      <c r="E34" s="5" t="str">
        <f t="shared" si="2"/>
        <v/>
      </c>
      <c r="K34" t="str">
        <f>IFERROR(IF(VLOOKUP(E:E,'Old Report'!E:J,6,FALSE)="","",VLOOKUP(E:E,'Old Report'!E:J,6,FALSE)),"")</f>
        <v/>
      </c>
      <c r="L34" t="str">
        <f>IFERROR(IF(VLOOKUP(E:E,'Old Report'!E:L,8,FALSE)="","",VLOOKUP(E:E,'Old Report'!E:L,8,FALSE)),"")</f>
        <v/>
      </c>
      <c r="M34" s="5" t="str">
        <f t="shared" si="3"/>
        <v/>
      </c>
      <c r="N34" s="5" t="str">
        <f t="shared" si="4"/>
        <v/>
      </c>
    </row>
    <row r="35" spans="1:14" x14ac:dyDescent="0.25">
      <c r="A35" s="5">
        <v>34</v>
      </c>
      <c r="B35" s="5">
        <f t="shared" si="1"/>
        <v>0</v>
      </c>
      <c r="C35" s="5" t="str">
        <f t="shared" si="0"/>
        <v/>
      </c>
      <c r="D35" s="5" t="str">
        <f>IFERROR(IF(F35&lt;&gt;"",F35,VLOOKUP(MAX(C$2:C35),A$2:F35,2,FALSE)),"")</f>
        <v/>
      </c>
      <c r="E35" s="5" t="str">
        <f t="shared" si="2"/>
        <v/>
      </c>
      <c r="K35" t="str">
        <f>IFERROR(IF(VLOOKUP(E:E,'Old Report'!E:J,6,FALSE)="","",VLOOKUP(E:E,'Old Report'!E:J,6,FALSE)),"")</f>
        <v/>
      </c>
      <c r="L35" t="str">
        <f>IFERROR(IF(VLOOKUP(E:E,'Old Report'!E:L,8,FALSE)="","",VLOOKUP(E:E,'Old Report'!E:L,8,FALSE)),"")</f>
        <v/>
      </c>
      <c r="M35" s="5" t="str">
        <f t="shared" si="3"/>
        <v/>
      </c>
      <c r="N35" s="5" t="str">
        <f t="shared" si="4"/>
        <v/>
      </c>
    </row>
    <row r="36" spans="1:14" x14ac:dyDescent="0.25">
      <c r="A36" s="5">
        <v>35</v>
      </c>
      <c r="B36" s="5">
        <f t="shared" si="1"/>
        <v>0</v>
      </c>
      <c r="C36" s="5" t="str">
        <f t="shared" si="0"/>
        <v/>
      </c>
      <c r="D36" s="5" t="str">
        <f>IFERROR(IF(F36&lt;&gt;"",F36,VLOOKUP(MAX(C$2:C36),A$2:F36,2,FALSE)),"")</f>
        <v/>
      </c>
      <c r="E36" s="5" t="str">
        <f t="shared" si="2"/>
        <v/>
      </c>
      <c r="K36" t="str">
        <f>IFERROR(IF(VLOOKUP(E:E,'Old Report'!E:J,6,FALSE)="","",VLOOKUP(E:E,'Old Report'!E:J,6,FALSE)),"")</f>
        <v/>
      </c>
      <c r="L36" t="str">
        <f>IFERROR(IF(VLOOKUP(E:E,'Old Report'!E:L,8,FALSE)="","",VLOOKUP(E:E,'Old Report'!E:L,8,FALSE)),"")</f>
        <v/>
      </c>
      <c r="M36" s="5" t="str">
        <f t="shared" si="3"/>
        <v/>
      </c>
      <c r="N36" s="5" t="str">
        <f t="shared" si="4"/>
        <v/>
      </c>
    </row>
    <row r="37" spans="1:14" x14ac:dyDescent="0.25">
      <c r="A37" s="5">
        <v>36</v>
      </c>
      <c r="B37" s="5">
        <f t="shared" si="1"/>
        <v>0</v>
      </c>
      <c r="C37" s="5" t="str">
        <f t="shared" si="0"/>
        <v/>
      </c>
      <c r="D37" s="5" t="str">
        <f>IFERROR(IF(F37&lt;&gt;"",F37,VLOOKUP(MAX(C$2:C37),A$2:F37,2,FALSE)),"")</f>
        <v/>
      </c>
      <c r="E37" s="5" t="str">
        <f t="shared" si="2"/>
        <v/>
      </c>
      <c r="K37" t="str">
        <f>IFERROR(IF(VLOOKUP(E:E,'Old Report'!E:J,6,FALSE)="","",VLOOKUP(E:E,'Old Report'!E:J,6,FALSE)),"")</f>
        <v/>
      </c>
      <c r="L37" t="str">
        <f>IFERROR(IF(VLOOKUP(E:E,'Old Report'!E:L,8,FALSE)="","",VLOOKUP(E:E,'Old Report'!E:L,8,FALSE)),"")</f>
        <v/>
      </c>
      <c r="M37" s="5" t="str">
        <f t="shared" si="3"/>
        <v/>
      </c>
      <c r="N37" s="5" t="str">
        <f t="shared" si="4"/>
        <v/>
      </c>
    </row>
    <row r="38" spans="1:14" x14ac:dyDescent="0.25">
      <c r="A38" s="5">
        <v>37</v>
      </c>
      <c r="B38" s="5">
        <f t="shared" si="1"/>
        <v>0</v>
      </c>
      <c r="C38" s="5" t="str">
        <f t="shared" si="0"/>
        <v/>
      </c>
      <c r="D38" s="5" t="str">
        <f>IFERROR(IF(F38&lt;&gt;"",F38,VLOOKUP(MAX(C$2:C38),A$2:F38,2,FALSE)),"")</f>
        <v/>
      </c>
      <c r="E38" s="5" t="str">
        <f t="shared" si="2"/>
        <v/>
      </c>
      <c r="K38" t="str">
        <f>IFERROR(IF(VLOOKUP(E:E,'Old Report'!E:J,6,FALSE)="","",VLOOKUP(E:E,'Old Report'!E:J,6,FALSE)),"")</f>
        <v/>
      </c>
      <c r="L38" t="str">
        <f>IFERROR(IF(VLOOKUP(E:E,'Old Report'!E:L,8,FALSE)="","",VLOOKUP(E:E,'Old Report'!E:L,8,FALSE)),"")</f>
        <v/>
      </c>
      <c r="M38" s="5" t="str">
        <f t="shared" si="3"/>
        <v/>
      </c>
      <c r="N38" s="5" t="str">
        <f t="shared" si="4"/>
        <v/>
      </c>
    </row>
    <row r="39" spans="1:14" x14ac:dyDescent="0.25">
      <c r="A39" s="5">
        <v>38</v>
      </c>
      <c r="B39" s="5">
        <f t="shared" si="1"/>
        <v>0</v>
      </c>
      <c r="C39" s="5" t="str">
        <f t="shared" si="0"/>
        <v/>
      </c>
      <c r="D39" s="5" t="str">
        <f>IFERROR(IF(F39&lt;&gt;"",F39,VLOOKUP(MAX(C$2:C39),A$2:F39,2,FALSE)),"")</f>
        <v/>
      </c>
      <c r="E39" s="5" t="str">
        <f t="shared" si="2"/>
        <v/>
      </c>
      <c r="K39" t="str">
        <f>IFERROR(IF(VLOOKUP(E:E,'Old Report'!E:J,6,FALSE)="","",VLOOKUP(E:E,'Old Report'!E:J,6,FALSE)),"")</f>
        <v/>
      </c>
      <c r="L39" t="str">
        <f>IFERROR(IF(VLOOKUP(E:E,'Old Report'!E:L,8,FALSE)="","",VLOOKUP(E:E,'Old Report'!E:L,8,FALSE)),"")</f>
        <v/>
      </c>
      <c r="M39" s="5" t="str">
        <f t="shared" si="3"/>
        <v/>
      </c>
      <c r="N39" s="5" t="str">
        <f t="shared" si="4"/>
        <v/>
      </c>
    </row>
    <row r="40" spans="1:14" x14ac:dyDescent="0.25">
      <c r="A40" s="5">
        <v>39</v>
      </c>
      <c r="B40" s="5">
        <f t="shared" si="1"/>
        <v>0</v>
      </c>
      <c r="C40" s="5" t="str">
        <f t="shared" si="0"/>
        <v/>
      </c>
      <c r="D40" s="5" t="str">
        <f>IFERROR(IF(F40&lt;&gt;"",F40,VLOOKUP(MAX(C$2:C40),A$2:F40,2,FALSE)),"")</f>
        <v/>
      </c>
      <c r="E40" s="5" t="str">
        <f t="shared" si="2"/>
        <v/>
      </c>
      <c r="K40" t="str">
        <f>IFERROR(IF(VLOOKUP(E:E,'Old Report'!E:J,6,FALSE)="","",VLOOKUP(E:E,'Old Report'!E:J,6,FALSE)),"")</f>
        <v/>
      </c>
      <c r="L40" t="str">
        <f>IFERROR(IF(VLOOKUP(E:E,'Old Report'!E:L,8,FALSE)="","",VLOOKUP(E:E,'Old Report'!E:L,8,FALSE)),"")</f>
        <v/>
      </c>
      <c r="M40" s="5" t="str">
        <f t="shared" si="3"/>
        <v/>
      </c>
      <c r="N40" s="5" t="str">
        <f t="shared" si="4"/>
        <v/>
      </c>
    </row>
    <row r="41" spans="1:14" x14ac:dyDescent="0.25">
      <c r="A41" s="5">
        <v>40</v>
      </c>
      <c r="B41" s="5">
        <f t="shared" si="1"/>
        <v>0</v>
      </c>
      <c r="C41" s="5" t="str">
        <f t="shared" si="0"/>
        <v/>
      </c>
      <c r="D41" s="5" t="str">
        <f>IFERROR(IF(F41&lt;&gt;"",F41,VLOOKUP(MAX(C$2:C41),A$2:F41,2,FALSE)),"")</f>
        <v/>
      </c>
      <c r="E41" s="5" t="str">
        <f t="shared" si="2"/>
        <v/>
      </c>
      <c r="K41" t="str">
        <f>IFERROR(IF(VLOOKUP(E:E,'Old Report'!E:J,6,FALSE)="","",VLOOKUP(E:E,'Old Report'!E:J,6,FALSE)),"")</f>
        <v/>
      </c>
      <c r="L41" t="str">
        <f>IFERROR(IF(VLOOKUP(E:E,'Old Report'!E:L,8,FALSE)="","",VLOOKUP(E:E,'Old Report'!E:L,8,FALSE)),"")</f>
        <v/>
      </c>
      <c r="M41" s="5" t="str">
        <f t="shared" si="3"/>
        <v/>
      </c>
      <c r="N41" s="5" t="str">
        <f t="shared" si="4"/>
        <v/>
      </c>
    </row>
    <row r="42" spans="1:14" x14ac:dyDescent="0.25">
      <c r="A42" s="5">
        <v>41</v>
      </c>
      <c r="B42" s="5">
        <f t="shared" si="1"/>
        <v>0</v>
      </c>
      <c r="C42" s="5" t="str">
        <f t="shared" si="0"/>
        <v/>
      </c>
      <c r="D42" s="5" t="str">
        <f>IFERROR(IF(F42&lt;&gt;"",F42,VLOOKUP(MAX(C$2:C42),A$2:F42,2,FALSE)),"")</f>
        <v/>
      </c>
      <c r="E42" s="5" t="str">
        <f t="shared" si="2"/>
        <v/>
      </c>
      <c r="K42" t="str">
        <f>IFERROR(IF(VLOOKUP(E:E,'Old Report'!E:J,6,FALSE)="","",VLOOKUP(E:E,'Old Report'!E:J,6,FALSE)),"")</f>
        <v/>
      </c>
      <c r="L42" t="str">
        <f>IFERROR(IF(VLOOKUP(E:E,'Old Report'!E:L,8,FALSE)="","",VLOOKUP(E:E,'Old Report'!E:L,8,FALSE)),"")</f>
        <v/>
      </c>
      <c r="M42" s="5" t="str">
        <f t="shared" si="3"/>
        <v/>
      </c>
      <c r="N42" s="5" t="str">
        <f t="shared" si="4"/>
        <v/>
      </c>
    </row>
    <row r="43" spans="1:14" x14ac:dyDescent="0.25">
      <c r="A43" s="5">
        <v>42</v>
      </c>
      <c r="B43" s="5">
        <f t="shared" si="1"/>
        <v>0</v>
      </c>
      <c r="C43" s="5" t="str">
        <f t="shared" si="0"/>
        <v/>
      </c>
      <c r="D43" s="5" t="str">
        <f>IFERROR(IF(F43&lt;&gt;"",F43,VLOOKUP(MAX(C$2:C43),A$2:F43,2,FALSE)),"")</f>
        <v/>
      </c>
      <c r="E43" s="5" t="str">
        <f t="shared" si="2"/>
        <v/>
      </c>
      <c r="K43" t="str">
        <f>IFERROR(IF(VLOOKUP(E:E,'Old Report'!E:J,6,FALSE)="","",VLOOKUP(E:E,'Old Report'!E:J,6,FALSE)),"")</f>
        <v/>
      </c>
      <c r="L43" t="str">
        <f>IFERROR(IF(VLOOKUP(E:E,'Old Report'!E:L,8,FALSE)="","",VLOOKUP(E:E,'Old Report'!E:L,8,FALSE)),"")</f>
        <v/>
      </c>
      <c r="M43" s="5" t="str">
        <f t="shared" si="3"/>
        <v/>
      </c>
      <c r="N43" s="5" t="str">
        <f t="shared" si="4"/>
        <v/>
      </c>
    </row>
    <row r="44" spans="1:14" x14ac:dyDescent="0.25">
      <c r="A44" s="5">
        <v>43</v>
      </c>
      <c r="B44" s="5">
        <f t="shared" si="1"/>
        <v>0</v>
      </c>
      <c r="C44" s="5" t="str">
        <f t="shared" si="0"/>
        <v/>
      </c>
      <c r="D44" s="5" t="str">
        <f>IFERROR(IF(F44&lt;&gt;"",F44,VLOOKUP(MAX(C$2:C44),A$2:F44,2,FALSE)),"")</f>
        <v/>
      </c>
      <c r="E44" s="5" t="str">
        <f t="shared" si="2"/>
        <v/>
      </c>
      <c r="K44" t="str">
        <f>IFERROR(IF(VLOOKUP(E:E,'Old Report'!E:J,6,FALSE)="","",VLOOKUP(E:E,'Old Report'!E:J,6,FALSE)),"")</f>
        <v/>
      </c>
      <c r="L44" t="str">
        <f>IFERROR(IF(VLOOKUP(E:E,'Old Report'!E:L,8,FALSE)="","",VLOOKUP(E:E,'Old Report'!E:L,8,FALSE)),"")</f>
        <v/>
      </c>
      <c r="M44" s="5" t="str">
        <f t="shared" si="3"/>
        <v/>
      </c>
      <c r="N44" s="5" t="str">
        <f t="shared" si="4"/>
        <v/>
      </c>
    </row>
    <row r="45" spans="1:14" x14ac:dyDescent="0.25">
      <c r="A45" s="5">
        <v>44</v>
      </c>
      <c r="B45" s="5">
        <f t="shared" si="1"/>
        <v>0</v>
      </c>
      <c r="C45" s="5" t="str">
        <f t="shared" si="0"/>
        <v/>
      </c>
      <c r="D45" s="5" t="str">
        <f>IFERROR(IF(F45&lt;&gt;"",F45,VLOOKUP(MAX(C$2:C45),A$2:F45,2,FALSE)),"")</f>
        <v/>
      </c>
      <c r="E45" s="5" t="str">
        <f t="shared" si="2"/>
        <v/>
      </c>
      <c r="K45" t="str">
        <f>IFERROR(IF(VLOOKUP(E:E,'Old Report'!E:J,6,FALSE)="","",VLOOKUP(E:E,'Old Report'!E:J,6,FALSE)),"")</f>
        <v/>
      </c>
      <c r="L45" t="str">
        <f>IFERROR(IF(VLOOKUP(E:E,'Old Report'!E:L,8,FALSE)="","",VLOOKUP(E:E,'Old Report'!E:L,8,FALSE)),"")</f>
        <v/>
      </c>
      <c r="M45" s="5" t="str">
        <f t="shared" si="3"/>
        <v/>
      </c>
      <c r="N45" s="5" t="str">
        <f t="shared" si="4"/>
        <v/>
      </c>
    </row>
    <row r="46" spans="1:14" x14ac:dyDescent="0.25">
      <c r="A46" s="5">
        <v>45</v>
      </c>
      <c r="B46" s="5">
        <f t="shared" si="1"/>
        <v>0</v>
      </c>
      <c r="C46" s="5" t="str">
        <f t="shared" si="0"/>
        <v/>
      </c>
      <c r="D46" s="5" t="str">
        <f>IFERROR(IF(F46&lt;&gt;"",F46,VLOOKUP(MAX(C$2:C46),A$2:F46,2,FALSE)),"")</f>
        <v/>
      </c>
      <c r="E46" s="5" t="str">
        <f t="shared" si="2"/>
        <v/>
      </c>
      <c r="K46" t="str">
        <f>IFERROR(IF(VLOOKUP(E:E,'Old Report'!E:J,6,FALSE)="","",VLOOKUP(E:E,'Old Report'!E:J,6,FALSE)),"")</f>
        <v/>
      </c>
      <c r="L46" t="str">
        <f>IFERROR(IF(VLOOKUP(E:E,'Old Report'!E:L,8,FALSE)="","",VLOOKUP(E:E,'Old Report'!E:L,8,FALSE)),"")</f>
        <v/>
      </c>
      <c r="M46" s="5" t="str">
        <f t="shared" si="3"/>
        <v/>
      </c>
      <c r="N46" s="5" t="str">
        <f t="shared" si="4"/>
        <v/>
      </c>
    </row>
    <row r="47" spans="1:14" x14ac:dyDescent="0.25">
      <c r="A47" s="5">
        <v>46</v>
      </c>
      <c r="B47" s="5">
        <f t="shared" si="1"/>
        <v>0</v>
      </c>
      <c r="C47" s="5" t="str">
        <f t="shared" si="0"/>
        <v/>
      </c>
      <c r="D47" s="5" t="str">
        <f>IFERROR(IF(F47&lt;&gt;"",F47,VLOOKUP(MAX(C$2:C47),A$2:F47,2,FALSE)),"")</f>
        <v/>
      </c>
      <c r="E47" s="5" t="str">
        <f t="shared" si="2"/>
        <v/>
      </c>
      <c r="K47" t="str">
        <f>IFERROR(IF(VLOOKUP(E:E,'Old Report'!E:J,6,FALSE)="","",VLOOKUP(E:E,'Old Report'!E:J,6,FALSE)),"")</f>
        <v/>
      </c>
      <c r="L47" t="str">
        <f>IFERROR(IF(VLOOKUP(E:E,'Old Report'!E:L,8,FALSE)="","",VLOOKUP(E:E,'Old Report'!E:L,8,FALSE)),"")</f>
        <v/>
      </c>
      <c r="M47" s="5" t="str">
        <f t="shared" si="3"/>
        <v/>
      </c>
      <c r="N47" s="5" t="str">
        <f t="shared" si="4"/>
        <v/>
      </c>
    </row>
    <row r="48" spans="1:14" x14ac:dyDescent="0.25">
      <c r="A48" s="5">
        <v>47</v>
      </c>
      <c r="B48" s="5">
        <f t="shared" si="1"/>
        <v>0</v>
      </c>
      <c r="C48" s="5" t="str">
        <f t="shared" si="0"/>
        <v/>
      </c>
      <c r="D48" s="5" t="str">
        <f>IFERROR(IF(F48&lt;&gt;"",F48,VLOOKUP(MAX(C$2:C48),A$2:F48,2,FALSE)),"")</f>
        <v/>
      </c>
      <c r="E48" s="5" t="str">
        <f t="shared" si="2"/>
        <v/>
      </c>
      <c r="K48" t="str">
        <f>IFERROR(IF(VLOOKUP(E:E,'Old Report'!E:J,6,FALSE)="","",VLOOKUP(E:E,'Old Report'!E:J,6,FALSE)),"")</f>
        <v/>
      </c>
      <c r="L48" t="str">
        <f>IFERROR(IF(VLOOKUP(E:E,'Old Report'!E:L,8,FALSE)="","",VLOOKUP(E:E,'Old Report'!E:L,8,FALSE)),"")</f>
        <v/>
      </c>
      <c r="M48" s="5" t="str">
        <f t="shared" si="3"/>
        <v/>
      </c>
      <c r="N48" s="5" t="str">
        <f t="shared" si="4"/>
        <v/>
      </c>
    </row>
    <row r="49" spans="1:14" x14ac:dyDescent="0.25">
      <c r="A49" s="5">
        <v>48</v>
      </c>
      <c r="B49" s="5">
        <f t="shared" si="1"/>
        <v>0</v>
      </c>
      <c r="C49" s="5" t="str">
        <f t="shared" si="0"/>
        <v/>
      </c>
      <c r="D49" s="5" t="str">
        <f>IFERROR(IF(F49&lt;&gt;"",F49,VLOOKUP(MAX(C$2:C49),A$2:F49,2,FALSE)),"")</f>
        <v/>
      </c>
      <c r="E49" s="5" t="str">
        <f t="shared" si="2"/>
        <v/>
      </c>
      <c r="K49" t="str">
        <f>IFERROR(IF(VLOOKUP(E:E,'Old Report'!E:J,6,FALSE)="","",VLOOKUP(E:E,'Old Report'!E:J,6,FALSE)),"")</f>
        <v/>
      </c>
      <c r="L49" t="str">
        <f>IFERROR(IF(VLOOKUP(E:E,'Old Report'!E:L,8,FALSE)="","",VLOOKUP(E:E,'Old Report'!E:L,8,FALSE)),"")</f>
        <v/>
      </c>
      <c r="M49" s="5" t="str">
        <f t="shared" si="3"/>
        <v/>
      </c>
      <c r="N49" s="5" t="str">
        <f t="shared" si="4"/>
        <v/>
      </c>
    </row>
    <row r="50" spans="1:14" x14ac:dyDescent="0.25">
      <c r="A50" s="5">
        <v>49</v>
      </c>
      <c r="B50" s="5">
        <f t="shared" si="1"/>
        <v>0</v>
      </c>
      <c r="C50" s="5" t="str">
        <f t="shared" si="0"/>
        <v/>
      </c>
      <c r="D50" s="5" t="str">
        <f>IFERROR(IF(F50&lt;&gt;"",F50,VLOOKUP(MAX(C$2:C50),A$2:F50,2,FALSE)),"")</f>
        <v/>
      </c>
      <c r="E50" s="5" t="str">
        <f t="shared" si="2"/>
        <v/>
      </c>
      <c r="K50" t="str">
        <f>IFERROR(IF(VLOOKUP(E:E,'Old Report'!E:J,6,FALSE)="","",VLOOKUP(E:E,'Old Report'!E:J,6,FALSE)),"")</f>
        <v/>
      </c>
      <c r="L50" t="str">
        <f>IFERROR(IF(VLOOKUP(E:E,'Old Report'!E:L,8,FALSE)="","",VLOOKUP(E:E,'Old Report'!E:L,8,FALSE)),"")</f>
        <v/>
      </c>
      <c r="M50" s="5" t="str">
        <f t="shared" si="3"/>
        <v/>
      </c>
      <c r="N50" s="5" t="str">
        <f t="shared" si="4"/>
        <v/>
      </c>
    </row>
    <row r="51" spans="1:14" x14ac:dyDescent="0.25">
      <c r="A51" s="5">
        <v>50</v>
      </c>
      <c r="B51" s="5">
        <f t="shared" si="1"/>
        <v>0</v>
      </c>
      <c r="C51" s="5" t="str">
        <f t="shared" si="0"/>
        <v/>
      </c>
      <c r="D51" s="5" t="str">
        <f>IFERROR(IF(F51&lt;&gt;"",F51,VLOOKUP(MAX(C$2:C51),A$2:F51,2,FALSE)),"")</f>
        <v/>
      </c>
      <c r="E51" s="5" t="str">
        <f t="shared" si="2"/>
        <v/>
      </c>
      <c r="K51" t="str">
        <f>IFERROR(IF(VLOOKUP(E:E,'Old Report'!E:J,6,FALSE)="","",VLOOKUP(E:E,'Old Report'!E:J,6,FALSE)),"")</f>
        <v/>
      </c>
      <c r="L51" t="str">
        <f>IFERROR(IF(VLOOKUP(E:E,'Old Report'!E:L,8,FALSE)="","",VLOOKUP(E:E,'Old Report'!E:L,8,FALSE)),"")</f>
        <v/>
      </c>
      <c r="M51" s="5" t="str">
        <f t="shared" si="3"/>
        <v/>
      </c>
      <c r="N51" s="5" t="str">
        <f t="shared" si="4"/>
        <v/>
      </c>
    </row>
    <row r="52" spans="1:14" x14ac:dyDescent="0.25">
      <c r="A52" s="5">
        <v>51</v>
      </c>
      <c r="B52" s="5">
        <f t="shared" si="1"/>
        <v>0</v>
      </c>
      <c r="C52" s="5" t="str">
        <f t="shared" si="0"/>
        <v/>
      </c>
      <c r="D52" s="5" t="str">
        <f>IFERROR(IF(F52&lt;&gt;"",F52,VLOOKUP(MAX(C$2:C52),A$2:F52,2,FALSE)),"")</f>
        <v/>
      </c>
      <c r="E52" s="5" t="str">
        <f t="shared" si="2"/>
        <v/>
      </c>
      <c r="K52" t="str">
        <f>IFERROR(IF(VLOOKUP(E:E,'Old Report'!E:J,6,FALSE)="","",VLOOKUP(E:E,'Old Report'!E:J,6,FALSE)),"")</f>
        <v/>
      </c>
      <c r="L52" t="str">
        <f>IFERROR(IF(VLOOKUP(E:E,'Old Report'!E:L,8,FALSE)="","",VLOOKUP(E:E,'Old Report'!E:L,8,FALSE)),"")</f>
        <v/>
      </c>
      <c r="M52" s="5" t="str">
        <f t="shared" si="3"/>
        <v/>
      </c>
      <c r="N52" s="5" t="str">
        <f t="shared" si="4"/>
        <v/>
      </c>
    </row>
    <row r="53" spans="1:14" x14ac:dyDescent="0.25">
      <c r="A53" s="5">
        <v>52</v>
      </c>
      <c r="B53" s="5">
        <f t="shared" si="1"/>
        <v>0</v>
      </c>
      <c r="C53" s="5" t="str">
        <f t="shared" si="0"/>
        <v/>
      </c>
      <c r="D53" s="5" t="str">
        <f>IFERROR(IF(F53&lt;&gt;"",F53,VLOOKUP(MAX(C$2:C53),A$2:F53,2,FALSE)),"")</f>
        <v/>
      </c>
      <c r="E53" s="5" t="str">
        <f t="shared" si="2"/>
        <v/>
      </c>
      <c r="K53" t="str">
        <f>IFERROR(IF(VLOOKUP(E:E,'Old Report'!E:J,6,FALSE)="","",VLOOKUP(E:E,'Old Report'!E:J,6,FALSE)),"")</f>
        <v/>
      </c>
      <c r="L53" t="str">
        <f>IFERROR(IF(VLOOKUP(E:E,'Old Report'!E:L,8,FALSE)="","",VLOOKUP(E:E,'Old Report'!E:L,8,FALSE)),"")</f>
        <v/>
      </c>
      <c r="M53" s="5" t="str">
        <f t="shared" si="3"/>
        <v/>
      </c>
      <c r="N53" s="5" t="str">
        <f t="shared" si="4"/>
        <v/>
      </c>
    </row>
    <row r="54" spans="1:14" x14ac:dyDescent="0.25">
      <c r="A54" s="5">
        <v>53</v>
      </c>
      <c r="B54" s="5">
        <f t="shared" si="1"/>
        <v>0</v>
      </c>
      <c r="C54" s="5" t="str">
        <f t="shared" si="0"/>
        <v/>
      </c>
      <c r="D54" s="5" t="str">
        <f>IFERROR(IF(F54&lt;&gt;"",F54,VLOOKUP(MAX(C$2:C54),A$2:F54,2,FALSE)),"")</f>
        <v/>
      </c>
      <c r="E54" s="5" t="str">
        <f t="shared" si="2"/>
        <v/>
      </c>
      <c r="K54" t="str">
        <f>IFERROR(IF(VLOOKUP(E:E,'Old Report'!E:J,6,FALSE)="","",VLOOKUP(E:E,'Old Report'!E:J,6,FALSE)),"")</f>
        <v/>
      </c>
      <c r="L54" t="str">
        <f>IFERROR(IF(VLOOKUP(E:E,'Old Report'!E:L,8,FALSE)="","",VLOOKUP(E:E,'Old Report'!E:L,8,FALSE)),"")</f>
        <v/>
      </c>
      <c r="M54" s="5" t="str">
        <f t="shared" si="3"/>
        <v/>
      </c>
      <c r="N54" s="5" t="str">
        <f t="shared" si="4"/>
        <v/>
      </c>
    </row>
    <row r="55" spans="1:14" x14ac:dyDescent="0.25">
      <c r="A55" s="5">
        <v>54</v>
      </c>
      <c r="B55" s="5">
        <f t="shared" si="1"/>
        <v>0</v>
      </c>
      <c r="C55" s="5" t="str">
        <f t="shared" si="0"/>
        <v/>
      </c>
      <c r="D55" s="5" t="str">
        <f>IFERROR(IF(F55&lt;&gt;"",F55,VLOOKUP(MAX(C$2:C55),A$2:F55,2,FALSE)),"")</f>
        <v/>
      </c>
      <c r="E55" s="5" t="str">
        <f t="shared" si="2"/>
        <v/>
      </c>
      <c r="K55" t="str">
        <f>IFERROR(IF(VLOOKUP(E:E,'Old Report'!E:J,6,FALSE)="","",VLOOKUP(E:E,'Old Report'!E:J,6,FALSE)),"")</f>
        <v/>
      </c>
      <c r="L55" t="str">
        <f>IFERROR(IF(VLOOKUP(E:E,'Old Report'!E:L,8,FALSE)="","",VLOOKUP(E:E,'Old Report'!E:L,8,FALSE)),"")</f>
        <v/>
      </c>
      <c r="M55" s="5" t="str">
        <f t="shared" si="3"/>
        <v/>
      </c>
      <c r="N55" s="5" t="str">
        <f t="shared" si="4"/>
        <v/>
      </c>
    </row>
    <row r="56" spans="1:14" x14ac:dyDescent="0.25">
      <c r="A56" s="5">
        <v>55</v>
      </c>
      <c r="B56" s="5">
        <f t="shared" si="1"/>
        <v>0</v>
      </c>
      <c r="C56" s="5" t="str">
        <f t="shared" si="0"/>
        <v/>
      </c>
      <c r="D56" s="5" t="str">
        <f>IFERROR(IF(F56&lt;&gt;"",F56,VLOOKUP(MAX(C$2:C56),A$2:F56,2,FALSE)),"")</f>
        <v/>
      </c>
      <c r="E56" s="5" t="str">
        <f t="shared" si="2"/>
        <v/>
      </c>
      <c r="K56" t="str">
        <f>IFERROR(IF(VLOOKUP(E:E,'Old Report'!E:J,6,FALSE)="","",VLOOKUP(E:E,'Old Report'!E:J,6,FALSE)),"")</f>
        <v/>
      </c>
      <c r="L56" t="str">
        <f>IFERROR(IF(VLOOKUP(E:E,'Old Report'!E:L,8,FALSE)="","",VLOOKUP(E:E,'Old Report'!E:L,8,FALSE)),"")</f>
        <v/>
      </c>
      <c r="M56" s="5" t="str">
        <f t="shared" si="3"/>
        <v/>
      </c>
      <c r="N56" s="5" t="str">
        <f t="shared" si="4"/>
        <v/>
      </c>
    </row>
    <row r="57" spans="1:14" x14ac:dyDescent="0.25">
      <c r="A57" s="5">
        <v>56</v>
      </c>
      <c r="B57" s="5">
        <f t="shared" si="1"/>
        <v>0</v>
      </c>
      <c r="C57" s="5" t="str">
        <f t="shared" si="0"/>
        <v/>
      </c>
      <c r="D57" s="5" t="str">
        <f>IFERROR(IF(F57&lt;&gt;"",F57,VLOOKUP(MAX(C$2:C57),A$2:F57,2,FALSE)),"")</f>
        <v/>
      </c>
      <c r="E57" s="5" t="str">
        <f t="shared" si="2"/>
        <v/>
      </c>
      <c r="K57" t="str">
        <f>IFERROR(IF(VLOOKUP(E:E,'Old Report'!E:J,6,FALSE)="","",VLOOKUP(E:E,'Old Report'!E:J,6,FALSE)),"")</f>
        <v/>
      </c>
      <c r="L57" t="str">
        <f>IFERROR(IF(VLOOKUP(E:E,'Old Report'!E:L,8,FALSE)="","",VLOOKUP(E:E,'Old Report'!E:L,8,FALSE)),"")</f>
        <v/>
      </c>
      <c r="M57" s="5" t="str">
        <f t="shared" si="3"/>
        <v/>
      </c>
      <c r="N57" s="5" t="str">
        <f t="shared" si="4"/>
        <v/>
      </c>
    </row>
    <row r="58" spans="1:14" x14ac:dyDescent="0.25">
      <c r="A58" s="5">
        <v>57</v>
      </c>
      <c r="B58" s="5">
        <f t="shared" si="1"/>
        <v>0</v>
      </c>
      <c r="C58" s="5" t="str">
        <f t="shared" si="0"/>
        <v/>
      </c>
      <c r="D58" s="5" t="str">
        <f>IFERROR(IF(F58&lt;&gt;"",F58,VLOOKUP(MAX(C$2:C58),A$2:F58,2,FALSE)),"")</f>
        <v/>
      </c>
      <c r="E58" s="5" t="str">
        <f t="shared" si="2"/>
        <v/>
      </c>
      <c r="K58" t="str">
        <f>IFERROR(IF(VLOOKUP(E:E,'Old Report'!E:J,6,FALSE)="","",VLOOKUP(E:E,'Old Report'!E:J,6,FALSE)),"")</f>
        <v/>
      </c>
      <c r="L58" t="str">
        <f>IFERROR(IF(VLOOKUP(E:E,'Old Report'!E:L,8,FALSE)="","",VLOOKUP(E:E,'Old Report'!E:L,8,FALSE)),"")</f>
        <v/>
      </c>
      <c r="M58" s="5" t="str">
        <f t="shared" si="3"/>
        <v/>
      </c>
      <c r="N58" s="5" t="str">
        <f t="shared" si="4"/>
        <v/>
      </c>
    </row>
    <row r="59" spans="1:14" x14ac:dyDescent="0.25">
      <c r="A59" s="5">
        <v>58</v>
      </c>
      <c r="B59" s="5">
        <f t="shared" si="1"/>
        <v>0</v>
      </c>
      <c r="C59" s="5" t="str">
        <f t="shared" si="0"/>
        <v/>
      </c>
      <c r="D59" s="5" t="str">
        <f>IFERROR(IF(F59&lt;&gt;"",F59,VLOOKUP(MAX(C$2:C59),A$2:F59,2,FALSE)),"")</f>
        <v/>
      </c>
      <c r="E59" s="5" t="str">
        <f t="shared" si="2"/>
        <v/>
      </c>
      <c r="K59" t="str">
        <f>IFERROR(IF(VLOOKUP(E:E,'Old Report'!E:J,6,FALSE)="","",VLOOKUP(E:E,'Old Report'!E:J,6,FALSE)),"")</f>
        <v/>
      </c>
      <c r="L59" t="str">
        <f>IFERROR(IF(VLOOKUP(E:E,'Old Report'!E:L,8,FALSE)="","",VLOOKUP(E:E,'Old Report'!E:L,8,FALSE)),"")</f>
        <v/>
      </c>
      <c r="M59" s="5" t="str">
        <f t="shared" si="3"/>
        <v/>
      </c>
      <c r="N59" s="5" t="str">
        <f t="shared" si="4"/>
        <v/>
      </c>
    </row>
    <row r="60" spans="1:14" x14ac:dyDescent="0.25">
      <c r="A60" s="5">
        <v>59</v>
      </c>
      <c r="B60" s="5">
        <f t="shared" si="1"/>
        <v>0</v>
      </c>
      <c r="C60" s="5" t="str">
        <f t="shared" si="0"/>
        <v/>
      </c>
      <c r="D60" s="5" t="str">
        <f>IFERROR(IF(F60&lt;&gt;"",F60,VLOOKUP(MAX(C$2:C60),A$2:F60,2,FALSE)),"")</f>
        <v/>
      </c>
      <c r="E60" s="5" t="str">
        <f t="shared" si="2"/>
        <v/>
      </c>
      <c r="K60" t="str">
        <f>IFERROR(IF(VLOOKUP(E:E,'Old Report'!E:J,6,FALSE)="","",VLOOKUP(E:E,'Old Report'!E:J,6,FALSE)),"")</f>
        <v/>
      </c>
      <c r="L60" t="str">
        <f>IFERROR(IF(VLOOKUP(E:E,'Old Report'!E:L,8,FALSE)="","",VLOOKUP(E:E,'Old Report'!E:L,8,FALSE)),"")</f>
        <v/>
      </c>
      <c r="M60" s="5" t="str">
        <f t="shared" si="3"/>
        <v/>
      </c>
      <c r="N60" s="5" t="str">
        <f t="shared" si="4"/>
        <v/>
      </c>
    </row>
    <row r="61" spans="1:14" x14ac:dyDescent="0.25">
      <c r="A61" s="5">
        <v>60</v>
      </c>
      <c r="B61" s="5">
        <f t="shared" si="1"/>
        <v>0</v>
      </c>
      <c r="C61" s="5" t="str">
        <f t="shared" si="0"/>
        <v/>
      </c>
      <c r="D61" s="5" t="str">
        <f>IFERROR(IF(F61&lt;&gt;"",F61,VLOOKUP(MAX(C$2:C61),A$2:F61,2,FALSE)),"")</f>
        <v/>
      </c>
      <c r="E61" s="5" t="str">
        <f t="shared" si="2"/>
        <v/>
      </c>
      <c r="K61" t="str">
        <f>IFERROR(IF(VLOOKUP(E:E,'Old Report'!E:J,6,FALSE)="","",VLOOKUP(E:E,'Old Report'!E:J,6,FALSE)),"")</f>
        <v/>
      </c>
      <c r="L61" t="str">
        <f>IFERROR(IF(VLOOKUP(E:E,'Old Report'!E:L,8,FALSE)="","",VLOOKUP(E:E,'Old Report'!E:L,8,FALSE)),"")</f>
        <v/>
      </c>
      <c r="M61" s="5" t="str">
        <f t="shared" si="3"/>
        <v/>
      </c>
      <c r="N61" s="5" t="str">
        <f t="shared" si="4"/>
        <v/>
      </c>
    </row>
    <row r="62" spans="1:14" x14ac:dyDescent="0.25">
      <c r="A62" s="5">
        <v>61</v>
      </c>
      <c r="B62" s="5">
        <f t="shared" si="1"/>
        <v>0</v>
      </c>
      <c r="C62" s="5" t="str">
        <f t="shared" si="0"/>
        <v/>
      </c>
      <c r="D62" s="5" t="str">
        <f>IFERROR(IF(F62&lt;&gt;"",F62,VLOOKUP(MAX(C$2:C62),A$2:F62,2,FALSE)),"")</f>
        <v/>
      </c>
      <c r="E62" s="5" t="str">
        <f t="shared" si="2"/>
        <v/>
      </c>
      <c r="K62" t="str">
        <f>IFERROR(IF(VLOOKUP(E:E,'Old Report'!E:J,6,FALSE)="","",VLOOKUP(E:E,'Old Report'!E:J,6,FALSE)),"")</f>
        <v/>
      </c>
      <c r="L62" t="str">
        <f>IFERROR(IF(VLOOKUP(E:E,'Old Report'!E:L,8,FALSE)="","",VLOOKUP(E:E,'Old Report'!E:L,8,FALSE)),"")</f>
        <v/>
      </c>
      <c r="M62" s="5" t="str">
        <f t="shared" si="3"/>
        <v/>
      </c>
      <c r="N62" s="5" t="str">
        <f t="shared" si="4"/>
        <v/>
      </c>
    </row>
    <row r="63" spans="1:14" x14ac:dyDescent="0.25">
      <c r="A63" s="5">
        <v>62</v>
      </c>
      <c r="B63" s="5">
        <f t="shared" si="1"/>
        <v>0</v>
      </c>
      <c r="C63" s="5" t="str">
        <f t="shared" si="0"/>
        <v/>
      </c>
      <c r="D63" s="5" t="str">
        <f>IFERROR(IF(F63&lt;&gt;"",F63,VLOOKUP(MAX(C$2:C63),A$2:F63,2,FALSE)),"")</f>
        <v/>
      </c>
      <c r="E63" s="5" t="str">
        <f t="shared" si="2"/>
        <v/>
      </c>
      <c r="K63" t="str">
        <f>IFERROR(IF(VLOOKUP(E:E,'Old Report'!E:J,6,FALSE)="","",VLOOKUP(E:E,'Old Report'!E:J,6,FALSE)),"")</f>
        <v/>
      </c>
      <c r="L63" t="str">
        <f>IFERROR(IF(VLOOKUP(E:E,'Old Report'!E:L,8,FALSE)="","",VLOOKUP(E:E,'Old Report'!E:L,8,FALSE)),"")</f>
        <v/>
      </c>
      <c r="M63" s="5" t="str">
        <f t="shared" si="3"/>
        <v/>
      </c>
      <c r="N63" s="5" t="str">
        <f t="shared" si="4"/>
        <v/>
      </c>
    </row>
    <row r="64" spans="1:14" x14ac:dyDescent="0.25">
      <c r="A64" s="5">
        <v>63</v>
      </c>
      <c r="B64" s="5">
        <f t="shared" si="1"/>
        <v>0</v>
      </c>
      <c r="C64" s="5" t="str">
        <f t="shared" si="0"/>
        <v/>
      </c>
      <c r="D64" s="5" t="str">
        <f>IFERROR(IF(F64&lt;&gt;"",F64,VLOOKUP(MAX(C$2:C64),A$2:F64,2,FALSE)),"")</f>
        <v/>
      </c>
      <c r="E64" s="5" t="str">
        <f t="shared" si="2"/>
        <v/>
      </c>
      <c r="K64" t="str">
        <f>IFERROR(IF(VLOOKUP(E:E,'Old Report'!E:J,6,FALSE)="","",VLOOKUP(E:E,'Old Report'!E:J,6,FALSE)),"")</f>
        <v/>
      </c>
      <c r="L64" t="str">
        <f>IFERROR(IF(VLOOKUP(E:E,'Old Report'!E:L,8,FALSE)="","",VLOOKUP(E:E,'Old Report'!E:L,8,FALSE)),"")</f>
        <v/>
      </c>
      <c r="M64" s="5" t="str">
        <f t="shared" si="3"/>
        <v/>
      </c>
      <c r="N64" s="5" t="str">
        <f t="shared" si="4"/>
        <v/>
      </c>
    </row>
    <row r="65" spans="1:14" x14ac:dyDescent="0.25">
      <c r="A65" s="5">
        <v>64</v>
      </c>
      <c r="B65" s="5">
        <f t="shared" si="1"/>
        <v>0</v>
      </c>
      <c r="C65" s="5" t="str">
        <f t="shared" si="0"/>
        <v/>
      </c>
      <c r="D65" s="5" t="str">
        <f>IFERROR(IF(F65&lt;&gt;"",F65,VLOOKUP(MAX(C$2:C65),A$2:F65,2,FALSE)),"")</f>
        <v/>
      </c>
      <c r="E65" s="5" t="str">
        <f t="shared" si="2"/>
        <v/>
      </c>
      <c r="K65" t="str">
        <f>IFERROR(IF(VLOOKUP(E:E,'Old Report'!E:J,6,FALSE)="","",VLOOKUP(E:E,'Old Report'!E:J,6,FALSE)),"")</f>
        <v/>
      </c>
      <c r="L65" t="str">
        <f>IFERROR(IF(VLOOKUP(E:E,'Old Report'!E:L,8,FALSE)="","",VLOOKUP(E:E,'Old Report'!E:L,8,FALSE)),"")</f>
        <v/>
      </c>
      <c r="M65" s="5" t="str">
        <f t="shared" si="3"/>
        <v/>
      </c>
      <c r="N65" s="5" t="str">
        <f t="shared" si="4"/>
        <v/>
      </c>
    </row>
    <row r="66" spans="1:14" x14ac:dyDescent="0.25">
      <c r="A66" s="5">
        <v>65</v>
      </c>
      <c r="B66" s="5">
        <f t="shared" si="1"/>
        <v>0</v>
      </c>
      <c r="C66" s="5" t="str">
        <f t="shared" ref="C66:C129" si="5">IF(F66&lt;&gt;"",A66,"")</f>
        <v/>
      </c>
      <c r="D66" s="5" t="str">
        <f>IFERROR(IF(F66&lt;&gt;"",F66,VLOOKUP(MAX(C$2:C66),A$2:F66,2,FALSE)),"")</f>
        <v/>
      </c>
      <c r="E66" s="5" t="str">
        <f t="shared" si="2"/>
        <v/>
      </c>
      <c r="K66" t="str">
        <f>IFERROR(IF(VLOOKUP(E:E,'Old Report'!E:J,6,FALSE)="","",VLOOKUP(E:E,'Old Report'!E:J,6,FALSE)),"")</f>
        <v/>
      </c>
      <c r="L66" t="str">
        <f>IFERROR(IF(VLOOKUP(E:E,'Old Report'!E:L,8,FALSE)="","",VLOOKUP(E:E,'Old Report'!E:L,8,FALSE)),"")</f>
        <v/>
      </c>
      <c r="M66" s="5" t="str">
        <f t="shared" si="3"/>
        <v/>
      </c>
      <c r="N66" s="5" t="str">
        <f t="shared" si="4"/>
        <v/>
      </c>
    </row>
    <row r="67" spans="1:14" x14ac:dyDescent="0.25">
      <c r="A67" s="5">
        <v>66</v>
      </c>
      <c r="B67" s="5">
        <f t="shared" ref="B67:B130" si="6">IF(F68&lt;&gt;"",F68,F67)</f>
        <v>0</v>
      </c>
      <c r="C67" s="5" t="str">
        <f t="shared" si="5"/>
        <v/>
      </c>
      <c r="D67" s="5" t="str">
        <f>IFERROR(IF(F67&lt;&gt;"",F67,VLOOKUP(MAX(C$2:C67),A$2:F67,2,FALSE)),"")</f>
        <v/>
      </c>
      <c r="E67" s="5" t="str">
        <f t="shared" ref="E67:E130" si="7">IF(H67&lt;&gt;"",CONCATENATE(D67,".",H67),"")</f>
        <v/>
      </c>
      <c r="K67" t="str">
        <f>IFERROR(IF(VLOOKUP(E:E,'Old Report'!E:J,6,FALSE)="","",VLOOKUP(E:E,'Old Report'!E:J,6,FALSE)),"")</f>
        <v/>
      </c>
      <c r="L67" t="str">
        <f>IFERROR(IF(VLOOKUP(E:E,'Old Report'!E:L,8,FALSE)="","",VLOOKUP(E:E,'Old Report'!E:L,8,FALSE)),"")</f>
        <v/>
      </c>
      <c r="M67" s="5" t="str">
        <f t="shared" si="3"/>
        <v/>
      </c>
      <c r="N67" s="5" t="str">
        <f t="shared" si="4"/>
        <v/>
      </c>
    </row>
    <row r="68" spans="1:14" x14ac:dyDescent="0.25">
      <c r="A68" s="5">
        <v>67</v>
      </c>
      <c r="B68" s="5">
        <f t="shared" si="6"/>
        <v>0</v>
      </c>
      <c r="C68" s="5" t="str">
        <f t="shared" si="5"/>
        <v/>
      </c>
      <c r="D68" s="5" t="str">
        <f>IFERROR(IF(F68&lt;&gt;"",F68,VLOOKUP(MAX(C$2:C68),A$2:F68,2,FALSE)),"")</f>
        <v/>
      </c>
      <c r="E68" s="5" t="str">
        <f t="shared" si="7"/>
        <v/>
      </c>
      <c r="K68" t="str">
        <f>IFERROR(IF(VLOOKUP(E:E,'Old Report'!E:J,6,FALSE)="","",VLOOKUP(E:E,'Old Report'!E:J,6,FALSE)),"")</f>
        <v/>
      </c>
      <c r="L68" t="str">
        <f>IFERROR(IF(VLOOKUP(E:E,'Old Report'!E:L,8,FALSE)="","",VLOOKUP(E:E,'Old Report'!E:L,8,FALSE)),"")</f>
        <v/>
      </c>
      <c r="M68" s="5" t="str">
        <f t="shared" ref="M68:M131" si="8">IFERROR(L68,"")</f>
        <v/>
      </c>
      <c r="N68" s="5" t="str">
        <f t="shared" ref="N68:N131" si="9">IFERROR( IF(J68&lt;&gt;"",IF(K68 &lt;&gt; "",IF(J68 = K68,"No Change",IF(J68 &lt; K68,CONCATENATE("Issues reduced from ",K68," to ",J68),IF(J68&gt;K68,CONCATENATE("Issues increased from ",K68," to ",J68),""))),"New issue - needs to be checked"),""),"")</f>
        <v/>
      </c>
    </row>
    <row r="69" spans="1:14" x14ac:dyDescent="0.25">
      <c r="A69" s="5">
        <v>68</v>
      </c>
      <c r="B69" s="5">
        <f t="shared" si="6"/>
        <v>0</v>
      </c>
      <c r="C69" s="5" t="str">
        <f t="shared" si="5"/>
        <v/>
      </c>
      <c r="D69" s="5" t="str">
        <f>IFERROR(IF(F69&lt;&gt;"",F69,VLOOKUP(MAX(C$2:C69),A$2:F69,2,FALSE)),"")</f>
        <v/>
      </c>
      <c r="E69" s="5" t="str">
        <f t="shared" si="7"/>
        <v/>
      </c>
      <c r="K69" t="str">
        <f>IFERROR(IF(VLOOKUP(E:E,'Old Report'!E:J,6,FALSE)="","",VLOOKUP(E:E,'Old Report'!E:J,6,FALSE)),"")</f>
        <v/>
      </c>
      <c r="L69" t="str">
        <f>IFERROR(IF(VLOOKUP(E:E,'Old Report'!E:L,8,FALSE)="","",VLOOKUP(E:E,'Old Report'!E:L,8,FALSE)),"")</f>
        <v/>
      </c>
      <c r="M69" s="5" t="str">
        <f t="shared" si="8"/>
        <v/>
      </c>
      <c r="N69" s="5" t="str">
        <f t="shared" si="9"/>
        <v/>
      </c>
    </row>
    <row r="70" spans="1:14" x14ac:dyDescent="0.25">
      <c r="A70" s="5">
        <v>69</v>
      </c>
      <c r="B70" s="5">
        <f t="shared" si="6"/>
        <v>0</v>
      </c>
      <c r="C70" s="5" t="str">
        <f t="shared" si="5"/>
        <v/>
      </c>
      <c r="D70" s="5" t="str">
        <f>IFERROR(IF(F70&lt;&gt;"",F70,VLOOKUP(MAX(C$2:C70),A$2:F70,2,FALSE)),"")</f>
        <v/>
      </c>
      <c r="E70" s="5" t="str">
        <f t="shared" si="7"/>
        <v/>
      </c>
      <c r="K70" t="str">
        <f>IFERROR(IF(VLOOKUP(E:E,'Old Report'!E:J,6,FALSE)="","",VLOOKUP(E:E,'Old Report'!E:J,6,FALSE)),"")</f>
        <v/>
      </c>
      <c r="L70" t="str">
        <f>IFERROR(IF(VLOOKUP(E:E,'Old Report'!E:L,8,FALSE)="","",VLOOKUP(E:E,'Old Report'!E:L,8,FALSE)),"")</f>
        <v/>
      </c>
      <c r="M70" s="5" t="str">
        <f t="shared" si="8"/>
        <v/>
      </c>
      <c r="N70" s="5" t="str">
        <f t="shared" si="9"/>
        <v/>
      </c>
    </row>
    <row r="71" spans="1:14" x14ac:dyDescent="0.25">
      <c r="A71" s="5">
        <v>70</v>
      </c>
      <c r="B71" s="5">
        <f t="shared" si="6"/>
        <v>0</v>
      </c>
      <c r="C71" s="5" t="str">
        <f t="shared" si="5"/>
        <v/>
      </c>
      <c r="D71" s="5" t="str">
        <f>IFERROR(IF(F71&lt;&gt;"",F71,VLOOKUP(MAX(C$2:C71),A$2:F71,2,FALSE)),"")</f>
        <v/>
      </c>
      <c r="E71" s="5" t="str">
        <f t="shared" si="7"/>
        <v/>
      </c>
      <c r="K71" t="str">
        <f>IFERROR(IF(VLOOKUP(E:E,'Old Report'!E:J,6,FALSE)="","",VLOOKUP(E:E,'Old Report'!E:J,6,FALSE)),"")</f>
        <v/>
      </c>
      <c r="L71" t="str">
        <f>IFERROR(IF(VLOOKUP(E:E,'Old Report'!E:L,8,FALSE)="","",VLOOKUP(E:E,'Old Report'!E:L,8,FALSE)),"")</f>
        <v/>
      </c>
      <c r="M71" s="5" t="str">
        <f t="shared" si="8"/>
        <v/>
      </c>
      <c r="N71" s="5" t="str">
        <f t="shared" si="9"/>
        <v/>
      </c>
    </row>
    <row r="72" spans="1:14" x14ac:dyDescent="0.25">
      <c r="A72" s="5">
        <v>71</v>
      </c>
      <c r="B72" s="5">
        <f t="shared" si="6"/>
        <v>0</v>
      </c>
      <c r="C72" s="5" t="str">
        <f t="shared" si="5"/>
        <v/>
      </c>
      <c r="D72" s="5" t="str">
        <f>IFERROR(IF(F72&lt;&gt;"",F72,VLOOKUP(MAX(C$2:C72),A$2:F72,2,FALSE)),"")</f>
        <v/>
      </c>
      <c r="E72" s="5" t="str">
        <f t="shared" si="7"/>
        <v/>
      </c>
      <c r="K72" t="str">
        <f>IFERROR(IF(VLOOKUP(E:E,'Old Report'!E:J,6,FALSE)="","",VLOOKUP(E:E,'Old Report'!E:J,6,FALSE)),"")</f>
        <v/>
      </c>
      <c r="L72" t="str">
        <f>IFERROR(IF(VLOOKUP(E:E,'Old Report'!E:L,8,FALSE)="","",VLOOKUP(E:E,'Old Report'!E:L,8,FALSE)),"")</f>
        <v/>
      </c>
      <c r="M72" s="5" t="str">
        <f t="shared" si="8"/>
        <v/>
      </c>
      <c r="N72" s="5" t="str">
        <f t="shared" si="9"/>
        <v/>
      </c>
    </row>
    <row r="73" spans="1:14" x14ac:dyDescent="0.25">
      <c r="A73" s="5">
        <v>72</v>
      </c>
      <c r="B73" s="5">
        <f t="shared" si="6"/>
        <v>0</v>
      </c>
      <c r="C73" s="5" t="str">
        <f t="shared" si="5"/>
        <v/>
      </c>
      <c r="D73" s="5" t="str">
        <f>IFERROR(IF(F73&lt;&gt;"",F73,VLOOKUP(MAX(C$2:C73),A$2:F73,2,FALSE)),"")</f>
        <v/>
      </c>
      <c r="E73" s="5" t="str">
        <f t="shared" si="7"/>
        <v/>
      </c>
      <c r="K73" t="str">
        <f>IFERROR(IF(VLOOKUP(E:E,'Old Report'!E:J,6,FALSE)="","",VLOOKUP(E:E,'Old Report'!E:J,6,FALSE)),"")</f>
        <v/>
      </c>
      <c r="L73" t="str">
        <f>IFERROR(IF(VLOOKUP(E:E,'Old Report'!E:L,8,FALSE)="","",VLOOKUP(E:E,'Old Report'!E:L,8,FALSE)),"")</f>
        <v/>
      </c>
      <c r="M73" s="5" t="str">
        <f t="shared" si="8"/>
        <v/>
      </c>
      <c r="N73" s="5" t="str">
        <f t="shared" si="9"/>
        <v/>
      </c>
    </row>
    <row r="74" spans="1:14" x14ac:dyDescent="0.25">
      <c r="A74" s="5">
        <v>73</v>
      </c>
      <c r="B74" s="5">
        <f t="shared" si="6"/>
        <v>0</v>
      </c>
      <c r="C74" s="5" t="str">
        <f t="shared" si="5"/>
        <v/>
      </c>
      <c r="D74" s="5" t="str">
        <f>IFERROR(IF(F74&lt;&gt;"",F74,VLOOKUP(MAX(C$2:C74),A$2:F74,2,FALSE)),"")</f>
        <v/>
      </c>
      <c r="E74" s="5" t="str">
        <f t="shared" si="7"/>
        <v/>
      </c>
      <c r="K74" t="str">
        <f>IFERROR(IF(VLOOKUP(E:E,'Old Report'!E:J,6,FALSE)="","",VLOOKUP(E:E,'Old Report'!E:J,6,FALSE)),"")</f>
        <v/>
      </c>
      <c r="L74" t="str">
        <f>IFERROR(IF(VLOOKUP(E:E,'Old Report'!E:L,8,FALSE)="","",VLOOKUP(E:E,'Old Report'!E:L,8,FALSE)),"")</f>
        <v/>
      </c>
      <c r="M74" s="5" t="str">
        <f t="shared" si="8"/>
        <v/>
      </c>
      <c r="N74" s="5" t="str">
        <f t="shared" si="9"/>
        <v/>
      </c>
    </row>
    <row r="75" spans="1:14" x14ac:dyDescent="0.25">
      <c r="A75" s="5">
        <v>74</v>
      </c>
      <c r="B75" s="5">
        <f t="shared" si="6"/>
        <v>0</v>
      </c>
      <c r="C75" s="5" t="str">
        <f t="shared" si="5"/>
        <v/>
      </c>
      <c r="D75" s="5" t="str">
        <f>IFERROR(IF(F75&lt;&gt;"",F75,VLOOKUP(MAX(C$2:C75),A$2:F75,2,FALSE)),"")</f>
        <v/>
      </c>
      <c r="E75" s="5" t="str">
        <f t="shared" si="7"/>
        <v/>
      </c>
      <c r="K75" t="str">
        <f>IFERROR(IF(VLOOKUP(E:E,'Old Report'!E:J,6,FALSE)="","",VLOOKUP(E:E,'Old Report'!E:J,6,FALSE)),"")</f>
        <v/>
      </c>
      <c r="L75" t="str">
        <f>IFERROR(IF(VLOOKUP(E:E,'Old Report'!E:L,8,FALSE)="","",VLOOKUP(E:E,'Old Report'!E:L,8,FALSE)),"")</f>
        <v/>
      </c>
      <c r="M75" s="5" t="str">
        <f t="shared" si="8"/>
        <v/>
      </c>
      <c r="N75" s="5" t="str">
        <f t="shared" si="9"/>
        <v/>
      </c>
    </row>
    <row r="76" spans="1:14" x14ac:dyDescent="0.25">
      <c r="A76" s="5">
        <v>75</v>
      </c>
      <c r="B76" s="5">
        <f t="shared" si="6"/>
        <v>0</v>
      </c>
      <c r="C76" s="5" t="str">
        <f t="shared" si="5"/>
        <v/>
      </c>
      <c r="D76" s="5" t="str">
        <f>IFERROR(IF(F76&lt;&gt;"",F76,VLOOKUP(MAX(C$2:C76),A$2:F76,2,FALSE)),"")</f>
        <v/>
      </c>
      <c r="E76" s="5" t="str">
        <f t="shared" si="7"/>
        <v/>
      </c>
      <c r="K76" t="str">
        <f>IFERROR(IF(VLOOKUP(E:E,'Old Report'!E:J,6,FALSE)="","",VLOOKUP(E:E,'Old Report'!E:J,6,FALSE)),"")</f>
        <v/>
      </c>
      <c r="L76" t="str">
        <f>IFERROR(IF(VLOOKUP(E:E,'Old Report'!E:L,8,FALSE)="","",VLOOKUP(E:E,'Old Report'!E:L,8,FALSE)),"")</f>
        <v/>
      </c>
      <c r="M76" s="5" t="str">
        <f t="shared" si="8"/>
        <v/>
      </c>
      <c r="N76" s="5" t="str">
        <f t="shared" si="9"/>
        <v/>
      </c>
    </row>
    <row r="77" spans="1:14" x14ac:dyDescent="0.25">
      <c r="A77" s="5">
        <v>76</v>
      </c>
      <c r="B77" s="5">
        <f t="shared" si="6"/>
        <v>0</v>
      </c>
      <c r="C77" s="5" t="str">
        <f t="shared" si="5"/>
        <v/>
      </c>
      <c r="D77" s="5" t="str">
        <f>IFERROR(IF(F77&lt;&gt;"",F77,VLOOKUP(MAX(C$2:C77),A$2:F77,2,FALSE)),"")</f>
        <v/>
      </c>
      <c r="E77" s="5" t="str">
        <f t="shared" si="7"/>
        <v/>
      </c>
      <c r="K77" t="str">
        <f>IFERROR(IF(VLOOKUP(E:E,'Old Report'!E:J,6,FALSE)="","",VLOOKUP(E:E,'Old Report'!E:J,6,FALSE)),"")</f>
        <v/>
      </c>
      <c r="L77" t="str">
        <f>IFERROR(IF(VLOOKUP(E:E,'Old Report'!E:L,8,FALSE)="","",VLOOKUP(E:E,'Old Report'!E:L,8,FALSE)),"")</f>
        <v/>
      </c>
      <c r="M77" s="5" t="str">
        <f t="shared" si="8"/>
        <v/>
      </c>
      <c r="N77" s="5" t="str">
        <f t="shared" si="9"/>
        <v/>
      </c>
    </row>
    <row r="78" spans="1:14" x14ac:dyDescent="0.25">
      <c r="A78" s="5">
        <v>77</v>
      </c>
      <c r="B78" s="5">
        <f t="shared" si="6"/>
        <v>0</v>
      </c>
      <c r="C78" s="5" t="str">
        <f t="shared" si="5"/>
        <v/>
      </c>
      <c r="D78" s="5" t="str">
        <f>IFERROR(IF(F78&lt;&gt;"",F78,VLOOKUP(MAX(C$2:C78),A$2:F78,2,FALSE)),"")</f>
        <v/>
      </c>
      <c r="E78" s="5" t="str">
        <f t="shared" si="7"/>
        <v/>
      </c>
      <c r="K78" t="str">
        <f>IFERROR(IF(VLOOKUP(E:E,'Old Report'!E:J,6,FALSE)="","",VLOOKUP(E:E,'Old Report'!E:J,6,FALSE)),"")</f>
        <v/>
      </c>
      <c r="L78" t="str">
        <f>IFERROR(IF(VLOOKUP(E:E,'Old Report'!E:L,8,FALSE)="","",VLOOKUP(E:E,'Old Report'!E:L,8,FALSE)),"")</f>
        <v/>
      </c>
      <c r="M78" s="5" t="str">
        <f t="shared" si="8"/>
        <v/>
      </c>
      <c r="N78" s="5" t="str">
        <f t="shared" si="9"/>
        <v/>
      </c>
    </row>
    <row r="79" spans="1:14" x14ac:dyDescent="0.25">
      <c r="A79" s="5">
        <v>78</v>
      </c>
      <c r="B79" s="5">
        <f t="shared" si="6"/>
        <v>0</v>
      </c>
      <c r="C79" s="5" t="str">
        <f t="shared" si="5"/>
        <v/>
      </c>
      <c r="D79" s="5" t="str">
        <f>IFERROR(IF(F79&lt;&gt;"",F79,VLOOKUP(MAX(C$2:C79),A$2:F79,2,FALSE)),"")</f>
        <v/>
      </c>
      <c r="E79" s="5" t="str">
        <f t="shared" si="7"/>
        <v/>
      </c>
      <c r="K79" t="str">
        <f>IFERROR(IF(VLOOKUP(E:E,'Old Report'!E:J,6,FALSE)="","",VLOOKUP(E:E,'Old Report'!E:J,6,FALSE)),"")</f>
        <v/>
      </c>
      <c r="L79" t="str">
        <f>IFERROR(IF(VLOOKUP(E:E,'Old Report'!E:L,8,FALSE)="","",VLOOKUP(E:E,'Old Report'!E:L,8,FALSE)),"")</f>
        <v/>
      </c>
      <c r="M79" s="5" t="str">
        <f t="shared" si="8"/>
        <v/>
      </c>
      <c r="N79" s="5" t="str">
        <f t="shared" si="9"/>
        <v/>
      </c>
    </row>
    <row r="80" spans="1:14" x14ac:dyDescent="0.25">
      <c r="A80" s="5">
        <v>79</v>
      </c>
      <c r="B80" s="5">
        <f t="shared" si="6"/>
        <v>0</v>
      </c>
      <c r="C80" s="5" t="str">
        <f t="shared" si="5"/>
        <v/>
      </c>
      <c r="D80" s="5" t="str">
        <f>IFERROR(IF(F80&lt;&gt;"",F80,VLOOKUP(MAX(C$2:C80),A$2:F80,2,FALSE)),"")</f>
        <v/>
      </c>
      <c r="E80" s="5" t="str">
        <f t="shared" si="7"/>
        <v/>
      </c>
      <c r="K80" t="str">
        <f>IFERROR(IF(VLOOKUP(E:E,'Old Report'!E:J,6,FALSE)="","",VLOOKUP(E:E,'Old Report'!E:J,6,FALSE)),"")</f>
        <v/>
      </c>
      <c r="L80" t="str">
        <f>IFERROR(IF(VLOOKUP(E:E,'Old Report'!E:L,8,FALSE)="","",VLOOKUP(E:E,'Old Report'!E:L,8,FALSE)),"")</f>
        <v/>
      </c>
      <c r="M80" s="5" t="str">
        <f t="shared" si="8"/>
        <v/>
      </c>
      <c r="N80" s="5" t="str">
        <f t="shared" si="9"/>
        <v/>
      </c>
    </row>
    <row r="81" spans="1:14" x14ac:dyDescent="0.25">
      <c r="A81" s="5">
        <v>80</v>
      </c>
      <c r="B81" s="5">
        <f t="shared" si="6"/>
        <v>0</v>
      </c>
      <c r="C81" s="5" t="str">
        <f t="shared" si="5"/>
        <v/>
      </c>
      <c r="D81" s="5" t="str">
        <f>IFERROR(IF(F81&lt;&gt;"",F81,VLOOKUP(MAX(C$2:C81),A$2:F81,2,FALSE)),"")</f>
        <v/>
      </c>
      <c r="E81" s="5" t="str">
        <f t="shared" si="7"/>
        <v/>
      </c>
      <c r="K81" t="str">
        <f>IFERROR(IF(VLOOKUP(E:E,'Old Report'!E:J,6,FALSE)="","",VLOOKUP(E:E,'Old Report'!E:J,6,FALSE)),"")</f>
        <v/>
      </c>
      <c r="L81" t="str">
        <f>IFERROR(IF(VLOOKUP(E:E,'Old Report'!E:L,8,FALSE)="","",VLOOKUP(E:E,'Old Report'!E:L,8,FALSE)),"")</f>
        <v/>
      </c>
      <c r="M81" s="5" t="str">
        <f t="shared" si="8"/>
        <v/>
      </c>
      <c r="N81" s="5" t="str">
        <f t="shared" si="9"/>
        <v/>
      </c>
    </row>
    <row r="82" spans="1:14" x14ac:dyDescent="0.25">
      <c r="A82" s="5">
        <v>81</v>
      </c>
      <c r="B82" s="5">
        <f t="shared" si="6"/>
        <v>0</v>
      </c>
      <c r="C82" s="5" t="str">
        <f t="shared" si="5"/>
        <v/>
      </c>
      <c r="D82" s="5" t="str">
        <f>IFERROR(IF(F82&lt;&gt;"",F82,VLOOKUP(MAX(C$2:C82),A$2:F82,2,FALSE)),"")</f>
        <v/>
      </c>
      <c r="E82" s="5" t="str">
        <f t="shared" si="7"/>
        <v/>
      </c>
      <c r="K82" t="str">
        <f>IFERROR(IF(VLOOKUP(E:E,'Old Report'!E:J,6,FALSE)="","",VLOOKUP(E:E,'Old Report'!E:J,6,FALSE)),"")</f>
        <v/>
      </c>
      <c r="L82" t="str">
        <f>IFERROR(IF(VLOOKUP(E:E,'Old Report'!E:L,8,FALSE)="","",VLOOKUP(E:E,'Old Report'!E:L,8,FALSE)),"")</f>
        <v/>
      </c>
      <c r="M82" s="5" t="str">
        <f t="shared" si="8"/>
        <v/>
      </c>
      <c r="N82" s="5" t="str">
        <f t="shared" si="9"/>
        <v/>
      </c>
    </row>
    <row r="83" spans="1:14" x14ac:dyDescent="0.25">
      <c r="A83" s="5">
        <v>82</v>
      </c>
      <c r="B83" s="5">
        <f t="shared" si="6"/>
        <v>0</v>
      </c>
      <c r="C83" s="5" t="str">
        <f t="shared" si="5"/>
        <v/>
      </c>
      <c r="D83" s="5" t="str">
        <f>IFERROR(IF(F83&lt;&gt;"",F83,VLOOKUP(MAX(C$2:C83),A$2:F83,2,FALSE)),"")</f>
        <v/>
      </c>
      <c r="E83" s="5" t="str">
        <f t="shared" si="7"/>
        <v/>
      </c>
      <c r="K83" t="str">
        <f>IFERROR(IF(VLOOKUP(E:E,'Old Report'!E:J,6,FALSE)="","",VLOOKUP(E:E,'Old Report'!E:J,6,FALSE)),"")</f>
        <v/>
      </c>
      <c r="L83" t="str">
        <f>IFERROR(IF(VLOOKUP(E:E,'Old Report'!E:L,8,FALSE)="","",VLOOKUP(E:E,'Old Report'!E:L,8,FALSE)),"")</f>
        <v/>
      </c>
      <c r="M83" s="5" t="str">
        <f t="shared" si="8"/>
        <v/>
      </c>
      <c r="N83" s="5" t="str">
        <f t="shared" si="9"/>
        <v/>
      </c>
    </row>
    <row r="84" spans="1:14" x14ac:dyDescent="0.25">
      <c r="A84" s="5">
        <v>83</v>
      </c>
      <c r="B84" s="5">
        <f t="shared" si="6"/>
        <v>0</v>
      </c>
      <c r="C84" s="5" t="str">
        <f t="shared" si="5"/>
        <v/>
      </c>
      <c r="D84" s="5" t="str">
        <f>IFERROR(IF(F84&lt;&gt;"",F84,VLOOKUP(MAX(C$2:C84),A$2:F84,2,FALSE)),"")</f>
        <v/>
      </c>
      <c r="E84" s="5" t="str">
        <f t="shared" si="7"/>
        <v/>
      </c>
      <c r="K84" t="str">
        <f>IFERROR(IF(VLOOKUP(E:E,'Old Report'!E:J,6,FALSE)="","",VLOOKUP(E:E,'Old Report'!E:J,6,FALSE)),"")</f>
        <v/>
      </c>
      <c r="L84" t="str">
        <f>IFERROR(IF(VLOOKUP(E:E,'Old Report'!E:L,8,FALSE)="","",VLOOKUP(E:E,'Old Report'!E:L,8,FALSE)),"")</f>
        <v/>
      </c>
      <c r="M84" s="5" t="str">
        <f t="shared" si="8"/>
        <v/>
      </c>
      <c r="N84" s="5" t="str">
        <f t="shared" si="9"/>
        <v/>
      </c>
    </row>
    <row r="85" spans="1:14" x14ac:dyDescent="0.25">
      <c r="A85" s="5">
        <v>84</v>
      </c>
      <c r="B85" s="5">
        <f t="shared" si="6"/>
        <v>0</v>
      </c>
      <c r="C85" s="5" t="str">
        <f t="shared" si="5"/>
        <v/>
      </c>
      <c r="D85" s="5" t="str">
        <f>IFERROR(IF(F85&lt;&gt;"",F85,VLOOKUP(MAX(C$2:C85),A$2:F85,2,FALSE)),"")</f>
        <v/>
      </c>
      <c r="E85" s="5" t="str">
        <f t="shared" si="7"/>
        <v/>
      </c>
      <c r="K85" t="str">
        <f>IFERROR(IF(VLOOKUP(E:E,'Old Report'!E:J,6,FALSE)="","",VLOOKUP(E:E,'Old Report'!E:J,6,FALSE)),"")</f>
        <v/>
      </c>
      <c r="L85" t="str">
        <f>IFERROR(IF(VLOOKUP(E:E,'Old Report'!E:L,8,FALSE)="","",VLOOKUP(E:E,'Old Report'!E:L,8,FALSE)),"")</f>
        <v/>
      </c>
      <c r="M85" s="5" t="str">
        <f t="shared" si="8"/>
        <v/>
      </c>
      <c r="N85" s="5" t="str">
        <f t="shared" si="9"/>
        <v/>
      </c>
    </row>
    <row r="86" spans="1:14" x14ac:dyDescent="0.25">
      <c r="A86" s="5">
        <v>85</v>
      </c>
      <c r="B86" s="5">
        <f t="shared" si="6"/>
        <v>0</v>
      </c>
      <c r="C86" s="5" t="str">
        <f t="shared" si="5"/>
        <v/>
      </c>
      <c r="D86" s="5" t="str">
        <f>IFERROR(IF(F86&lt;&gt;"",F86,VLOOKUP(MAX(C$2:C86),A$2:F86,2,FALSE)),"")</f>
        <v/>
      </c>
      <c r="E86" s="5" t="str">
        <f t="shared" si="7"/>
        <v/>
      </c>
      <c r="K86" t="str">
        <f>IFERROR(IF(VLOOKUP(E:E,'Old Report'!E:J,6,FALSE)="","",VLOOKUP(E:E,'Old Report'!E:J,6,FALSE)),"")</f>
        <v/>
      </c>
      <c r="L86" t="str">
        <f>IFERROR(IF(VLOOKUP(E:E,'Old Report'!E:L,8,FALSE)="","",VLOOKUP(E:E,'Old Report'!E:L,8,FALSE)),"")</f>
        <v/>
      </c>
      <c r="M86" s="5" t="str">
        <f t="shared" si="8"/>
        <v/>
      </c>
      <c r="N86" s="5" t="str">
        <f t="shared" si="9"/>
        <v/>
      </c>
    </row>
    <row r="87" spans="1:14" x14ac:dyDescent="0.25">
      <c r="A87" s="5">
        <v>86</v>
      </c>
      <c r="B87" s="5">
        <f t="shared" si="6"/>
        <v>0</v>
      </c>
      <c r="C87" s="5" t="str">
        <f t="shared" si="5"/>
        <v/>
      </c>
      <c r="D87" s="5" t="str">
        <f>IFERROR(IF(F87&lt;&gt;"",F87,VLOOKUP(MAX(C$2:C87),A$2:F87,2,FALSE)),"")</f>
        <v/>
      </c>
      <c r="E87" s="5" t="str">
        <f t="shared" si="7"/>
        <v/>
      </c>
      <c r="K87" t="str">
        <f>IFERROR(IF(VLOOKUP(E:E,'Old Report'!E:J,6,FALSE)="","",VLOOKUP(E:E,'Old Report'!E:J,6,FALSE)),"")</f>
        <v/>
      </c>
      <c r="L87" t="str">
        <f>IFERROR(IF(VLOOKUP(E:E,'Old Report'!E:L,8,FALSE)="","",VLOOKUP(E:E,'Old Report'!E:L,8,FALSE)),"")</f>
        <v/>
      </c>
      <c r="M87" s="5" t="str">
        <f t="shared" si="8"/>
        <v/>
      </c>
      <c r="N87" s="5" t="str">
        <f t="shared" si="9"/>
        <v/>
      </c>
    </row>
    <row r="88" spans="1:14" x14ac:dyDescent="0.25">
      <c r="A88" s="5">
        <v>87</v>
      </c>
      <c r="B88" s="5">
        <f t="shared" si="6"/>
        <v>0</v>
      </c>
      <c r="C88" s="5" t="str">
        <f t="shared" si="5"/>
        <v/>
      </c>
      <c r="D88" s="5" t="str">
        <f>IFERROR(IF(F88&lt;&gt;"",F88,VLOOKUP(MAX(C$2:C88),A$2:F88,2,FALSE)),"")</f>
        <v/>
      </c>
      <c r="E88" s="5" t="str">
        <f t="shared" si="7"/>
        <v/>
      </c>
      <c r="K88" t="str">
        <f>IFERROR(IF(VLOOKUP(E:E,'Old Report'!E:J,6,FALSE)="","",VLOOKUP(E:E,'Old Report'!E:J,6,FALSE)),"")</f>
        <v/>
      </c>
      <c r="L88" t="str">
        <f>IFERROR(IF(VLOOKUP(E:E,'Old Report'!E:L,8,FALSE)="","",VLOOKUP(E:E,'Old Report'!E:L,8,FALSE)),"")</f>
        <v/>
      </c>
      <c r="M88" s="5" t="str">
        <f t="shared" si="8"/>
        <v/>
      </c>
      <c r="N88" s="5" t="str">
        <f t="shared" si="9"/>
        <v/>
      </c>
    </row>
    <row r="89" spans="1:14" x14ac:dyDescent="0.25">
      <c r="A89" s="5">
        <v>88</v>
      </c>
      <c r="B89" s="5">
        <f t="shared" si="6"/>
        <v>0</v>
      </c>
      <c r="C89" s="5" t="str">
        <f t="shared" si="5"/>
        <v/>
      </c>
      <c r="D89" s="5" t="str">
        <f>IFERROR(IF(F89&lt;&gt;"",F89,VLOOKUP(MAX(C$2:C89),A$2:F89,2,FALSE)),"")</f>
        <v/>
      </c>
      <c r="E89" s="5" t="str">
        <f t="shared" si="7"/>
        <v/>
      </c>
      <c r="K89" t="str">
        <f>IFERROR(IF(VLOOKUP(E:E,'Old Report'!E:J,6,FALSE)="","",VLOOKUP(E:E,'Old Report'!E:J,6,FALSE)),"")</f>
        <v/>
      </c>
      <c r="L89" t="str">
        <f>IFERROR(IF(VLOOKUP(E:E,'Old Report'!E:L,8,FALSE)="","",VLOOKUP(E:E,'Old Report'!E:L,8,FALSE)),"")</f>
        <v/>
      </c>
      <c r="M89" s="5" t="str">
        <f t="shared" si="8"/>
        <v/>
      </c>
      <c r="N89" s="5" t="str">
        <f t="shared" si="9"/>
        <v/>
      </c>
    </row>
    <row r="90" spans="1:14" x14ac:dyDescent="0.25">
      <c r="A90" s="5">
        <v>89</v>
      </c>
      <c r="B90" s="5">
        <f t="shared" si="6"/>
        <v>0</v>
      </c>
      <c r="C90" s="5" t="str">
        <f t="shared" si="5"/>
        <v/>
      </c>
      <c r="D90" s="5" t="str">
        <f>IFERROR(IF(F90&lt;&gt;"",F90,VLOOKUP(MAX(C$2:C90),A$2:F90,2,FALSE)),"")</f>
        <v/>
      </c>
      <c r="E90" s="5" t="str">
        <f t="shared" si="7"/>
        <v/>
      </c>
      <c r="K90" t="str">
        <f>IFERROR(IF(VLOOKUP(E:E,'Old Report'!E:J,6,FALSE)="","",VLOOKUP(E:E,'Old Report'!E:J,6,FALSE)),"")</f>
        <v/>
      </c>
      <c r="L90" t="str">
        <f>IFERROR(IF(VLOOKUP(E:E,'Old Report'!E:L,8,FALSE)="","",VLOOKUP(E:E,'Old Report'!E:L,8,FALSE)),"")</f>
        <v/>
      </c>
      <c r="M90" s="5" t="str">
        <f t="shared" si="8"/>
        <v/>
      </c>
      <c r="N90" s="5" t="str">
        <f t="shared" si="9"/>
        <v/>
      </c>
    </row>
    <row r="91" spans="1:14" x14ac:dyDescent="0.25">
      <c r="A91" s="5">
        <v>90</v>
      </c>
      <c r="B91" s="5">
        <f t="shared" si="6"/>
        <v>0</v>
      </c>
      <c r="C91" s="5" t="str">
        <f t="shared" si="5"/>
        <v/>
      </c>
      <c r="D91" s="5" t="str">
        <f>IFERROR(IF(F91&lt;&gt;"",F91,VLOOKUP(MAX(C$2:C91),A$2:F91,2,FALSE)),"")</f>
        <v/>
      </c>
      <c r="E91" s="5" t="str">
        <f t="shared" si="7"/>
        <v/>
      </c>
      <c r="K91" t="str">
        <f>IFERROR(IF(VLOOKUP(E:E,'Old Report'!E:J,6,FALSE)="","",VLOOKUP(E:E,'Old Report'!E:J,6,FALSE)),"")</f>
        <v/>
      </c>
      <c r="L91" t="str">
        <f>IFERROR(IF(VLOOKUP(E:E,'Old Report'!E:L,8,FALSE)="","",VLOOKUP(E:E,'Old Report'!E:L,8,FALSE)),"")</f>
        <v/>
      </c>
      <c r="M91" s="5" t="str">
        <f t="shared" si="8"/>
        <v/>
      </c>
      <c r="N91" s="5" t="str">
        <f t="shared" si="9"/>
        <v/>
      </c>
    </row>
    <row r="92" spans="1:14" x14ac:dyDescent="0.25">
      <c r="A92" s="5">
        <v>91</v>
      </c>
      <c r="B92" s="5">
        <f t="shared" si="6"/>
        <v>0</v>
      </c>
      <c r="C92" s="5" t="str">
        <f t="shared" si="5"/>
        <v/>
      </c>
      <c r="D92" s="5" t="str">
        <f>IFERROR(IF(F92&lt;&gt;"",F92,VLOOKUP(MAX(C$2:C92),A$2:F92,2,FALSE)),"")</f>
        <v/>
      </c>
      <c r="E92" s="5" t="str">
        <f t="shared" si="7"/>
        <v/>
      </c>
      <c r="K92" t="str">
        <f>IFERROR(IF(VLOOKUP(E:E,'Old Report'!E:J,6,FALSE)="","",VLOOKUP(E:E,'Old Report'!E:J,6,FALSE)),"")</f>
        <v/>
      </c>
      <c r="L92" t="str">
        <f>IFERROR(IF(VLOOKUP(E:E,'Old Report'!E:L,8,FALSE)="","",VLOOKUP(E:E,'Old Report'!E:L,8,FALSE)),"")</f>
        <v/>
      </c>
      <c r="M92" s="5" t="str">
        <f t="shared" si="8"/>
        <v/>
      </c>
      <c r="N92" s="5" t="str">
        <f t="shared" si="9"/>
        <v/>
      </c>
    </row>
    <row r="93" spans="1:14" x14ac:dyDescent="0.25">
      <c r="A93" s="5">
        <v>92</v>
      </c>
      <c r="B93" s="5">
        <f t="shared" si="6"/>
        <v>0</v>
      </c>
      <c r="C93" s="5" t="str">
        <f t="shared" si="5"/>
        <v/>
      </c>
      <c r="D93" s="5" t="str">
        <f>IFERROR(IF(F93&lt;&gt;"",F93,VLOOKUP(MAX(C$2:C93),A$2:F93,2,FALSE)),"")</f>
        <v/>
      </c>
      <c r="E93" s="5" t="str">
        <f t="shared" si="7"/>
        <v/>
      </c>
      <c r="K93" t="str">
        <f>IFERROR(IF(VLOOKUP(E:E,'Old Report'!E:J,6,FALSE)="","",VLOOKUP(E:E,'Old Report'!E:J,6,FALSE)),"")</f>
        <v/>
      </c>
      <c r="L93" t="str">
        <f>IFERROR(IF(VLOOKUP(E:E,'Old Report'!E:L,8,FALSE)="","",VLOOKUP(E:E,'Old Report'!E:L,8,FALSE)),"")</f>
        <v/>
      </c>
      <c r="M93" s="5" t="str">
        <f t="shared" si="8"/>
        <v/>
      </c>
      <c r="N93" s="5" t="str">
        <f t="shared" si="9"/>
        <v/>
      </c>
    </row>
    <row r="94" spans="1:14" x14ac:dyDescent="0.25">
      <c r="A94" s="5">
        <v>93</v>
      </c>
      <c r="B94" s="5">
        <f t="shared" si="6"/>
        <v>0</v>
      </c>
      <c r="C94" s="5" t="str">
        <f t="shared" si="5"/>
        <v/>
      </c>
      <c r="D94" s="5" t="str">
        <f>IFERROR(IF(F94&lt;&gt;"",F94,VLOOKUP(MAX(C$2:C94),A$2:F94,2,FALSE)),"")</f>
        <v/>
      </c>
      <c r="E94" s="5" t="str">
        <f t="shared" si="7"/>
        <v/>
      </c>
      <c r="K94" t="str">
        <f>IFERROR(IF(VLOOKUP(E:E,'Old Report'!E:J,6,FALSE)="","",VLOOKUP(E:E,'Old Report'!E:J,6,FALSE)),"")</f>
        <v/>
      </c>
      <c r="L94" t="str">
        <f>IFERROR(IF(VLOOKUP(E:E,'Old Report'!E:L,8,FALSE)="","",VLOOKUP(E:E,'Old Report'!E:L,8,FALSE)),"")</f>
        <v/>
      </c>
      <c r="M94" s="5" t="str">
        <f t="shared" si="8"/>
        <v/>
      </c>
      <c r="N94" s="5" t="str">
        <f t="shared" si="9"/>
        <v/>
      </c>
    </row>
    <row r="95" spans="1:14" x14ac:dyDescent="0.25">
      <c r="A95" s="5">
        <v>94</v>
      </c>
      <c r="B95" s="5">
        <f t="shared" si="6"/>
        <v>0</v>
      </c>
      <c r="C95" s="5" t="str">
        <f t="shared" si="5"/>
        <v/>
      </c>
      <c r="D95" s="5" t="str">
        <f>IFERROR(IF(F95&lt;&gt;"",F95,VLOOKUP(MAX(C$2:C95),A$2:F95,2,FALSE)),"")</f>
        <v/>
      </c>
      <c r="E95" s="5" t="str">
        <f t="shared" si="7"/>
        <v/>
      </c>
      <c r="K95" t="str">
        <f>IFERROR(IF(VLOOKUP(E:E,'Old Report'!E:J,6,FALSE)="","",VLOOKUP(E:E,'Old Report'!E:J,6,FALSE)),"")</f>
        <v/>
      </c>
      <c r="L95" t="str">
        <f>IFERROR(IF(VLOOKUP(E:E,'Old Report'!E:L,8,FALSE)="","",VLOOKUP(E:E,'Old Report'!E:L,8,FALSE)),"")</f>
        <v/>
      </c>
      <c r="M95" s="5" t="str">
        <f t="shared" si="8"/>
        <v/>
      </c>
      <c r="N95" s="5" t="str">
        <f t="shared" si="9"/>
        <v/>
      </c>
    </row>
    <row r="96" spans="1:14" x14ac:dyDescent="0.25">
      <c r="A96" s="5">
        <v>95</v>
      </c>
      <c r="B96" s="5">
        <f t="shared" si="6"/>
        <v>0</v>
      </c>
      <c r="C96" s="5" t="str">
        <f t="shared" si="5"/>
        <v/>
      </c>
      <c r="D96" s="5" t="str">
        <f>IFERROR(IF(F96&lt;&gt;"",F96,VLOOKUP(MAX(C$2:C96),A$2:F96,2,FALSE)),"")</f>
        <v/>
      </c>
      <c r="E96" s="5" t="str">
        <f t="shared" si="7"/>
        <v/>
      </c>
      <c r="K96" t="str">
        <f>IFERROR(IF(VLOOKUP(E:E,'Old Report'!E:J,6,FALSE)="","",VLOOKUP(E:E,'Old Report'!E:J,6,FALSE)),"")</f>
        <v/>
      </c>
      <c r="L96" t="str">
        <f>IFERROR(IF(VLOOKUP(E:E,'Old Report'!E:L,8,FALSE)="","",VLOOKUP(E:E,'Old Report'!E:L,8,FALSE)),"")</f>
        <v/>
      </c>
      <c r="M96" s="5" t="str">
        <f t="shared" si="8"/>
        <v/>
      </c>
      <c r="N96" s="5" t="str">
        <f t="shared" si="9"/>
        <v/>
      </c>
    </row>
    <row r="97" spans="1:14" x14ac:dyDescent="0.25">
      <c r="A97" s="5">
        <v>96</v>
      </c>
      <c r="B97" s="5">
        <f t="shared" si="6"/>
        <v>0</v>
      </c>
      <c r="C97" s="5" t="str">
        <f t="shared" si="5"/>
        <v/>
      </c>
      <c r="D97" s="5" t="str">
        <f>IFERROR(IF(F97&lt;&gt;"",F97,VLOOKUP(MAX(C$2:C97),A$2:F97,2,FALSE)),"")</f>
        <v/>
      </c>
      <c r="E97" s="5" t="str">
        <f t="shared" si="7"/>
        <v/>
      </c>
      <c r="K97" t="str">
        <f>IFERROR(IF(VLOOKUP(E:E,'Old Report'!E:J,6,FALSE)="","",VLOOKUP(E:E,'Old Report'!E:J,6,FALSE)),"")</f>
        <v/>
      </c>
      <c r="L97" t="str">
        <f>IFERROR(IF(VLOOKUP(E:E,'Old Report'!E:L,8,FALSE)="","",VLOOKUP(E:E,'Old Report'!E:L,8,FALSE)),"")</f>
        <v/>
      </c>
      <c r="M97" s="5" t="str">
        <f t="shared" si="8"/>
        <v/>
      </c>
      <c r="N97" s="5" t="str">
        <f t="shared" si="9"/>
        <v/>
      </c>
    </row>
    <row r="98" spans="1:14" x14ac:dyDescent="0.25">
      <c r="A98" s="5">
        <v>97</v>
      </c>
      <c r="B98" s="5">
        <f t="shared" si="6"/>
        <v>0</v>
      </c>
      <c r="C98" s="5" t="str">
        <f t="shared" si="5"/>
        <v/>
      </c>
      <c r="D98" s="5" t="str">
        <f>IFERROR(IF(F98&lt;&gt;"",F98,VLOOKUP(MAX(C$2:C98),A$2:F98,2,FALSE)),"")</f>
        <v/>
      </c>
      <c r="E98" s="5" t="str">
        <f t="shared" si="7"/>
        <v/>
      </c>
      <c r="K98" t="str">
        <f>IFERROR(IF(VLOOKUP(E:E,'Old Report'!E:J,6,FALSE)="","",VLOOKUP(E:E,'Old Report'!E:J,6,FALSE)),"")</f>
        <v/>
      </c>
      <c r="L98" t="str">
        <f>IFERROR(IF(VLOOKUP(E:E,'Old Report'!E:L,8,FALSE)="","",VLOOKUP(E:E,'Old Report'!E:L,8,FALSE)),"")</f>
        <v/>
      </c>
      <c r="M98" s="5" t="str">
        <f t="shared" si="8"/>
        <v/>
      </c>
      <c r="N98" s="5" t="str">
        <f t="shared" si="9"/>
        <v/>
      </c>
    </row>
    <row r="99" spans="1:14" x14ac:dyDescent="0.25">
      <c r="A99" s="5">
        <v>98</v>
      </c>
      <c r="B99" s="5">
        <f t="shared" si="6"/>
        <v>0</v>
      </c>
      <c r="C99" s="5" t="str">
        <f t="shared" si="5"/>
        <v/>
      </c>
      <c r="D99" s="5" t="str">
        <f>IFERROR(IF(F99&lt;&gt;"",F99,VLOOKUP(MAX(C$2:C99),A$2:F99,2,FALSE)),"")</f>
        <v/>
      </c>
      <c r="E99" s="5" t="str">
        <f t="shared" si="7"/>
        <v/>
      </c>
      <c r="K99" t="str">
        <f>IFERROR(IF(VLOOKUP(E:E,'Old Report'!E:J,6,FALSE)="","",VLOOKUP(E:E,'Old Report'!E:J,6,FALSE)),"")</f>
        <v/>
      </c>
      <c r="L99" t="str">
        <f>IFERROR(IF(VLOOKUP(E:E,'Old Report'!E:L,8,FALSE)="","",VLOOKUP(E:E,'Old Report'!E:L,8,FALSE)),"")</f>
        <v/>
      </c>
      <c r="M99" s="5" t="str">
        <f t="shared" si="8"/>
        <v/>
      </c>
      <c r="N99" s="5" t="str">
        <f t="shared" si="9"/>
        <v/>
      </c>
    </row>
    <row r="100" spans="1:14" x14ac:dyDescent="0.25">
      <c r="A100" s="5">
        <v>99</v>
      </c>
      <c r="B100" s="5">
        <f t="shared" si="6"/>
        <v>0</v>
      </c>
      <c r="C100" s="5" t="str">
        <f t="shared" si="5"/>
        <v/>
      </c>
      <c r="D100" s="5" t="str">
        <f>IFERROR(IF(F100&lt;&gt;"",F100,VLOOKUP(MAX(C$2:C100),A$2:F100,2,FALSE)),"")</f>
        <v/>
      </c>
      <c r="E100" s="5" t="str">
        <f t="shared" si="7"/>
        <v/>
      </c>
      <c r="K100" t="str">
        <f>IFERROR(IF(VLOOKUP(E:E,'Old Report'!E:J,6,FALSE)="","",VLOOKUP(E:E,'Old Report'!E:J,6,FALSE)),"")</f>
        <v/>
      </c>
      <c r="L100" t="str">
        <f>IFERROR(IF(VLOOKUP(E:E,'Old Report'!E:L,8,FALSE)="","",VLOOKUP(E:E,'Old Report'!E:L,8,FALSE)),"")</f>
        <v/>
      </c>
      <c r="M100" s="5" t="str">
        <f t="shared" si="8"/>
        <v/>
      </c>
      <c r="N100" s="5" t="str">
        <f t="shared" si="9"/>
        <v/>
      </c>
    </row>
    <row r="101" spans="1:14" x14ac:dyDescent="0.25">
      <c r="A101" s="5">
        <v>100</v>
      </c>
      <c r="B101" s="5">
        <f t="shared" si="6"/>
        <v>0</v>
      </c>
      <c r="C101" s="5" t="str">
        <f t="shared" si="5"/>
        <v/>
      </c>
      <c r="D101" s="5" t="str">
        <f>IFERROR(IF(F101&lt;&gt;"",F101,VLOOKUP(MAX(C$2:C101),A$2:F101,2,FALSE)),"")</f>
        <v/>
      </c>
      <c r="E101" s="5" t="str">
        <f t="shared" si="7"/>
        <v/>
      </c>
      <c r="K101" t="str">
        <f>IFERROR(IF(VLOOKUP(E:E,'Old Report'!E:J,6,FALSE)="","",VLOOKUP(E:E,'Old Report'!E:J,6,FALSE)),"")</f>
        <v/>
      </c>
      <c r="L101" t="str">
        <f>IFERROR(IF(VLOOKUP(E:E,'Old Report'!E:L,8,FALSE)="","",VLOOKUP(E:E,'Old Report'!E:L,8,FALSE)),"")</f>
        <v/>
      </c>
      <c r="M101" s="5" t="str">
        <f t="shared" si="8"/>
        <v/>
      </c>
      <c r="N101" s="5" t="str">
        <f t="shared" si="9"/>
        <v/>
      </c>
    </row>
    <row r="102" spans="1:14" x14ac:dyDescent="0.25">
      <c r="A102" s="5">
        <v>101</v>
      </c>
      <c r="B102" s="5">
        <f t="shared" si="6"/>
        <v>0</v>
      </c>
      <c r="C102" s="5" t="str">
        <f t="shared" si="5"/>
        <v/>
      </c>
      <c r="D102" s="5" t="str">
        <f>IFERROR(IF(F102&lt;&gt;"",F102,VLOOKUP(MAX(C$2:C102),A$2:F102,2,FALSE)),"")</f>
        <v/>
      </c>
      <c r="E102" s="5" t="str">
        <f t="shared" si="7"/>
        <v/>
      </c>
      <c r="K102" t="str">
        <f>IFERROR(IF(VLOOKUP(E:E,'Old Report'!E:J,6,FALSE)="","",VLOOKUP(E:E,'Old Report'!E:J,6,FALSE)),"")</f>
        <v/>
      </c>
      <c r="L102" t="str">
        <f>IFERROR(IF(VLOOKUP(E:E,'Old Report'!E:L,8,FALSE)="","",VLOOKUP(E:E,'Old Report'!E:L,8,FALSE)),"")</f>
        <v/>
      </c>
      <c r="M102" s="5" t="str">
        <f t="shared" si="8"/>
        <v/>
      </c>
      <c r="N102" s="5" t="str">
        <f t="shared" si="9"/>
        <v/>
      </c>
    </row>
    <row r="103" spans="1:14" x14ac:dyDescent="0.25">
      <c r="A103" s="5">
        <v>102</v>
      </c>
      <c r="B103" s="5">
        <f t="shared" si="6"/>
        <v>0</v>
      </c>
      <c r="C103" s="5" t="str">
        <f t="shared" si="5"/>
        <v/>
      </c>
      <c r="D103" s="5" t="str">
        <f>IFERROR(IF(F103&lt;&gt;"",F103,VLOOKUP(MAX(C$2:C103),A$2:F103,2,FALSE)),"")</f>
        <v/>
      </c>
      <c r="E103" s="5" t="str">
        <f t="shared" si="7"/>
        <v/>
      </c>
      <c r="K103" t="str">
        <f>IFERROR(IF(VLOOKUP(E:E,'Old Report'!E:J,6,FALSE)="","",VLOOKUP(E:E,'Old Report'!E:J,6,FALSE)),"")</f>
        <v/>
      </c>
      <c r="L103" t="str">
        <f>IFERROR(IF(VLOOKUP(E:E,'Old Report'!E:L,8,FALSE)="","",VLOOKUP(E:E,'Old Report'!E:L,8,FALSE)),"")</f>
        <v/>
      </c>
      <c r="M103" s="5" t="str">
        <f t="shared" si="8"/>
        <v/>
      </c>
      <c r="N103" s="5" t="str">
        <f t="shared" si="9"/>
        <v/>
      </c>
    </row>
    <row r="104" spans="1:14" x14ac:dyDescent="0.25">
      <c r="A104" s="5">
        <v>103</v>
      </c>
      <c r="B104" s="5">
        <f t="shared" si="6"/>
        <v>0</v>
      </c>
      <c r="C104" s="5" t="str">
        <f t="shared" si="5"/>
        <v/>
      </c>
      <c r="D104" s="5" t="str">
        <f>IFERROR(IF(F104&lt;&gt;"",F104,VLOOKUP(MAX(C$2:C104),A$2:F104,2,FALSE)),"")</f>
        <v/>
      </c>
      <c r="E104" s="5" t="str">
        <f t="shared" si="7"/>
        <v/>
      </c>
      <c r="K104" t="str">
        <f>IFERROR(IF(VLOOKUP(E:E,'Old Report'!E:J,6,FALSE)="","",VLOOKUP(E:E,'Old Report'!E:J,6,FALSE)),"")</f>
        <v/>
      </c>
      <c r="L104" t="str">
        <f>IFERROR(IF(VLOOKUP(E:E,'Old Report'!E:L,8,FALSE)="","",VLOOKUP(E:E,'Old Report'!E:L,8,FALSE)),"")</f>
        <v/>
      </c>
      <c r="M104" s="5" t="str">
        <f t="shared" si="8"/>
        <v/>
      </c>
      <c r="N104" s="5" t="str">
        <f t="shared" si="9"/>
        <v/>
      </c>
    </row>
    <row r="105" spans="1:14" x14ac:dyDescent="0.25">
      <c r="A105" s="5">
        <v>104</v>
      </c>
      <c r="B105" s="5">
        <f t="shared" si="6"/>
        <v>0</v>
      </c>
      <c r="C105" s="5" t="str">
        <f t="shared" si="5"/>
        <v/>
      </c>
      <c r="D105" s="5" t="str">
        <f>IFERROR(IF(F105&lt;&gt;"",F105,VLOOKUP(MAX(C$2:C105),A$2:F105,2,FALSE)),"")</f>
        <v/>
      </c>
      <c r="E105" s="5" t="str">
        <f t="shared" si="7"/>
        <v/>
      </c>
      <c r="K105" t="str">
        <f>IFERROR(IF(VLOOKUP(E:E,'Old Report'!E:J,6,FALSE)="","",VLOOKUP(E:E,'Old Report'!E:J,6,FALSE)),"")</f>
        <v/>
      </c>
      <c r="L105" t="str">
        <f>IFERROR(IF(VLOOKUP(E:E,'Old Report'!E:L,8,FALSE)="","",VLOOKUP(E:E,'Old Report'!E:L,8,FALSE)),"")</f>
        <v/>
      </c>
      <c r="M105" s="5" t="str">
        <f t="shared" si="8"/>
        <v/>
      </c>
      <c r="N105" s="5" t="str">
        <f t="shared" si="9"/>
        <v/>
      </c>
    </row>
    <row r="106" spans="1:14" x14ac:dyDescent="0.25">
      <c r="A106" s="5">
        <v>105</v>
      </c>
      <c r="B106" s="5">
        <f t="shared" si="6"/>
        <v>0</v>
      </c>
      <c r="C106" s="5" t="str">
        <f t="shared" si="5"/>
        <v/>
      </c>
      <c r="D106" s="5" t="str">
        <f>IFERROR(IF(F106&lt;&gt;"",F106,VLOOKUP(MAX(C$2:C106),A$2:F106,2,FALSE)),"")</f>
        <v/>
      </c>
      <c r="E106" s="5" t="str">
        <f t="shared" si="7"/>
        <v/>
      </c>
      <c r="K106" t="str">
        <f>IFERROR(IF(VLOOKUP(E:E,'Old Report'!E:J,6,FALSE)="","",VLOOKUP(E:E,'Old Report'!E:J,6,FALSE)),"")</f>
        <v/>
      </c>
      <c r="L106" t="str">
        <f>IFERROR(IF(VLOOKUP(E:E,'Old Report'!E:L,8,FALSE)="","",VLOOKUP(E:E,'Old Report'!E:L,8,FALSE)),"")</f>
        <v/>
      </c>
      <c r="M106" s="5" t="str">
        <f t="shared" si="8"/>
        <v/>
      </c>
      <c r="N106" s="5" t="str">
        <f t="shared" si="9"/>
        <v/>
      </c>
    </row>
    <row r="107" spans="1:14" x14ac:dyDescent="0.25">
      <c r="A107" s="5">
        <v>106</v>
      </c>
      <c r="B107" s="5">
        <f t="shared" si="6"/>
        <v>0</v>
      </c>
      <c r="C107" s="5" t="str">
        <f t="shared" si="5"/>
        <v/>
      </c>
      <c r="D107" s="5" t="str">
        <f>IFERROR(IF(F107&lt;&gt;"",F107,VLOOKUP(MAX(C$2:C107),A$2:F107,2,FALSE)),"")</f>
        <v/>
      </c>
      <c r="E107" s="5" t="str">
        <f t="shared" si="7"/>
        <v/>
      </c>
      <c r="K107" t="str">
        <f>IFERROR(IF(VLOOKUP(E:E,'Old Report'!E:J,6,FALSE)="","",VLOOKUP(E:E,'Old Report'!E:J,6,FALSE)),"")</f>
        <v/>
      </c>
      <c r="L107" t="str">
        <f>IFERROR(IF(VLOOKUP(E:E,'Old Report'!E:L,8,FALSE)="","",VLOOKUP(E:E,'Old Report'!E:L,8,FALSE)),"")</f>
        <v/>
      </c>
      <c r="M107" s="5" t="str">
        <f t="shared" si="8"/>
        <v/>
      </c>
      <c r="N107" s="5" t="str">
        <f t="shared" si="9"/>
        <v/>
      </c>
    </row>
    <row r="108" spans="1:14" x14ac:dyDescent="0.25">
      <c r="A108" s="5">
        <v>107</v>
      </c>
      <c r="B108" s="5">
        <f t="shared" si="6"/>
        <v>0</v>
      </c>
      <c r="C108" s="5" t="str">
        <f t="shared" si="5"/>
        <v/>
      </c>
      <c r="D108" s="5" t="str">
        <f>IFERROR(IF(F108&lt;&gt;"",F108,VLOOKUP(MAX(C$2:C108),A$2:F108,2,FALSE)),"")</f>
        <v/>
      </c>
      <c r="E108" s="5" t="str">
        <f t="shared" si="7"/>
        <v/>
      </c>
      <c r="K108" t="str">
        <f>IFERROR(IF(VLOOKUP(E:E,'Old Report'!E:J,6,FALSE)="","",VLOOKUP(E:E,'Old Report'!E:J,6,FALSE)),"")</f>
        <v/>
      </c>
      <c r="L108" t="str">
        <f>IFERROR(IF(VLOOKUP(E:E,'Old Report'!E:L,8,FALSE)="","",VLOOKUP(E:E,'Old Report'!E:L,8,FALSE)),"")</f>
        <v/>
      </c>
      <c r="M108" s="5" t="str">
        <f t="shared" si="8"/>
        <v/>
      </c>
      <c r="N108" s="5" t="str">
        <f t="shared" si="9"/>
        <v/>
      </c>
    </row>
    <row r="109" spans="1:14" x14ac:dyDescent="0.25">
      <c r="A109" s="5">
        <v>108</v>
      </c>
      <c r="B109" s="5">
        <f t="shared" si="6"/>
        <v>0</v>
      </c>
      <c r="C109" s="5" t="str">
        <f t="shared" si="5"/>
        <v/>
      </c>
      <c r="D109" s="5" t="str">
        <f>IFERROR(IF(F109&lt;&gt;"",F109,VLOOKUP(MAX(C$2:C109),A$2:F109,2,FALSE)),"")</f>
        <v/>
      </c>
      <c r="E109" s="5" t="str">
        <f t="shared" si="7"/>
        <v/>
      </c>
      <c r="K109" t="str">
        <f>IFERROR(IF(VLOOKUP(E:E,'Old Report'!E:J,6,FALSE)="","",VLOOKUP(E:E,'Old Report'!E:J,6,FALSE)),"")</f>
        <v/>
      </c>
      <c r="L109" t="str">
        <f>IFERROR(IF(VLOOKUP(E:E,'Old Report'!E:L,8,FALSE)="","",VLOOKUP(E:E,'Old Report'!E:L,8,FALSE)),"")</f>
        <v/>
      </c>
      <c r="M109" s="5" t="str">
        <f t="shared" si="8"/>
        <v/>
      </c>
      <c r="N109" s="5" t="str">
        <f t="shared" si="9"/>
        <v/>
      </c>
    </row>
    <row r="110" spans="1:14" x14ac:dyDescent="0.25">
      <c r="A110" s="5">
        <v>109</v>
      </c>
      <c r="B110" s="5">
        <f t="shared" si="6"/>
        <v>0</v>
      </c>
      <c r="C110" s="5" t="str">
        <f t="shared" si="5"/>
        <v/>
      </c>
      <c r="D110" s="5" t="str">
        <f>IFERROR(IF(F110&lt;&gt;"",F110,VLOOKUP(MAX(C$2:C110),A$2:F110,2,FALSE)),"")</f>
        <v/>
      </c>
      <c r="E110" s="5" t="str">
        <f t="shared" si="7"/>
        <v/>
      </c>
      <c r="K110" t="str">
        <f>IFERROR(IF(VLOOKUP(E:E,'Old Report'!E:J,6,FALSE)="","",VLOOKUP(E:E,'Old Report'!E:J,6,FALSE)),"")</f>
        <v/>
      </c>
      <c r="L110" t="str">
        <f>IFERROR(IF(VLOOKUP(E:E,'Old Report'!E:L,8,FALSE)="","",VLOOKUP(E:E,'Old Report'!E:L,8,FALSE)),"")</f>
        <v/>
      </c>
      <c r="M110" s="5" t="str">
        <f t="shared" si="8"/>
        <v/>
      </c>
      <c r="N110" s="5" t="str">
        <f t="shared" si="9"/>
        <v/>
      </c>
    </row>
    <row r="111" spans="1:14" x14ac:dyDescent="0.25">
      <c r="A111" s="5">
        <v>110</v>
      </c>
      <c r="B111" s="5">
        <f t="shared" si="6"/>
        <v>0</v>
      </c>
      <c r="C111" s="5" t="str">
        <f t="shared" si="5"/>
        <v/>
      </c>
      <c r="D111" s="5" t="str">
        <f>IFERROR(IF(F111&lt;&gt;"",F111,VLOOKUP(MAX(C$2:C111),A$2:F111,2,FALSE)),"")</f>
        <v/>
      </c>
      <c r="E111" s="5" t="str">
        <f t="shared" si="7"/>
        <v/>
      </c>
      <c r="K111" t="str">
        <f>IFERROR(IF(VLOOKUP(E:E,'Old Report'!E:J,6,FALSE)="","",VLOOKUP(E:E,'Old Report'!E:J,6,FALSE)),"")</f>
        <v/>
      </c>
      <c r="L111" t="str">
        <f>IFERROR(IF(VLOOKUP(E:E,'Old Report'!E:L,8,FALSE)="","",VLOOKUP(E:E,'Old Report'!E:L,8,FALSE)),"")</f>
        <v/>
      </c>
      <c r="M111" s="5" t="str">
        <f t="shared" si="8"/>
        <v/>
      </c>
      <c r="N111" s="5" t="str">
        <f t="shared" si="9"/>
        <v/>
      </c>
    </row>
    <row r="112" spans="1:14" x14ac:dyDescent="0.25">
      <c r="A112" s="5">
        <v>111</v>
      </c>
      <c r="B112" s="5">
        <f t="shared" si="6"/>
        <v>0</v>
      </c>
      <c r="C112" s="5" t="str">
        <f t="shared" si="5"/>
        <v/>
      </c>
      <c r="D112" s="5" t="str">
        <f>IFERROR(IF(F112&lt;&gt;"",F112,VLOOKUP(MAX(C$2:C112),A$2:F112,2,FALSE)),"")</f>
        <v/>
      </c>
      <c r="E112" s="5" t="str">
        <f t="shared" si="7"/>
        <v/>
      </c>
      <c r="K112" t="str">
        <f>IFERROR(IF(VLOOKUP(E:E,'Old Report'!E:J,6,FALSE)="","",VLOOKUP(E:E,'Old Report'!E:J,6,FALSE)),"")</f>
        <v/>
      </c>
      <c r="L112" t="str">
        <f>IFERROR(IF(VLOOKUP(E:E,'Old Report'!E:L,8,FALSE)="","",VLOOKUP(E:E,'Old Report'!E:L,8,FALSE)),"")</f>
        <v/>
      </c>
      <c r="M112" s="5" t="str">
        <f t="shared" si="8"/>
        <v/>
      </c>
      <c r="N112" s="5" t="str">
        <f t="shared" si="9"/>
        <v/>
      </c>
    </row>
    <row r="113" spans="1:14" x14ac:dyDescent="0.25">
      <c r="A113" s="5">
        <v>112</v>
      </c>
      <c r="B113" s="5">
        <f t="shared" si="6"/>
        <v>0</v>
      </c>
      <c r="C113" s="5" t="str">
        <f t="shared" si="5"/>
        <v/>
      </c>
      <c r="D113" s="5" t="str">
        <f>IFERROR(IF(F113&lt;&gt;"",F113,VLOOKUP(MAX(C$2:C113),A$2:F113,2,FALSE)),"")</f>
        <v/>
      </c>
      <c r="E113" s="5" t="str">
        <f t="shared" si="7"/>
        <v/>
      </c>
      <c r="K113" t="str">
        <f>IFERROR(IF(VLOOKUP(E:E,'Old Report'!E:J,6,FALSE)="","",VLOOKUP(E:E,'Old Report'!E:J,6,FALSE)),"")</f>
        <v/>
      </c>
      <c r="L113" t="str">
        <f>IFERROR(IF(VLOOKUP(E:E,'Old Report'!E:L,8,FALSE)="","",VLOOKUP(E:E,'Old Report'!E:L,8,FALSE)),"")</f>
        <v/>
      </c>
      <c r="M113" s="5" t="str">
        <f t="shared" si="8"/>
        <v/>
      </c>
      <c r="N113" s="5" t="str">
        <f t="shared" si="9"/>
        <v/>
      </c>
    </row>
    <row r="114" spans="1:14" x14ac:dyDescent="0.25">
      <c r="A114" s="5">
        <v>113</v>
      </c>
      <c r="B114" s="5">
        <f t="shared" si="6"/>
        <v>0</v>
      </c>
      <c r="C114" s="5" t="str">
        <f t="shared" si="5"/>
        <v/>
      </c>
      <c r="D114" s="5" t="str">
        <f>IFERROR(IF(F114&lt;&gt;"",F114,VLOOKUP(MAX(C$2:C114),A$2:F114,2,FALSE)),"")</f>
        <v/>
      </c>
      <c r="E114" s="5" t="str">
        <f t="shared" si="7"/>
        <v/>
      </c>
      <c r="K114" t="str">
        <f>IFERROR(IF(VLOOKUP(E:E,'Old Report'!E:J,6,FALSE)="","",VLOOKUP(E:E,'Old Report'!E:J,6,FALSE)),"")</f>
        <v/>
      </c>
      <c r="L114" t="str">
        <f>IFERROR(IF(VLOOKUP(E:E,'Old Report'!E:L,8,FALSE)="","",VLOOKUP(E:E,'Old Report'!E:L,8,FALSE)),"")</f>
        <v/>
      </c>
      <c r="M114" s="5" t="str">
        <f t="shared" si="8"/>
        <v/>
      </c>
      <c r="N114" s="5" t="str">
        <f t="shared" si="9"/>
        <v/>
      </c>
    </row>
    <row r="115" spans="1:14" x14ac:dyDescent="0.25">
      <c r="A115" s="5">
        <v>114</v>
      </c>
      <c r="B115" s="5">
        <f t="shared" si="6"/>
        <v>0</v>
      </c>
      <c r="C115" s="5" t="str">
        <f t="shared" si="5"/>
        <v/>
      </c>
      <c r="D115" s="5" t="str">
        <f>IFERROR(IF(F115&lt;&gt;"",F115,VLOOKUP(MAX(C$2:C115),A$2:F115,2,FALSE)),"")</f>
        <v/>
      </c>
      <c r="E115" s="5" t="str">
        <f t="shared" si="7"/>
        <v/>
      </c>
      <c r="K115" t="str">
        <f>IFERROR(IF(VLOOKUP(E:E,'Old Report'!E:J,6,FALSE)="","",VLOOKUP(E:E,'Old Report'!E:J,6,FALSE)),"")</f>
        <v/>
      </c>
      <c r="L115" t="str">
        <f>IFERROR(IF(VLOOKUP(E:E,'Old Report'!E:L,8,FALSE)="","",VLOOKUP(E:E,'Old Report'!E:L,8,FALSE)),"")</f>
        <v/>
      </c>
      <c r="M115" s="5" t="str">
        <f t="shared" si="8"/>
        <v/>
      </c>
      <c r="N115" s="5" t="str">
        <f t="shared" si="9"/>
        <v/>
      </c>
    </row>
    <row r="116" spans="1:14" x14ac:dyDescent="0.25">
      <c r="A116" s="5">
        <v>115</v>
      </c>
      <c r="B116" s="5">
        <f t="shared" si="6"/>
        <v>0</v>
      </c>
      <c r="C116" s="5" t="str">
        <f t="shared" si="5"/>
        <v/>
      </c>
      <c r="D116" s="5" t="str">
        <f>IFERROR(IF(F116&lt;&gt;"",F116,VLOOKUP(MAX(C$2:C116),A$2:F116,2,FALSE)),"")</f>
        <v/>
      </c>
      <c r="E116" s="5" t="str">
        <f t="shared" si="7"/>
        <v/>
      </c>
      <c r="K116" t="str">
        <f>IFERROR(IF(VLOOKUP(E:E,'Old Report'!E:J,6,FALSE)="","",VLOOKUP(E:E,'Old Report'!E:J,6,FALSE)),"")</f>
        <v/>
      </c>
      <c r="L116" t="str">
        <f>IFERROR(IF(VLOOKUP(E:E,'Old Report'!E:L,8,FALSE)="","",VLOOKUP(E:E,'Old Report'!E:L,8,FALSE)),"")</f>
        <v/>
      </c>
      <c r="M116" s="5" t="str">
        <f t="shared" si="8"/>
        <v/>
      </c>
      <c r="N116" s="5" t="str">
        <f t="shared" si="9"/>
        <v/>
      </c>
    </row>
    <row r="117" spans="1:14" x14ac:dyDescent="0.25">
      <c r="A117" s="5">
        <v>116</v>
      </c>
      <c r="B117" s="5">
        <f t="shared" si="6"/>
        <v>0</v>
      </c>
      <c r="C117" s="5" t="str">
        <f t="shared" si="5"/>
        <v/>
      </c>
      <c r="D117" s="5" t="str">
        <f>IFERROR(IF(F117&lt;&gt;"",F117,VLOOKUP(MAX(C$2:C117),A$2:F117,2,FALSE)),"")</f>
        <v/>
      </c>
      <c r="E117" s="5" t="str">
        <f t="shared" si="7"/>
        <v/>
      </c>
      <c r="K117" t="str">
        <f>IFERROR(IF(VLOOKUP(E:E,'Old Report'!E:J,6,FALSE)="","",VLOOKUP(E:E,'Old Report'!E:J,6,FALSE)),"")</f>
        <v/>
      </c>
      <c r="L117" t="str">
        <f>IFERROR(IF(VLOOKUP(E:E,'Old Report'!E:L,8,FALSE)="","",VLOOKUP(E:E,'Old Report'!E:L,8,FALSE)),"")</f>
        <v/>
      </c>
      <c r="M117" s="5" t="str">
        <f t="shared" si="8"/>
        <v/>
      </c>
      <c r="N117" s="5" t="str">
        <f t="shared" si="9"/>
        <v/>
      </c>
    </row>
    <row r="118" spans="1:14" x14ac:dyDescent="0.25">
      <c r="A118" s="5">
        <v>117</v>
      </c>
      <c r="B118" s="5">
        <f t="shared" si="6"/>
        <v>0</v>
      </c>
      <c r="C118" s="5" t="str">
        <f t="shared" si="5"/>
        <v/>
      </c>
      <c r="D118" s="5" t="str">
        <f>IFERROR(IF(F118&lt;&gt;"",F118,VLOOKUP(MAX(C$2:C118),A$2:F118,2,FALSE)),"")</f>
        <v/>
      </c>
      <c r="E118" s="5" t="str">
        <f t="shared" si="7"/>
        <v/>
      </c>
      <c r="K118" t="str">
        <f>IFERROR(IF(VLOOKUP(E:E,'Old Report'!E:J,6,FALSE)="","",VLOOKUP(E:E,'Old Report'!E:J,6,FALSE)),"")</f>
        <v/>
      </c>
      <c r="L118" t="str">
        <f>IFERROR(IF(VLOOKUP(E:E,'Old Report'!E:L,8,FALSE)="","",VLOOKUP(E:E,'Old Report'!E:L,8,FALSE)),"")</f>
        <v/>
      </c>
      <c r="M118" s="5" t="str">
        <f t="shared" si="8"/>
        <v/>
      </c>
      <c r="N118" s="5" t="str">
        <f t="shared" si="9"/>
        <v/>
      </c>
    </row>
    <row r="119" spans="1:14" x14ac:dyDescent="0.25">
      <c r="A119" s="5">
        <v>118</v>
      </c>
      <c r="B119" s="5">
        <f t="shared" si="6"/>
        <v>0</v>
      </c>
      <c r="C119" s="5" t="str">
        <f t="shared" si="5"/>
        <v/>
      </c>
      <c r="D119" s="5" t="str">
        <f>IFERROR(IF(F119&lt;&gt;"",F119,VLOOKUP(MAX(C$2:C119),A$2:F119,2,FALSE)),"")</f>
        <v/>
      </c>
      <c r="E119" s="5" t="str">
        <f t="shared" si="7"/>
        <v/>
      </c>
      <c r="K119" t="str">
        <f>IFERROR(IF(VLOOKUP(E:E,'Old Report'!E:J,6,FALSE)="","",VLOOKUP(E:E,'Old Report'!E:J,6,FALSE)),"")</f>
        <v/>
      </c>
      <c r="L119" t="str">
        <f>IFERROR(IF(VLOOKUP(E:E,'Old Report'!E:L,8,FALSE)="","",VLOOKUP(E:E,'Old Report'!E:L,8,FALSE)),"")</f>
        <v/>
      </c>
      <c r="M119" s="5" t="str">
        <f t="shared" si="8"/>
        <v/>
      </c>
      <c r="N119" s="5" t="str">
        <f t="shared" si="9"/>
        <v/>
      </c>
    </row>
    <row r="120" spans="1:14" x14ac:dyDescent="0.25">
      <c r="A120" s="5">
        <v>119</v>
      </c>
      <c r="B120" s="5">
        <f t="shared" si="6"/>
        <v>0</v>
      </c>
      <c r="C120" s="5" t="str">
        <f t="shared" si="5"/>
        <v/>
      </c>
      <c r="D120" s="5" t="str">
        <f>IFERROR(IF(F120&lt;&gt;"",F120,VLOOKUP(MAX(C$2:C120),A$2:F120,2,FALSE)),"")</f>
        <v/>
      </c>
      <c r="E120" s="5" t="str">
        <f t="shared" si="7"/>
        <v/>
      </c>
      <c r="K120" t="str">
        <f>IFERROR(IF(VLOOKUP(E:E,'Old Report'!E:J,6,FALSE)="","",VLOOKUP(E:E,'Old Report'!E:J,6,FALSE)),"")</f>
        <v/>
      </c>
      <c r="L120" t="str">
        <f>IFERROR(IF(VLOOKUP(E:E,'Old Report'!E:L,8,FALSE)="","",VLOOKUP(E:E,'Old Report'!E:L,8,FALSE)),"")</f>
        <v/>
      </c>
      <c r="M120" s="5" t="str">
        <f t="shared" si="8"/>
        <v/>
      </c>
      <c r="N120" s="5" t="str">
        <f t="shared" si="9"/>
        <v/>
      </c>
    </row>
    <row r="121" spans="1:14" x14ac:dyDescent="0.25">
      <c r="A121" s="5">
        <v>120</v>
      </c>
      <c r="B121" s="5">
        <f t="shared" si="6"/>
        <v>0</v>
      </c>
      <c r="C121" s="5" t="str">
        <f t="shared" si="5"/>
        <v/>
      </c>
      <c r="D121" s="5" t="str">
        <f>IFERROR(IF(F121&lt;&gt;"",F121,VLOOKUP(MAX(C$2:C121),A$2:F121,2,FALSE)),"")</f>
        <v/>
      </c>
      <c r="E121" s="5" t="str">
        <f t="shared" si="7"/>
        <v/>
      </c>
      <c r="K121" t="str">
        <f>IFERROR(IF(VLOOKUP(E:E,'Old Report'!E:J,6,FALSE)="","",VLOOKUP(E:E,'Old Report'!E:J,6,FALSE)),"")</f>
        <v/>
      </c>
      <c r="L121" t="str">
        <f>IFERROR(IF(VLOOKUP(E:E,'Old Report'!E:L,8,FALSE)="","",VLOOKUP(E:E,'Old Report'!E:L,8,FALSE)),"")</f>
        <v/>
      </c>
      <c r="M121" s="5" t="str">
        <f t="shared" si="8"/>
        <v/>
      </c>
      <c r="N121" s="5" t="str">
        <f t="shared" si="9"/>
        <v/>
      </c>
    </row>
    <row r="122" spans="1:14" x14ac:dyDescent="0.25">
      <c r="A122" s="5">
        <v>121</v>
      </c>
      <c r="B122" s="5">
        <f t="shared" si="6"/>
        <v>0</v>
      </c>
      <c r="C122" s="5" t="str">
        <f t="shared" si="5"/>
        <v/>
      </c>
      <c r="D122" s="5" t="str">
        <f>IFERROR(IF(F122&lt;&gt;"",F122,VLOOKUP(MAX(C$2:C122),A$2:F122,2,FALSE)),"")</f>
        <v/>
      </c>
      <c r="E122" s="5" t="str">
        <f t="shared" si="7"/>
        <v/>
      </c>
      <c r="K122" t="str">
        <f>IFERROR(IF(VLOOKUP(E:E,'Old Report'!E:J,6,FALSE)="","",VLOOKUP(E:E,'Old Report'!E:J,6,FALSE)),"")</f>
        <v/>
      </c>
      <c r="L122" t="str">
        <f>IFERROR(IF(VLOOKUP(E:E,'Old Report'!E:L,8,FALSE)="","",VLOOKUP(E:E,'Old Report'!E:L,8,FALSE)),"")</f>
        <v/>
      </c>
      <c r="M122" s="5" t="str">
        <f t="shared" si="8"/>
        <v/>
      </c>
      <c r="N122" s="5" t="str">
        <f t="shared" si="9"/>
        <v/>
      </c>
    </row>
    <row r="123" spans="1:14" x14ac:dyDescent="0.25">
      <c r="A123" s="5">
        <v>122</v>
      </c>
      <c r="B123" s="5">
        <f t="shared" si="6"/>
        <v>0</v>
      </c>
      <c r="C123" s="5" t="str">
        <f t="shared" si="5"/>
        <v/>
      </c>
      <c r="D123" s="5" t="str">
        <f>IFERROR(IF(F123&lt;&gt;"",F123,VLOOKUP(MAX(C$2:C123),A$2:F123,2,FALSE)),"")</f>
        <v/>
      </c>
      <c r="E123" s="5" t="str">
        <f t="shared" si="7"/>
        <v/>
      </c>
      <c r="K123" t="str">
        <f>IFERROR(IF(VLOOKUP(E:E,'Old Report'!E:J,6,FALSE)="","",VLOOKUP(E:E,'Old Report'!E:J,6,FALSE)),"")</f>
        <v/>
      </c>
      <c r="L123" t="str">
        <f>IFERROR(IF(VLOOKUP(E:E,'Old Report'!E:L,8,FALSE)="","",VLOOKUP(E:E,'Old Report'!E:L,8,FALSE)),"")</f>
        <v/>
      </c>
      <c r="M123" s="5" t="str">
        <f t="shared" si="8"/>
        <v/>
      </c>
      <c r="N123" s="5" t="str">
        <f t="shared" si="9"/>
        <v/>
      </c>
    </row>
    <row r="124" spans="1:14" x14ac:dyDescent="0.25">
      <c r="A124" s="5">
        <v>123</v>
      </c>
      <c r="B124" s="5">
        <f t="shared" si="6"/>
        <v>0</v>
      </c>
      <c r="C124" s="5" t="str">
        <f t="shared" si="5"/>
        <v/>
      </c>
      <c r="D124" s="5" t="str">
        <f>IFERROR(IF(F124&lt;&gt;"",F124,VLOOKUP(MAX(C$2:C124),A$2:F124,2,FALSE)),"")</f>
        <v/>
      </c>
      <c r="E124" s="5" t="str">
        <f t="shared" si="7"/>
        <v/>
      </c>
      <c r="K124" t="str">
        <f>IFERROR(IF(VLOOKUP(E:E,'Old Report'!E:J,6,FALSE)="","",VLOOKUP(E:E,'Old Report'!E:J,6,FALSE)),"")</f>
        <v/>
      </c>
      <c r="L124" t="str">
        <f>IFERROR(IF(VLOOKUP(E:E,'Old Report'!E:L,8,FALSE)="","",VLOOKUP(E:E,'Old Report'!E:L,8,FALSE)),"")</f>
        <v/>
      </c>
      <c r="M124" s="5" t="str">
        <f t="shared" si="8"/>
        <v/>
      </c>
      <c r="N124" s="5" t="str">
        <f t="shared" si="9"/>
        <v/>
      </c>
    </row>
    <row r="125" spans="1:14" x14ac:dyDescent="0.25">
      <c r="A125" s="5">
        <v>124</v>
      </c>
      <c r="B125" s="5">
        <f t="shared" si="6"/>
        <v>0</v>
      </c>
      <c r="C125" s="5" t="str">
        <f t="shared" si="5"/>
        <v/>
      </c>
      <c r="D125" s="5" t="str">
        <f>IFERROR(IF(F125&lt;&gt;"",F125,VLOOKUP(MAX(C$2:C125),A$2:F125,2,FALSE)),"")</f>
        <v/>
      </c>
      <c r="E125" s="5" t="str">
        <f t="shared" si="7"/>
        <v/>
      </c>
      <c r="K125" t="str">
        <f>IFERROR(IF(VLOOKUP(E:E,'Old Report'!E:J,6,FALSE)="","",VLOOKUP(E:E,'Old Report'!E:J,6,FALSE)),"")</f>
        <v/>
      </c>
      <c r="L125" t="str">
        <f>IFERROR(IF(VLOOKUP(E:E,'Old Report'!E:L,8,FALSE)="","",VLOOKUP(E:E,'Old Report'!E:L,8,FALSE)),"")</f>
        <v/>
      </c>
      <c r="M125" s="5" t="str">
        <f t="shared" si="8"/>
        <v/>
      </c>
      <c r="N125" s="5" t="str">
        <f t="shared" si="9"/>
        <v/>
      </c>
    </row>
    <row r="126" spans="1:14" x14ac:dyDescent="0.25">
      <c r="A126" s="5">
        <v>125</v>
      </c>
      <c r="B126" s="5">
        <f t="shared" si="6"/>
        <v>0</v>
      </c>
      <c r="C126" s="5" t="str">
        <f t="shared" si="5"/>
        <v/>
      </c>
      <c r="D126" s="5" t="str">
        <f>IFERROR(IF(F126&lt;&gt;"",F126,VLOOKUP(MAX(C$2:C126),A$2:F126,2,FALSE)),"")</f>
        <v/>
      </c>
      <c r="E126" s="5" t="str">
        <f t="shared" si="7"/>
        <v/>
      </c>
      <c r="K126" t="str">
        <f>IFERROR(IF(VLOOKUP(E:E,'Old Report'!E:J,6,FALSE)="","",VLOOKUP(E:E,'Old Report'!E:J,6,FALSE)),"")</f>
        <v/>
      </c>
      <c r="L126" t="str">
        <f>IFERROR(IF(VLOOKUP(E:E,'Old Report'!E:L,8,FALSE)="","",VLOOKUP(E:E,'Old Report'!E:L,8,FALSE)),"")</f>
        <v/>
      </c>
      <c r="M126" s="5" t="str">
        <f t="shared" si="8"/>
        <v/>
      </c>
      <c r="N126" s="5" t="str">
        <f t="shared" si="9"/>
        <v/>
      </c>
    </row>
    <row r="127" spans="1:14" x14ac:dyDescent="0.25">
      <c r="A127" s="5">
        <v>126</v>
      </c>
      <c r="B127" s="5">
        <f t="shared" si="6"/>
        <v>0</v>
      </c>
      <c r="C127" s="5" t="str">
        <f t="shared" si="5"/>
        <v/>
      </c>
      <c r="D127" s="5" t="str">
        <f>IFERROR(IF(F127&lt;&gt;"",F127,VLOOKUP(MAX(C$2:C127),A$2:F127,2,FALSE)),"")</f>
        <v/>
      </c>
      <c r="E127" s="5" t="str">
        <f t="shared" si="7"/>
        <v/>
      </c>
      <c r="K127" t="str">
        <f>IFERROR(IF(VLOOKUP(E:E,'Old Report'!E:J,6,FALSE)="","",VLOOKUP(E:E,'Old Report'!E:J,6,FALSE)),"")</f>
        <v/>
      </c>
      <c r="L127" t="str">
        <f>IFERROR(IF(VLOOKUP(E:E,'Old Report'!E:L,8,FALSE)="","",VLOOKUP(E:E,'Old Report'!E:L,8,FALSE)),"")</f>
        <v/>
      </c>
      <c r="M127" s="5" t="str">
        <f t="shared" si="8"/>
        <v/>
      </c>
      <c r="N127" s="5" t="str">
        <f t="shared" si="9"/>
        <v/>
      </c>
    </row>
    <row r="128" spans="1:14" x14ac:dyDescent="0.25">
      <c r="A128" s="5">
        <v>127</v>
      </c>
      <c r="B128" s="5">
        <f t="shared" si="6"/>
        <v>0</v>
      </c>
      <c r="C128" s="5" t="str">
        <f t="shared" si="5"/>
        <v/>
      </c>
      <c r="D128" s="5" t="str">
        <f>IFERROR(IF(F128&lt;&gt;"",F128,VLOOKUP(MAX(C$2:C128),A$2:F128,2,FALSE)),"")</f>
        <v/>
      </c>
      <c r="E128" s="5" t="str">
        <f t="shared" si="7"/>
        <v/>
      </c>
      <c r="K128" t="str">
        <f>IFERROR(IF(VLOOKUP(E:E,'Old Report'!E:J,6,FALSE)="","",VLOOKUP(E:E,'Old Report'!E:J,6,FALSE)),"")</f>
        <v/>
      </c>
      <c r="L128" t="str">
        <f>IFERROR(IF(VLOOKUP(E:E,'Old Report'!E:L,8,FALSE)="","",VLOOKUP(E:E,'Old Report'!E:L,8,FALSE)),"")</f>
        <v/>
      </c>
      <c r="M128" s="5" t="str">
        <f t="shared" si="8"/>
        <v/>
      </c>
      <c r="N128" s="5" t="str">
        <f t="shared" si="9"/>
        <v/>
      </c>
    </row>
    <row r="129" spans="1:14" x14ac:dyDescent="0.25">
      <c r="A129" s="5">
        <v>128</v>
      </c>
      <c r="B129" s="5">
        <f t="shared" si="6"/>
        <v>0</v>
      </c>
      <c r="C129" s="5" t="str">
        <f t="shared" si="5"/>
        <v/>
      </c>
      <c r="D129" s="5" t="str">
        <f>IFERROR(IF(F129&lt;&gt;"",F129,VLOOKUP(MAX(C$2:C129),A$2:F129,2,FALSE)),"")</f>
        <v/>
      </c>
      <c r="E129" s="5" t="str">
        <f t="shared" si="7"/>
        <v/>
      </c>
      <c r="K129" t="str">
        <f>IFERROR(IF(VLOOKUP(E:E,'Old Report'!E:J,6,FALSE)="","",VLOOKUP(E:E,'Old Report'!E:J,6,FALSE)),"")</f>
        <v/>
      </c>
      <c r="L129" t="str">
        <f>IFERROR(IF(VLOOKUP(E:E,'Old Report'!E:L,8,FALSE)="","",VLOOKUP(E:E,'Old Report'!E:L,8,FALSE)),"")</f>
        <v/>
      </c>
      <c r="M129" s="5" t="str">
        <f t="shared" si="8"/>
        <v/>
      </c>
      <c r="N129" s="5" t="str">
        <f t="shared" si="9"/>
        <v/>
      </c>
    </row>
    <row r="130" spans="1:14" x14ac:dyDescent="0.25">
      <c r="A130" s="5">
        <v>129</v>
      </c>
      <c r="B130" s="5">
        <f t="shared" si="6"/>
        <v>0</v>
      </c>
      <c r="C130" s="5" t="str">
        <f t="shared" ref="C130:C193" si="10">IF(F130&lt;&gt;"",A130,"")</f>
        <v/>
      </c>
      <c r="D130" s="5" t="str">
        <f>IFERROR(IF(F130&lt;&gt;"",F130,VLOOKUP(MAX(C$2:C130),A$2:F130,2,FALSE)),"")</f>
        <v/>
      </c>
      <c r="E130" s="5" t="str">
        <f t="shared" si="7"/>
        <v/>
      </c>
      <c r="K130" t="str">
        <f>IFERROR(IF(VLOOKUP(E:E,'Old Report'!E:J,6,FALSE)="","",VLOOKUP(E:E,'Old Report'!E:J,6,FALSE)),"")</f>
        <v/>
      </c>
      <c r="L130" t="str">
        <f>IFERROR(IF(VLOOKUP(E:E,'Old Report'!E:L,8,FALSE)="","",VLOOKUP(E:E,'Old Report'!E:L,8,FALSE)),"")</f>
        <v/>
      </c>
      <c r="M130" s="5" t="str">
        <f t="shared" si="8"/>
        <v/>
      </c>
      <c r="N130" s="5" t="str">
        <f t="shared" si="9"/>
        <v/>
      </c>
    </row>
    <row r="131" spans="1:14" x14ac:dyDescent="0.25">
      <c r="A131" s="5">
        <v>130</v>
      </c>
      <c r="B131" s="5">
        <f t="shared" ref="B131:B194" si="11">IF(F132&lt;&gt;"",F132,F131)</f>
        <v>0</v>
      </c>
      <c r="C131" s="5" t="str">
        <f t="shared" si="10"/>
        <v/>
      </c>
      <c r="D131" s="5" t="str">
        <f>IFERROR(IF(F131&lt;&gt;"",F131,VLOOKUP(MAX(C$2:C131),A$2:F131,2,FALSE)),"")</f>
        <v/>
      </c>
      <c r="E131" s="5" t="str">
        <f t="shared" ref="E131:E194" si="12">IF(H131&lt;&gt;"",CONCATENATE(D131,".",H131),"")</f>
        <v/>
      </c>
      <c r="K131" t="str">
        <f>IFERROR(IF(VLOOKUP(E:E,'Old Report'!E:J,6,FALSE)="","",VLOOKUP(E:E,'Old Report'!E:J,6,FALSE)),"")</f>
        <v/>
      </c>
      <c r="L131" t="str">
        <f>IFERROR(IF(VLOOKUP(E:E,'Old Report'!E:L,8,FALSE)="","",VLOOKUP(E:E,'Old Report'!E:L,8,FALSE)),"")</f>
        <v/>
      </c>
      <c r="M131" s="5" t="str">
        <f t="shared" si="8"/>
        <v/>
      </c>
      <c r="N131" s="5" t="str">
        <f t="shared" si="9"/>
        <v/>
      </c>
    </row>
    <row r="132" spans="1:14" x14ac:dyDescent="0.25">
      <c r="A132" s="5">
        <v>131</v>
      </c>
      <c r="B132" s="5">
        <f t="shared" si="11"/>
        <v>0</v>
      </c>
      <c r="C132" s="5" t="str">
        <f t="shared" si="10"/>
        <v/>
      </c>
      <c r="D132" s="5" t="str">
        <f>IFERROR(IF(F132&lt;&gt;"",F132,VLOOKUP(MAX(C$2:C132),A$2:F132,2,FALSE)),"")</f>
        <v/>
      </c>
      <c r="E132" s="5" t="str">
        <f t="shared" si="12"/>
        <v/>
      </c>
      <c r="K132" t="str">
        <f>IFERROR(IF(VLOOKUP(E:E,'Old Report'!E:J,6,FALSE)="","",VLOOKUP(E:E,'Old Report'!E:J,6,FALSE)),"")</f>
        <v/>
      </c>
      <c r="L132" t="str">
        <f>IFERROR(IF(VLOOKUP(E:E,'Old Report'!E:L,8,FALSE)="","",VLOOKUP(E:E,'Old Report'!E:L,8,FALSE)),"")</f>
        <v/>
      </c>
      <c r="M132" s="5" t="str">
        <f t="shared" ref="M132:M195" si="13">IFERROR(L132,"")</f>
        <v/>
      </c>
      <c r="N132" s="5" t="str">
        <f t="shared" ref="N132:N195" si="14">IFERROR( IF(J132&lt;&gt;"",IF(K132 &lt;&gt; "",IF(J132 = K132,"No Change",IF(J132 &lt; K132,CONCATENATE("Issues reduced from ",K132," to ",J132),IF(J132&gt;K132,CONCATENATE("Issues increased from ",K132," to ",J132),""))),"New issue - needs to be checked"),""),"")</f>
        <v/>
      </c>
    </row>
    <row r="133" spans="1:14" x14ac:dyDescent="0.25">
      <c r="A133" s="5">
        <v>132</v>
      </c>
      <c r="B133" s="5">
        <f t="shared" si="11"/>
        <v>0</v>
      </c>
      <c r="C133" s="5" t="str">
        <f t="shared" si="10"/>
        <v/>
      </c>
      <c r="D133" s="5" t="str">
        <f>IFERROR(IF(F133&lt;&gt;"",F133,VLOOKUP(MAX(C$2:C133),A$2:F133,2,FALSE)),"")</f>
        <v/>
      </c>
      <c r="E133" s="5" t="str">
        <f t="shared" si="12"/>
        <v/>
      </c>
      <c r="K133" t="str">
        <f>IFERROR(IF(VLOOKUP(E:E,'Old Report'!E:J,6,FALSE)="","",VLOOKUP(E:E,'Old Report'!E:J,6,FALSE)),"")</f>
        <v/>
      </c>
      <c r="L133" t="str">
        <f>IFERROR(IF(VLOOKUP(E:E,'Old Report'!E:L,8,FALSE)="","",VLOOKUP(E:E,'Old Report'!E:L,8,FALSE)),"")</f>
        <v/>
      </c>
      <c r="M133" s="5" t="str">
        <f t="shared" si="13"/>
        <v/>
      </c>
      <c r="N133" s="5" t="str">
        <f t="shared" si="14"/>
        <v/>
      </c>
    </row>
    <row r="134" spans="1:14" x14ac:dyDescent="0.25">
      <c r="A134" s="5">
        <v>133</v>
      </c>
      <c r="B134" s="5">
        <f t="shared" si="11"/>
        <v>0</v>
      </c>
      <c r="C134" s="5" t="str">
        <f t="shared" si="10"/>
        <v/>
      </c>
      <c r="D134" s="5" t="str">
        <f>IFERROR(IF(F134&lt;&gt;"",F134,VLOOKUP(MAX(C$2:C134),A$2:F134,2,FALSE)),"")</f>
        <v/>
      </c>
      <c r="E134" s="5" t="str">
        <f t="shared" si="12"/>
        <v/>
      </c>
      <c r="K134" t="str">
        <f>IFERROR(IF(VLOOKUP(E:E,'Old Report'!E:J,6,FALSE)="","",VLOOKUP(E:E,'Old Report'!E:J,6,FALSE)),"")</f>
        <v/>
      </c>
      <c r="L134" t="str">
        <f>IFERROR(IF(VLOOKUP(E:E,'Old Report'!E:L,8,FALSE)="","",VLOOKUP(E:E,'Old Report'!E:L,8,FALSE)),"")</f>
        <v/>
      </c>
      <c r="M134" s="5" t="str">
        <f t="shared" si="13"/>
        <v/>
      </c>
      <c r="N134" s="5" t="str">
        <f t="shared" si="14"/>
        <v/>
      </c>
    </row>
    <row r="135" spans="1:14" x14ac:dyDescent="0.25">
      <c r="A135" s="5">
        <v>134</v>
      </c>
      <c r="B135" s="5">
        <f t="shared" si="11"/>
        <v>0</v>
      </c>
      <c r="C135" s="5" t="str">
        <f t="shared" si="10"/>
        <v/>
      </c>
      <c r="D135" s="5" t="str">
        <f>IFERROR(IF(F135&lt;&gt;"",F135,VLOOKUP(MAX(C$2:C135),A$2:F135,2,FALSE)),"")</f>
        <v/>
      </c>
      <c r="E135" s="5" t="str">
        <f t="shared" si="12"/>
        <v/>
      </c>
      <c r="K135" t="str">
        <f>IFERROR(IF(VLOOKUP(E:E,'Old Report'!E:J,6,FALSE)="","",VLOOKUP(E:E,'Old Report'!E:J,6,FALSE)),"")</f>
        <v/>
      </c>
      <c r="L135" t="str">
        <f>IFERROR(IF(VLOOKUP(E:E,'Old Report'!E:L,8,FALSE)="","",VLOOKUP(E:E,'Old Report'!E:L,8,FALSE)),"")</f>
        <v/>
      </c>
      <c r="M135" s="5" t="str">
        <f t="shared" si="13"/>
        <v/>
      </c>
      <c r="N135" s="5" t="str">
        <f t="shared" si="14"/>
        <v/>
      </c>
    </row>
    <row r="136" spans="1:14" x14ac:dyDescent="0.25">
      <c r="A136" s="5">
        <v>135</v>
      </c>
      <c r="B136" s="5">
        <f t="shared" si="11"/>
        <v>0</v>
      </c>
      <c r="C136" s="5" t="str">
        <f t="shared" si="10"/>
        <v/>
      </c>
      <c r="D136" s="5" t="str">
        <f>IFERROR(IF(F136&lt;&gt;"",F136,VLOOKUP(MAX(C$2:C136),A$2:F136,2,FALSE)),"")</f>
        <v/>
      </c>
      <c r="E136" s="5" t="str">
        <f t="shared" si="12"/>
        <v/>
      </c>
      <c r="K136" t="str">
        <f>IFERROR(IF(VLOOKUP(E:E,'Old Report'!E:J,6,FALSE)="","",VLOOKUP(E:E,'Old Report'!E:J,6,FALSE)),"")</f>
        <v/>
      </c>
      <c r="L136" t="str">
        <f>IFERROR(IF(VLOOKUP(E:E,'Old Report'!E:L,8,FALSE)="","",VLOOKUP(E:E,'Old Report'!E:L,8,FALSE)),"")</f>
        <v/>
      </c>
      <c r="M136" s="5" t="str">
        <f t="shared" si="13"/>
        <v/>
      </c>
      <c r="N136" s="5" t="str">
        <f t="shared" si="14"/>
        <v/>
      </c>
    </row>
    <row r="137" spans="1:14" x14ac:dyDescent="0.25">
      <c r="A137" s="5">
        <v>136</v>
      </c>
      <c r="B137" s="5">
        <f t="shared" si="11"/>
        <v>0</v>
      </c>
      <c r="C137" s="5" t="str">
        <f t="shared" si="10"/>
        <v/>
      </c>
      <c r="D137" s="5" t="str">
        <f>IFERROR(IF(F137&lt;&gt;"",F137,VLOOKUP(MAX(C$2:C137),A$2:F137,2,FALSE)),"")</f>
        <v/>
      </c>
      <c r="E137" s="5" t="str">
        <f t="shared" si="12"/>
        <v/>
      </c>
      <c r="K137" t="str">
        <f>IFERROR(IF(VLOOKUP(E:E,'Old Report'!E:J,6,FALSE)="","",VLOOKUP(E:E,'Old Report'!E:J,6,FALSE)),"")</f>
        <v/>
      </c>
      <c r="L137" t="str">
        <f>IFERROR(IF(VLOOKUP(E:E,'Old Report'!E:L,8,FALSE)="","",VLOOKUP(E:E,'Old Report'!E:L,8,FALSE)),"")</f>
        <v/>
      </c>
      <c r="M137" s="5" t="str">
        <f t="shared" si="13"/>
        <v/>
      </c>
      <c r="N137" s="5" t="str">
        <f t="shared" si="14"/>
        <v/>
      </c>
    </row>
    <row r="138" spans="1:14" x14ac:dyDescent="0.25">
      <c r="A138" s="5">
        <v>137</v>
      </c>
      <c r="B138" s="5">
        <f t="shared" si="11"/>
        <v>0</v>
      </c>
      <c r="C138" s="5" t="str">
        <f t="shared" si="10"/>
        <v/>
      </c>
      <c r="D138" s="5" t="str">
        <f>IFERROR(IF(F138&lt;&gt;"",F138,VLOOKUP(MAX(C$2:C138),A$2:F138,2,FALSE)),"")</f>
        <v/>
      </c>
      <c r="E138" s="5" t="str">
        <f t="shared" si="12"/>
        <v/>
      </c>
      <c r="K138" t="str">
        <f>IFERROR(IF(VLOOKUP(E:E,'Old Report'!E:J,6,FALSE)="","",VLOOKUP(E:E,'Old Report'!E:J,6,FALSE)),"")</f>
        <v/>
      </c>
      <c r="L138" t="str">
        <f>IFERROR(IF(VLOOKUP(E:E,'Old Report'!E:L,8,FALSE)="","",VLOOKUP(E:E,'Old Report'!E:L,8,FALSE)),"")</f>
        <v/>
      </c>
      <c r="M138" s="5" t="str">
        <f t="shared" si="13"/>
        <v/>
      </c>
      <c r="N138" s="5" t="str">
        <f t="shared" si="14"/>
        <v/>
      </c>
    </row>
    <row r="139" spans="1:14" x14ac:dyDescent="0.25">
      <c r="A139" s="5">
        <v>138</v>
      </c>
      <c r="B139" s="5">
        <f t="shared" si="11"/>
        <v>0</v>
      </c>
      <c r="C139" s="5" t="str">
        <f t="shared" si="10"/>
        <v/>
      </c>
      <c r="D139" s="5" t="str">
        <f>IFERROR(IF(F139&lt;&gt;"",F139,VLOOKUP(MAX(C$2:C139),A$2:F139,2,FALSE)),"")</f>
        <v/>
      </c>
      <c r="E139" s="5" t="str">
        <f t="shared" si="12"/>
        <v/>
      </c>
      <c r="K139" t="str">
        <f>IFERROR(IF(VLOOKUP(E:E,'Old Report'!E:J,6,FALSE)="","",VLOOKUP(E:E,'Old Report'!E:J,6,FALSE)),"")</f>
        <v/>
      </c>
      <c r="L139" t="str">
        <f>IFERROR(IF(VLOOKUP(E:E,'Old Report'!E:L,8,FALSE)="","",VLOOKUP(E:E,'Old Report'!E:L,8,FALSE)),"")</f>
        <v/>
      </c>
      <c r="M139" s="5" t="str">
        <f t="shared" si="13"/>
        <v/>
      </c>
      <c r="N139" s="5" t="str">
        <f t="shared" si="14"/>
        <v/>
      </c>
    </row>
    <row r="140" spans="1:14" x14ac:dyDescent="0.25">
      <c r="A140" s="5">
        <v>139</v>
      </c>
      <c r="B140" s="5">
        <f t="shared" si="11"/>
        <v>0</v>
      </c>
      <c r="C140" s="5" t="str">
        <f t="shared" si="10"/>
        <v/>
      </c>
      <c r="D140" s="5" t="str">
        <f>IFERROR(IF(F140&lt;&gt;"",F140,VLOOKUP(MAX(C$2:C140),A$2:F140,2,FALSE)),"")</f>
        <v/>
      </c>
      <c r="E140" s="5" t="str">
        <f t="shared" si="12"/>
        <v/>
      </c>
      <c r="K140" t="str">
        <f>IFERROR(IF(VLOOKUP(E:E,'Old Report'!E:J,6,FALSE)="","",VLOOKUP(E:E,'Old Report'!E:J,6,FALSE)),"")</f>
        <v/>
      </c>
      <c r="L140" t="str">
        <f>IFERROR(IF(VLOOKUP(E:E,'Old Report'!E:L,8,FALSE)="","",VLOOKUP(E:E,'Old Report'!E:L,8,FALSE)),"")</f>
        <v/>
      </c>
      <c r="M140" s="5" t="str">
        <f t="shared" si="13"/>
        <v/>
      </c>
      <c r="N140" s="5" t="str">
        <f t="shared" si="14"/>
        <v/>
      </c>
    </row>
    <row r="141" spans="1:14" x14ac:dyDescent="0.25">
      <c r="A141" s="5">
        <v>140</v>
      </c>
      <c r="B141" s="5">
        <f t="shared" si="11"/>
        <v>0</v>
      </c>
      <c r="C141" s="5" t="str">
        <f t="shared" si="10"/>
        <v/>
      </c>
      <c r="D141" s="5" t="str">
        <f>IFERROR(IF(F141&lt;&gt;"",F141,VLOOKUP(MAX(C$2:C141),A$2:F141,2,FALSE)),"")</f>
        <v/>
      </c>
      <c r="E141" s="5" t="str">
        <f t="shared" si="12"/>
        <v/>
      </c>
      <c r="K141" t="str">
        <f>IFERROR(IF(VLOOKUP(E:E,'Old Report'!E:J,6,FALSE)="","",VLOOKUP(E:E,'Old Report'!E:J,6,FALSE)),"")</f>
        <v/>
      </c>
      <c r="L141" t="str">
        <f>IFERROR(IF(VLOOKUP(E:E,'Old Report'!E:L,8,FALSE)="","",VLOOKUP(E:E,'Old Report'!E:L,8,FALSE)),"")</f>
        <v/>
      </c>
      <c r="M141" s="5" t="str">
        <f t="shared" si="13"/>
        <v/>
      </c>
      <c r="N141" s="5" t="str">
        <f t="shared" si="14"/>
        <v/>
      </c>
    </row>
    <row r="142" spans="1:14" x14ac:dyDescent="0.25">
      <c r="A142" s="5">
        <v>141</v>
      </c>
      <c r="B142" s="5">
        <f t="shared" si="11"/>
        <v>0</v>
      </c>
      <c r="C142" s="5" t="str">
        <f t="shared" si="10"/>
        <v/>
      </c>
      <c r="D142" s="5" t="str">
        <f>IFERROR(IF(F142&lt;&gt;"",F142,VLOOKUP(MAX(C$2:C142),A$2:F142,2,FALSE)),"")</f>
        <v/>
      </c>
      <c r="E142" s="5" t="str">
        <f t="shared" si="12"/>
        <v/>
      </c>
      <c r="K142" t="str">
        <f>IFERROR(IF(VLOOKUP(E:E,'Old Report'!E:J,6,FALSE)="","",VLOOKUP(E:E,'Old Report'!E:J,6,FALSE)),"")</f>
        <v/>
      </c>
      <c r="L142" t="str">
        <f>IFERROR(IF(VLOOKUP(E:E,'Old Report'!E:L,8,FALSE)="","",VLOOKUP(E:E,'Old Report'!E:L,8,FALSE)),"")</f>
        <v/>
      </c>
      <c r="M142" s="5" t="str">
        <f t="shared" si="13"/>
        <v/>
      </c>
      <c r="N142" s="5" t="str">
        <f t="shared" si="14"/>
        <v/>
      </c>
    </row>
    <row r="143" spans="1:14" x14ac:dyDescent="0.25">
      <c r="A143" s="5">
        <v>142</v>
      </c>
      <c r="B143" s="5">
        <f t="shared" si="11"/>
        <v>0</v>
      </c>
      <c r="C143" s="5" t="str">
        <f t="shared" si="10"/>
        <v/>
      </c>
      <c r="D143" s="5" t="str">
        <f>IFERROR(IF(F143&lt;&gt;"",F143,VLOOKUP(MAX(C$2:C143),A$2:F143,2,FALSE)),"")</f>
        <v/>
      </c>
      <c r="E143" s="5" t="str">
        <f t="shared" si="12"/>
        <v/>
      </c>
      <c r="K143" t="str">
        <f>IFERROR(IF(VLOOKUP(E:E,'Old Report'!E:J,6,FALSE)="","",VLOOKUP(E:E,'Old Report'!E:J,6,FALSE)),"")</f>
        <v/>
      </c>
      <c r="L143" t="str">
        <f>IFERROR(IF(VLOOKUP(E:E,'Old Report'!E:L,8,FALSE)="","",VLOOKUP(E:E,'Old Report'!E:L,8,FALSE)),"")</f>
        <v/>
      </c>
      <c r="M143" s="5" t="str">
        <f t="shared" si="13"/>
        <v/>
      </c>
      <c r="N143" s="5" t="str">
        <f t="shared" si="14"/>
        <v/>
      </c>
    </row>
    <row r="144" spans="1:14" x14ac:dyDescent="0.25">
      <c r="A144" s="5">
        <v>143</v>
      </c>
      <c r="B144" s="5">
        <f t="shared" si="11"/>
        <v>0</v>
      </c>
      <c r="C144" s="5" t="str">
        <f t="shared" si="10"/>
        <v/>
      </c>
      <c r="D144" s="5" t="str">
        <f>IFERROR(IF(F144&lt;&gt;"",F144,VLOOKUP(MAX(C$2:C144),A$2:F144,2,FALSE)),"")</f>
        <v/>
      </c>
      <c r="E144" s="5" t="str">
        <f t="shared" si="12"/>
        <v/>
      </c>
      <c r="K144" t="str">
        <f>IFERROR(IF(VLOOKUP(E:E,'Old Report'!E:J,6,FALSE)="","",VLOOKUP(E:E,'Old Report'!E:J,6,FALSE)),"")</f>
        <v/>
      </c>
      <c r="L144" t="str">
        <f>IFERROR(IF(VLOOKUP(E:E,'Old Report'!E:L,8,FALSE)="","",VLOOKUP(E:E,'Old Report'!E:L,8,FALSE)),"")</f>
        <v/>
      </c>
      <c r="M144" s="5" t="str">
        <f t="shared" si="13"/>
        <v/>
      </c>
      <c r="N144" s="5" t="str">
        <f t="shared" si="14"/>
        <v/>
      </c>
    </row>
    <row r="145" spans="1:14" x14ac:dyDescent="0.25">
      <c r="A145" s="5">
        <v>144</v>
      </c>
      <c r="B145" s="5">
        <f t="shared" si="11"/>
        <v>0</v>
      </c>
      <c r="C145" s="5" t="str">
        <f t="shared" si="10"/>
        <v/>
      </c>
      <c r="D145" s="5" t="str">
        <f>IFERROR(IF(F145&lt;&gt;"",F145,VLOOKUP(MAX(C$2:C145),A$2:F145,2,FALSE)),"")</f>
        <v/>
      </c>
      <c r="E145" s="5" t="str">
        <f t="shared" si="12"/>
        <v/>
      </c>
      <c r="K145" t="str">
        <f>IFERROR(IF(VLOOKUP(E:E,'Old Report'!E:J,6,FALSE)="","",VLOOKUP(E:E,'Old Report'!E:J,6,FALSE)),"")</f>
        <v/>
      </c>
      <c r="L145" t="str">
        <f>IFERROR(IF(VLOOKUP(E:E,'Old Report'!E:L,8,FALSE)="","",VLOOKUP(E:E,'Old Report'!E:L,8,FALSE)),"")</f>
        <v/>
      </c>
      <c r="M145" s="5" t="str">
        <f t="shared" si="13"/>
        <v/>
      </c>
      <c r="N145" s="5" t="str">
        <f t="shared" si="14"/>
        <v/>
      </c>
    </row>
    <row r="146" spans="1:14" x14ac:dyDescent="0.25">
      <c r="A146" s="5">
        <v>145</v>
      </c>
      <c r="B146" s="5">
        <f t="shared" si="11"/>
        <v>0</v>
      </c>
      <c r="C146" s="5" t="str">
        <f t="shared" si="10"/>
        <v/>
      </c>
      <c r="D146" s="5" t="str">
        <f>IFERROR(IF(F146&lt;&gt;"",F146,VLOOKUP(MAX(C$2:C146),A$2:F146,2,FALSE)),"")</f>
        <v/>
      </c>
      <c r="E146" s="5" t="str">
        <f t="shared" si="12"/>
        <v/>
      </c>
      <c r="K146" t="str">
        <f>IFERROR(IF(VLOOKUP(E:E,'Old Report'!E:J,6,FALSE)="","",VLOOKUP(E:E,'Old Report'!E:J,6,FALSE)),"")</f>
        <v/>
      </c>
      <c r="L146" t="str">
        <f>IFERROR(IF(VLOOKUP(E:E,'Old Report'!E:L,8,FALSE)="","",VLOOKUP(E:E,'Old Report'!E:L,8,FALSE)),"")</f>
        <v/>
      </c>
      <c r="M146" s="5" t="str">
        <f t="shared" si="13"/>
        <v/>
      </c>
      <c r="N146" s="5" t="str">
        <f t="shared" si="14"/>
        <v/>
      </c>
    </row>
    <row r="147" spans="1:14" x14ac:dyDescent="0.25">
      <c r="A147" s="5">
        <v>146</v>
      </c>
      <c r="B147" s="5">
        <f t="shared" si="11"/>
        <v>0</v>
      </c>
      <c r="C147" s="5" t="str">
        <f t="shared" si="10"/>
        <v/>
      </c>
      <c r="D147" s="5" t="str">
        <f>IFERROR(IF(F147&lt;&gt;"",F147,VLOOKUP(MAX(C$2:C147),A$2:F147,2,FALSE)),"")</f>
        <v/>
      </c>
      <c r="E147" s="5" t="str">
        <f t="shared" si="12"/>
        <v/>
      </c>
      <c r="K147" t="str">
        <f>IFERROR(IF(VLOOKUP(E:E,'Old Report'!E:J,6,FALSE)="","",VLOOKUP(E:E,'Old Report'!E:J,6,FALSE)),"")</f>
        <v/>
      </c>
      <c r="L147" t="str">
        <f>IFERROR(IF(VLOOKUP(E:E,'Old Report'!E:L,8,FALSE)="","",VLOOKUP(E:E,'Old Report'!E:L,8,FALSE)),"")</f>
        <v/>
      </c>
      <c r="M147" s="5" t="str">
        <f t="shared" si="13"/>
        <v/>
      </c>
      <c r="N147" s="5" t="str">
        <f t="shared" si="14"/>
        <v/>
      </c>
    </row>
    <row r="148" spans="1:14" x14ac:dyDescent="0.25">
      <c r="A148" s="5">
        <v>147</v>
      </c>
      <c r="B148" s="5">
        <f t="shared" si="11"/>
        <v>0</v>
      </c>
      <c r="C148" s="5" t="str">
        <f t="shared" si="10"/>
        <v/>
      </c>
      <c r="D148" s="5" t="str">
        <f>IFERROR(IF(F148&lt;&gt;"",F148,VLOOKUP(MAX(C$2:C148),A$2:F148,2,FALSE)),"")</f>
        <v/>
      </c>
      <c r="E148" s="5" t="str">
        <f t="shared" si="12"/>
        <v/>
      </c>
      <c r="K148" t="str">
        <f>IFERROR(IF(VLOOKUP(E:E,'Old Report'!E:J,6,FALSE)="","",VLOOKUP(E:E,'Old Report'!E:J,6,FALSE)),"")</f>
        <v/>
      </c>
      <c r="L148" t="str">
        <f>IFERROR(IF(VLOOKUP(E:E,'Old Report'!E:L,8,FALSE)="","",VLOOKUP(E:E,'Old Report'!E:L,8,FALSE)),"")</f>
        <v/>
      </c>
      <c r="M148" s="5" t="str">
        <f t="shared" si="13"/>
        <v/>
      </c>
      <c r="N148" s="5" t="str">
        <f t="shared" si="14"/>
        <v/>
      </c>
    </row>
    <row r="149" spans="1:14" x14ac:dyDescent="0.25">
      <c r="A149" s="5">
        <v>148</v>
      </c>
      <c r="B149" s="5">
        <f t="shared" si="11"/>
        <v>0</v>
      </c>
      <c r="C149" s="5" t="str">
        <f t="shared" si="10"/>
        <v/>
      </c>
      <c r="D149" s="5" t="str">
        <f>IFERROR(IF(F149&lt;&gt;"",F149,VLOOKUP(MAX(C$2:C149),A$2:F149,2,FALSE)),"")</f>
        <v/>
      </c>
      <c r="E149" s="5" t="str">
        <f t="shared" si="12"/>
        <v/>
      </c>
      <c r="K149" t="str">
        <f>IFERROR(IF(VLOOKUP(E:E,'Old Report'!E:J,6,FALSE)="","",VLOOKUP(E:E,'Old Report'!E:J,6,FALSE)),"")</f>
        <v/>
      </c>
      <c r="L149" t="str">
        <f>IFERROR(IF(VLOOKUP(E:E,'Old Report'!E:L,8,FALSE)="","",VLOOKUP(E:E,'Old Report'!E:L,8,FALSE)),"")</f>
        <v/>
      </c>
      <c r="M149" s="5" t="str">
        <f t="shared" si="13"/>
        <v/>
      </c>
      <c r="N149" s="5" t="str">
        <f t="shared" si="14"/>
        <v/>
      </c>
    </row>
    <row r="150" spans="1:14" x14ac:dyDescent="0.25">
      <c r="A150" s="5">
        <v>149</v>
      </c>
      <c r="B150" s="5">
        <f t="shared" si="11"/>
        <v>0</v>
      </c>
      <c r="C150" s="5" t="str">
        <f t="shared" si="10"/>
        <v/>
      </c>
      <c r="D150" s="5" t="str">
        <f>IFERROR(IF(F150&lt;&gt;"",F150,VLOOKUP(MAX(C$2:C150),A$2:F150,2,FALSE)),"")</f>
        <v/>
      </c>
      <c r="E150" s="5" t="str">
        <f t="shared" si="12"/>
        <v/>
      </c>
      <c r="K150" t="str">
        <f>IFERROR(IF(VLOOKUP(E:E,'Old Report'!E:J,6,FALSE)="","",VLOOKUP(E:E,'Old Report'!E:J,6,FALSE)),"")</f>
        <v/>
      </c>
      <c r="L150" t="str">
        <f>IFERROR(IF(VLOOKUP(E:E,'Old Report'!E:L,8,FALSE)="","",VLOOKUP(E:E,'Old Report'!E:L,8,FALSE)),"")</f>
        <v/>
      </c>
      <c r="M150" s="5" t="str">
        <f t="shared" si="13"/>
        <v/>
      </c>
      <c r="N150" s="5" t="str">
        <f t="shared" si="14"/>
        <v/>
      </c>
    </row>
    <row r="151" spans="1:14" x14ac:dyDescent="0.25">
      <c r="A151" s="5">
        <v>150</v>
      </c>
      <c r="B151" s="5">
        <f t="shared" si="11"/>
        <v>0</v>
      </c>
      <c r="C151" s="5" t="str">
        <f t="shared" si="10"/>
        <v/>
      </c>
      <c r="D151" s="5" t="str">
        <f>IFERROR(IF(F151&lt;&gt;"",F151,VLOOKUP(MAX(C$2:C151),A$2:F151,2,FALSE)),"")</f>
        <v/>
      </c>
      <c r="E151" s="5" t="str">
        <f t="shared" si="12"/>
        <v/>
      </c>
      <c r="K151" t="str">
        <f>IFERROR(IF(VLOOKUP(E:E,'Old Report'!E:J,6,FALSE)="","",VLOOKUP(E:E,'Old Report'!E:J,6,FALSE)),"")</f>
        <v/>
      </c>
      <c r="L151" t="str">
        <f>IFERROR(IF(VLOOKUP(E:E,'Old Report'!E:L,8,FALSE)="","",VLOOKUP(E:E,'Old Report'!E:L,8,FALSE)),"")</f>
        <v/>
      </c>
      <c r="M151" s="5" t="str">
        <f t="shared" si="13"/>
        <v/>
      </c>
      <c r="N151" s="5" t="str">
        <f t="shared" si="14"/>
        <v/>
      </c>
    </row>
    <row r="152" spans="1:14" x14ac:dyDescent="0.25">
      <c r="A152" s="5">
        <v>151</v>
      </c>
      <c r="B152" s="5">
        <f t="shared" si="11"/>
        <v>0</v>
      </c>
      <c r="C152" s="5" t="str">
        <f t="shared" si="10"/>
        <v/>
      </c>
      <c r="D152" s="5" t="str">
        <f>IFERROR(IF(F152&lt;&gt;"",F152,VLOOKUP(MAX(C$2:C152),A$2:F152,2,FALSE)),"")</f>
        <v/>
      </c>
      <c r="E152" s="5" t="str">
        <f t="shared" si="12"/>
        <v/>
      </c>
      <c r="K152" t="str">
        <f>IFERROR(IF(VLOOKUP(E:E,'Old Report'!E:J,6,FALSE)="","",VLOOKUP(E:E,'Old Report'!E:J,6,FALSE)),"")</f>
        <v/>
      </c>
      <c r="L152" t="str">
        <f>IFERROR(IF(VLOOKUP(E:E,'Old Report'!E:L,8,FALSE)="","",VLOOKUP(E:E,'Old Report'!E:L,8,FALSE)),"")</f>
        <v/>
      </c>
      <c r="M152" s="5" t="str">
        <f t="shared" si="13"/>
        <v/>
      </c>
      <c r="N152" s="5" t="str">
        <f t="shared" si="14"/>
        <v/>
      </c>
    </row>
    <row r="153" spans="1:14" x14ac:dyDescent="0.25">
      <c r="A153" s="5">
        <v>152</v>
      </c>
      <c r="B153" s="5">
        <f t="shared" si="11"/>
        <v>0</v>
      </c>
      <c r="C153" s="5" t="str">
        <f t="shared" si="10"/>
        <v/>
      </c>
      <c r="D153" s="5" t="str">
        <f>IFERROR(IF(F153&lt;&gt;"",F153,VLOOKUP(MAX(C$2:C153),A$2:F153,2,FALSE)),"")</f>
        <v/>
      </c>
      <c r="E153" s="5" t="str">
        <f t="shared" si="12"/>
        <v/>
      </c>
      <c r="K153" t="str">
        <f>IFERROR(IF(VLOOKUP(E:E,'Old Report'!E:J,6,FALSE)="","",VLOOKUP(E:E,'Old Report'!E:J,6,FALSE)),"")</f>
        <v/>
      </c>
      <c r="L153" t="str">
        <f>IFERROR(IF(VLOOKUP(E:E,'Old Report'!E:L,8,FALSE)="","",VLOOKUP(E:E,'Old Report'!E:L,8,FALSE)),"")</f>
        <v/>
      </c>
      <c r="M153" s="5" t="str">
        <f t="shared" si="13"/>
        <v/>
      </c>
      <c r="N153" s="5" t="str">
        <f t="shared" si="14"/>
        <v/>
      </c>
    </row>
    <row r="154" spans="1:14" x14ac:dyDescent="0.25">
      <c r="A154" s="5">
        <v>153</v>
      </c>
      <c r="B154" s="5">
        <f t="shared" si="11"/>
        <v>0</v>
      </c>
      <c r="C154" s="5" t="str">
        <f t="shared" si="10"/>
        <v/>
      </c>
      <c r="D154" s="5" t="str">
        <f>IFERROR(IF(F154&lt;&gt;"",F154,VLOOKUP(MAX(C$2:C154),A$2:F154,2,FALSE)),"")</f>
        <v/>
      </c>
      <c r="E154" s="5" t="str">
        <f t="shared" si="12"/>
        <v/>
      </c>
      <c r="K154" t="str">
        <f>IFERROR(IF(VLOOKUP(E:E,'Old Report'!E:J,6,FALSE)="","",VLOOKUP(E:E,'Old Report'!E:J,6,FALSE)),"")</f>
        <v/>
      </c>
      <c r="L154" t="str">
        <f>IFERROR(IF(VLOOKUP(E:E,'Old Report'!E:L,8,FALSE)="","",VLOOKUP(E:E,'Old Report'!E:L,8,FALSE)),"")</f>
        <v/>
      </c>
      <c r="M154" s="5" t="str">
        <f t="shared" si="13"/>
        <v/>
      </c>
      <c r="N154" s="5" t="str">
        <f t="shared" si="14"/>
        <v/>
      </c>
    </row>
    <row r="155" spans="1:14" x14ac:dyDescent="0.25">
      <c r="A155" s="5">
        <v>154</v>
      </c>
      <c r="B155" s="5">
        <f t="shared" si="11"/>
        <v>0</v>
      </c>
      <c r="C155" s="5" t="str">
        <f t="shared" si="10"/>
        <v/>
      </c>
      <c r="D155" s="5" t="str">
        <f>IFERROR(IF(F155&lt;&gt;"",F155,VLOOKUP(MAX(C$2:C155),A$2:F155,2,FALSE)),"")</f>
        <v/>
      </c>
      <c r="E155" s="5" t="str">
        <f t="shared" si="12"/>
        <v/>
      </c>
      <c r="K155" t="str">
        <f>IFERROR(IF(VLOOKUP(E:E,'Old Report'!E:J,6,FALSE)="","",VLOOKUP(E:E,'Old Report'!E:J,6,FALSE)),"")</f>
        <v/>
      </c>
      <c r="L155" t="str">
        <f>IFERROR(IF(VLOOKUP(E:E,'Old Report'!E:L,8,FALSE)="","",VLOOKUP(E:E,'Old Report'!E:L,8,FALSE)),"")</f>
        <v/>
      </c>
      <c r="M155" s="5" t="str">
        <f t="shared" si="13"/>
        <v/>
      </c>
      <c r="N155" s="5" t="str">
        <f t="shared" si="14"/>
        <v/>
      </c>
    </row>
    <row r="156" spans="1:14" x14ac:dyDescent="0.25">
      <c r="A156" s="5">
        <v>155</v>
      </c>
      <c r="B156" s="5">
        <f t="shared" si="11"/>
        <v>0</v>
      </c>
      <c r="C156" s="5" t="str">
        <f t="shared" si="10"/>
        <v/>
      </c>
      <c r="D156" s="5" t="str">
        <f>IFERROR(IF(F156&lt;&gt;"",F156,VLOOKUP(MAX(C$2:C156),A$2:F156,2,FALSE)),"")</f>
        <v/>
      </c>
      <c r="E156" s="5" t="str">
        <f t="shared" si="12"/>
        <v/>
      </c>
      <c r="K156" t="str">
        <f>IFERROR(IF(VLOOKUP(E:E,'Old Report'!E:J,6,FALSE)="","",VLOOKUP(E:E,'Old Report'!E:J,6,FALSE)),"")</f>
        <v/>
      </c>
      <c r="L156" t="str">
        <f>IFERROR(IF(VLOOKUP(E:E,'Old Report'!E:L,8,FALSE)="","",VLOOKUP(E:E,'Old Report'!E:L,8,FALSE)),"")</f>
        <v/>
      </c>
      <c r="M156" s="5" t="str">
        <f t="shared" si="13"/>
        <v/>
      </c>
      <c r="N156" s="5" t="str">
        <f t="shared" si="14"/>
        <v/>
      </c>
    </row>
    <row r="157" spans="1:14" x14ac:dyDescent="0.25">
      <c r="A157" s="5">
        <v>156</v>
      </c>
      <c r="B157" s="5">
        <f t="shared" si="11"/>
        <v>0</v>
      </c>
      <c r="C157" s="5" t="str">
        <f t="shared" si="10"/>
        <v/>
      </c>
      <c r="D157" s="5" t="str">
        <f>IFERROR(IF(F157&lt;&gt;"",F157,VLOOKUP(MAX(C$2:C157),A$2:F157,2,FALSE)),"")</f>
        <v/>
      </c>
      <c r="E157" s="5" t="str">
        <f t="shared" si="12"/>
        <v/>
      </c>
      <c r="K157" t="str">
        <f>IFERROR(IF(VLOOKUP(E:E,'Old Report'!E:J,6,FALSE)="","",VLOOKUP(E:E,'Old Report'!E:J,6,FALSE)),"")</f>
        <v/>
      </c>
      <c r="L157" t="str">
        <f>IFERROR(IF(VLOOKUP(E:E,'Old Report'!E:L,8,FALSE)="","",VLOOKUP(E:E,'Old Report'!E:L,8,FALSE)),"")</f>
        <v/>
      </c>
      <c r="M157" s="5" t="str">
        <f t="shared" si="13"/>
        <v/>
      </c>
      <c r="N157" s="5" t="str">
        <f t="shared" si="14"/>
        <v/>
      </c>
    </row>
    <row r="158" spans="1:14" x14ac:dyDescent="0.25">
      <c r="A158" s="5">
        <v>157</v>
      </c>
      <c r="B158" s="5">
        <f t="shared" si="11"/>
        <v>0</v>
      </c>
      <c r="C158" s="5" t="str">
        <f t="shared" si="10"/>
        <v/>
      </c>
      <c r="D158" s="5" t="str">
        <f>IFERROR(IF(F158&lt;&gt;"",F158,VLOOKUP(MAX(C$2:C158),A$2:F158,2,FALSE)),"")</f>
        <v/>
      </c>
      <c r="E158" s="5" t="str">
        <f t="shared" si="12"/>
        <v/>
      </c>
      <c r="K158" t="str">
        <f>IFERROR(IF(VLOOKUP(E:E,'Old Report'!E:J,6,FALSE)="","",VLOOKUP(E:E,'Old Report'!E:J,6,FALSE)),"")</f>
        <v/>
      </c>
      <c r="L158" t="str">
        <f>IFERROR(IF(VLOOKUP(E:E,'Old Report'!E:L,8,FALSE)="","",VLOOKUP(E:E,'Old Report'!E:L,8,FALSE)),"")</f>
        <v/>
      </c>
      <c r="M158" s="5" t="str">
        <f t="shared" si="13"/>
        <v/>
      </c>
      <c r="N158" s="5" t="str">
        <f t="shared" si="14"/>
        <v/>
      </c>
    </row>
    <row r="159" spans="1:14" x14ac:dyDescent="0.25">
      <c r="A159" s="5">
        <v>158</v>
      </c>
      <c r="B159" s="5">
        <f t="shared" si="11"/>
        <v>0</v>
      </c>
      <c r="C159" s="5" t="str">
        <f t="shared" si="10"/>
        <v/>
      </c>
      <c r="D159" s="5" t="str">
        <f>IFERROR(IF(F159&lt;&gt;"",F159,VLOOKUP(MAX(C$2:C159),A$2:F159,2,FALSE)),"")</f>
        <v/>
      </c>
      <c r="E159" s="5" t="str">
        <f t="shared" si="12"/>
        <v/>
      </c>
      <c r="K159" t="str">
        <f>IFERROR(IF(VLOOKUP(E:E,'Old Report'!E:J,6,FALSE)="","",VLOOKUP(E:E,'Old Report'!E:J,6,FALSE)),"")</f>
        <v/>
      </c>
      <c r="L159" t="str">
        <f>IFERROR(IF(VLOOKUP(E:E,'Old Report'!E:L,8,FALSE)="","",VLOOKUP(E:E,'Old Report'!E:L,8,FALSE)),"")</f>
        <v/>
      </c>
      <c r="M159" s="5" t="str">
        <f t="shared" si="13"/>
        <v/>
      </c>
      <c r="N159" s="5" t="str">
        <f t="shared" si="14"/>
        <v/>
      </c>
    </row>
    <row r="160" spans="1:14" x14ac:dyDescent="0.25">
      <c r="A160" s="5">
        <v>159</v>
      </c>
      <c r="B160" s="5">
        <f t="shared" si="11"/>
        <v>0</v>
      </c>
      <c r="C160" s="5" t="str">
        <f t="shared" si="10"/>
        <v/>
      </c>
      <c r="D160" s="5" t="str">
        <f>IFERROR(IF(F160&lt;&gt;"",F160,VLOOKUP(MAX(C$2:C160),A$2:F160,2,FALSE)),"")</f>
        <v/>
      </c>
      <c r="E160" s="5" t="str">
        <f t="shared" si="12"/>
        <v/>
      </c>
      <c r="K160" t="str">
        <f>IFERROR(IF(VLOOKUP(E:E,'Old Report'!E:J,6,FALSE)="","",VLOOKUP(E:E,'Old Report'!E:J,6,FALSE)),"")</f>
        <v/>
      </c>
      <c r="L160" t="str">
        <f>IFERROR(IF(VLOOKUP(E:E,'Old Report'!E:L,8,FALSE)="","",VLOOKUP(E:E,'Old Report'!E:L,8,FALSE)),"")</f>
        <v/>
      </c>
      <c r="M160" s="5" t="str">
        <f t="shared" si="13"/>
        <v/>
      </c>
      <c r="N160" s="5" t="str">
        <f t="shared" si="14"/>
        <v/>
      </c>
    </row>
    <row r="161" spans="1:14" x14ac:dyDescent="0.25">
      <c r="A161" s="5">
        <v>160</v>
      </c>
      <c r="B161" s="5">
        <f t="shared" si="11"/>
        <v>0</v>
      </c>
      <c r="C161" s="5" t="str">
        <f t="shared" si="10"/>
        <v/>
      </c>
      <c r="D161" s="5" t="str">
        <f>IFERROR(IF(F161&lt;&gt;"",F161,VLOOKUP(MAX(C$2:C161),A$2:F161,2,FALSE)),"")</f>
        <v/>
      </c>
      <c r="E161" s="5" t="str">
        <f t="shared" si="12"/>
        <v/>
      </c>
      <c r="K161" t="str">
        <f>IFERROR(IF(VLOOKUP(E:E,'Old Report'!E:J,6,FALSE)="","",VLOOKUP(E:E,'Old Report'!E:J,6,FALSE)),"")</f>
        <v/>
      </c>
      <c r="L161" t="str">
        <f>IFERROR(IF(VLOOKUP(E:E,'Old Report'!E:L,8,FALSE)="","",VLOOKUP(E:E,'Old Report'!E:L,8,FALSE)),"")</f>
        <v/>
      </c>
      <c r="M161" s="5" t="str">
        <f t="shared" si="13"/>
        <v/>
      </c>
      <c r="N161" s="5" t="str">
        <f t="shared" si="14"/>
        <v/>
      </c>
    </row>
    <row r="162" spans="1:14" x14ac:dyDescent="0.25">
      <c r="A162" s="5">
        <v>161</v>
      </c>
      <c r="B162" s="5">
        <f t="shared" si="11"/>
        <v>0</v>
      </c>
      <c r="C162" s="5" t="str">
        <f t="shared" si="10"/>
        <v/>
      </c>
      <c r="D162" s="5" t="str">
        <f>IFERROR(IF(F162&lt;&gt;"",F162,VLOOKUP(MAX(C$2:C162),A$2:F162,2,FALSE)),"")</f>
        <v/>
      </c>
      <c r="E162" s="5" t="str">
        <f t="shared" si="12"/>
        <v/>
      </c>
      <c r="K162" t="str">
        <f>IFERROR(IF(VLOOKUP(E:E,'Old Report'!E:J,6,FALSE)="","",VLOOKUP(E:E,'Old Report'!E:J,6,FALSE)),"")</f>
        <v/>
      </c>
      <c r="L162" t="str">
        <f>IFERROR(IF(VLOOKUP(E:E,'Old Report'!E:L,8,FALSE)="","",VLOOKUP(E:E,'Old Report'!E:L,8,FALSE)),"")</f>
        <v/>
      </c>
      <c r="M162" s="5" t="str">
        <f t="shared" si="13"/>
        <v/>
      </c>
      <c r="N162" s="5" t="str">
        <f t="shared" si="14"/>
        <v/>
      </c>
    </row>
    <row r="163" spans="1:14" x14ac:dyDescent="0.25">
      <c r="A163" s="5">
        <v>162</v>
      </c>
      <c r="B163" s="5">
        <f t="shared" si="11"/>
        <v>0</v>
      </c>
      <c r="C163" s="5" t="str">
        <f t="shared" si="10"/>
        <v/>
      </c>
      <c r="D163" s="5" t="str">
        <f>IFERROR(IF(F163&lt;&gt;"",F163,VLOOKUP(MAX(C$2:C163),A$2:F163,2,FALSE)),"")</f>
        <v/>
      </c>
      <c r="E163" s="5" t="str">
        <f t="shared" si="12"/>
        <v/>
      </c>
      <c r="K163" t="str">
        <f>IFERROR(IF(VLOOKUP(E:E,'Old Report'!E:J,6,FALSE)="","",VLOOKUP(E:E,'Old Report'!E:J,6,FALSE)),"")</f>
        <v/>
      </c>
      <c r="L163" t="str">
        <f>IFERROR(IF(VLOOKUP(E:E,'Old Report'!E:L,8,FALSE)="","",VLOOKUP(E:E,'Old Report'!E:L,8,FALSE)),"")</f>
        <v/>
      </c>
      <c r="M163" s="5" t="str">
        <f t="shared" si="13"/>
        <v/>
      </c>
      <c r="N163" s="5" t="str">
        <f t="shared" si="14"/>
        <v/>
      </c>
    </row>
    <row r="164" spans="1:14" x14ac:dyDescent="0.25">
      <c r="A164" s="5">
        <v>163</v>
      </c>
      <c r="B164" s="5">
        <f t="shared" si="11"/>
        <v>0</v>
      </c>
      <c r="C164" s="5" t="str">
        <f t="shared" si="10"/>
        <v/>
      </c>
      <c r="D164" s="5" t="str">
        <f>IFERROR(IF(F164&lt;&gt;"",F164,VLOOKUP(MAX(C$2:C164),A$2:F164,2,FALSE)),"")</f>
        <v/>
      </c>
      <c r="E164" s="5" t="str">
        <f t="shared" si="12"/>
        <v/>
      </c>
      <c r="K164" t="str">
        <f>IFERROR(IF(VLOOKUP(E:E,'Old Report'!E:J,6,FALSE)="","",VLOOKUP(E:E,'Old Report'!E:J,6,FALSE)),"")</f>
        <v/>
      </c>
      <c r="L164" t="str">
        <f>IFERROR(IF(VLOOKUP(E:E,'Old Report'!E:L,8,FALSE)="","",VLOOKUP(E:E,'Old Report'!E:L,8,FALSE)),"")</f>
        <v/>
      </c>
      <c r="M164" s="5" t="str">
        <f t="shared" si="13"/>
        <v/>
      </c>
      <c r="N164" s="5" t="str">
        <f t="shared" si="14"/>
        <v/>
      </c>
    </row>
    <row r="165" spans="1:14" x14ac:dyDescent="0.25">
      <c r="A165" s="5">
        <v>164</v>
      </c>
      <c r="B165" s="5">
        <f t="shared" si="11"/>
        <v>0</v>
      </c>
      <c r="C165" s="5" t="str">
        <f t="shared" si="10"/>
        <v/>
      </c>
      <c r="D165" s="5" t="str">
        <f>IFERROR(IF(F165&lt;&gt;"",F165,VLOOKUP(MAX(C$2:C165),A$2:F165,2,FALSE)),"")</f>
        <v/>
      </c>
      <c r="E165" s="5" t="str">
        <f t="shared" si="12"/>
        <v/>
      </c>
      <c r="K165" t="str">
        <f>IFERROR(IF(VLOOKUP(E:E,'Old Report'!E:J,6,FALSE)="","",VLOOKUP(E:E,'Old Report'!E:J,6,FALSE)),"")</f>
        <v/>
      </c>
      <c r="L165" t="str">
        <f>IFERROR(IF(VLOOKUP(E:E,'Old Report'!E:L,8,FALSE)="","",VLOOKUP(E:E,'Old Report'!E:L,8,FALSE)),"")</f>
        <v/>
      </c>
      <c r="M165" s="5" t="str">
        <f t="shared" si="13"/>
        <v/>
      </c>
      <c r="N165" s="5" t="str">
        <f t="shared" si="14"/>
        <v/>
      </c>
    </row>
    <row r="166" spans="1:14" x14ac:dyDescent="0.25">
      <c r="A166" s="5">
        <v>165</v>
      </c>
      <c r="B166" s="5">
        <f t="shared" si="11"/>
        <v>0</v>
      </c>
      <c r="C166" s="5" t="str">
        <f t="shared" si="10"/>
        <v/>
      </c>
      <c r="D166" s="5" t="str">
        <f>IFERROR(IF(F166&lt;&gt;"",F166,VLOOKUP(MAX(C$2:C166),A$2:F166,2,FALSE)),"")</f>
        <v/>
      </c>
      <c r="E166" s="5" t="str">
        <f t="shared" si="12"/>
        <v/>
      </c>
      <c r="K166" t="str">
        <f>IFERROR(IF(VLOOKUP(E:E,'Old Report'!E:J,6,FALSE)="","",VLOOKUP(E:E,'Old Report'!E:J,6,FALSE)),"")</f>
        <v/>
      </c>
      <c r="L166" t="str">
        <f>IFERROR(IF(VLOOKUP(E:E,'Old Report'!E:L,8,FALSE)="","",VLOOKUP(E:E,'Old Report'!E:L,8,FALSE)),"")</f>
        <v/>
      </c>
      <c r="M166" s="5" t="str">
        <f t="shared" si="13"/>
        <v/>
      </c>
      <c r="N166" s="5" t="str">
        <f t="shared" si="14"/>
        <v/>
      </c>
    </row>
    <row r="167" spans="1:14" x14ac:dyDescent="0.25">
      <c r="A167" s="5">
        <v>166</v>
      </c>
      <c r="B167" s="5">
        <f t="shared" si="11"/>
        <v>0</v>
      </c>
      <c r="C167" s="5" t="str">
        <f t="shared" si="10"/>
        <v/>
      </c>
      <c r="D167" s="5" t="str">
        <f>IFERROR(IF(F167&lt;&gt;"",F167,VLOOKUP(MAX(C$2:C167),A$2:F167,2,FALSE)),"")</f>
        <v/>
      </c>
      <c r="E167" s="5" t="str">
        <f t="shared" si="12"/>
        <v/>
      </c>
      <c r="K167" t="str">
        <f>IFERROR(IF(VLOOKUP(E:E,'Old Report'!E:J,6,FALSE)="","",VLOOKUP(E:E,'Old Report'!E:J,6,FALSE)),"")</f>
        <v/>
      </c>
      <c r="L167" t="str">
        <f>IFERROR(IF(VLOOKUP(E:E,'Old Report'!E:L,8,FALSE)="","",VLOOKUP(E:E,'Old Report'!E:L,8,FALSE)),"")</f>
        <v/>
      </c>
      <c r="M167" s="5" t="str">
        <f t="shared" si="13"/>
        <v/>
      </c>
      <c r="N167" s="5" t="str">
        <f t="shared" si="14"/>
        <v/>
      </c>
    </row>
    <row r="168" spans="1:14" x14ac:dyDescent="0.25">
      <c r="A168" s="5">
        <v>167</v>
      </c>
      <c r="B168" s="5">
        <f t="shared" si="11"/>
        <v>0</v>
      </c>
      <c r="C168" s="5" t="str">
        <f t="shared" si="10"/>
        <v/>
      </c>
      <c r="D168" s="5" t="str">
        <f>IFERROR(IF(F168&lt;&gt;"",F168,VLOOKUP(MAX(C$2:C168),A$2:F168,2,FALSE)),"")</f>
        <v/>
      </c>
      <c r="E168" s="5" t="str">
        <f t="shared" si="12"/>
        <v/>
      </c>
      <c r="K168" t="str">
        <f>IFERROR(IF(VLOOKUP(E:E,'Old Report'!E:J,6,FALSE)="","",VLOOKUP(E:E,'Old Report'!E:J,6,FALSE)),"")</f>
        <v/>
      </c>
      <c r="L168" t="str">
        <f>IFERROR(IF(VLOOKUP(E:E,'Old Report'!E:L,8,FALSE)="","",VLOOKUP(E:E,'Old Report'!E:L,8,FALSE)),"")</f>
        <v/>
      </c>
      <c r="M168" s="5" t="str">
        <f t="shared" si="13"/>
        <v/>
      </c>
      <c r="N168" s="5" t="str">
        <f t="shared" si="14"/>
        <v/>
      </c>
    </row>
    <row r="169" spans="1:14" x14ac:dyDescent="0.25">
      <c r="A169" s="5">
        <v>168</v>
      </c>
      <c r="B169" s="5">
        <f t="shared" si="11"/>
        <v>0</v>
      </c>
      <c r="C169" s="5" t="str">
        <f t="shared" si="10"/>
        <v/>
      </c>
      <c r="D169" s="5" t="str">
        <f>IFERROR(IF(F169&lt;&gt;"",F169,VLOOKUP(MAX(C$2:C169),A$2:F169,2,FALSE)),"")</f>
        <v/>
      </c>
      <c r="E169" s="5" t="str">
        <f t="shared" si="12"/>
        <v/>
      </c>
      <c r="K169" t="str">
        <f>IFERROR(IF(VLOOKUP(E:E,'Old Report'!E:J,6,FALSE)="","",VLOOKUP(E:E,'Old Report'!E:J,6,FALSE)),"")</f>
        <v/>
      </c>
      <c r="L169" t="str">
        <f>IFERROR(IF(VLOOKUP(E:E,'Old Report'!E:L,8,FALSE)="","",VLOOKUP(E:E,'Old Report'!E:L,8,FALSE)),"")</f>
        <v/>
      </c>
      <c r="M169" s="5" t="str">
        <f t="shared" si="13"/>
        <v/>
      </c>
      <c r="N169" s="5" t="str">
        <f t="shared" si="14"/>
        <v/>
      </c>
    </row>
    <row r="170" spans="1:14" x14ac:dyDescent="0.25">
      <c r="A170" s="5">
        <v>169</v>
      </c>
      <c r="B170" s="5">
        <f t="shared" si="11"/>
        <v>0</v>
      </c>
      <c r="C170" s="5" t="str">
        <f t="shared" si="10"/>
        <v/>
      </c>
      <c r="D170" s="5" t="str">
        <f>IFERROR(IF(F170&lt;&gt;"",F170,VLOOKUP(MAX(C$2:C170),A$2:F170,2,FALSE)),"")</f>
        <v/>
      </c>
      <c r="E170" s="5" t="str">
        <f t="shared" si="12"/>
        <v/>
      </c>
      <c r="K170" t="str">
        <f>IFERROR(IF(VLOOKUP(E:E,'Old Report'!E:J,6,FALSE)="","",VLOOKUP(E:E,'Old Report'!E:J,6,FALSE)),"")</f>
        <v/>
      </c>
      <c r="L170" t="str">
        <f>IFERROR(IF(VLOOKUP(E:E,'Old Report'!E:L,8,FALSE)="","",VLOOKUP(E:E,'Old Report'!E:L,8,FALSE)),"")</f>
        <v/>
      </c>
      <c r="M170" s="5" t="str">
        <f t="shared" si="13"/>
        <v/>
      </c>
      <c r="N170" s="5" t="str">
        <f t="shared" si="14"/>
        <v/>
      </c>
    </row>
    <row r="171" spans="1:14" x14ac:dyDescent="0.25">
      <c r="A171" s="5">
        <v>170</v>
      </c>
      <c r="B171" s="5">
        <f t="shared" si="11"/>
        <v>0</v>
      </c>
      <c r="C171" s="5" t="str">
        <f t="shared" si="10"/>
        <v/>
      </c>
      <c r="D171" s="5" t="str">
        <f>IFERROR(IF(F171&lt;&gt;"",F171,VLOOKUP(MAX(C$2:C171),A$2:F171,2,FALSE)),"")</f>
        <v/>
      </c>
      <c r="E171" s="5" t="str">
        <f t="shared" si="12"/>
        <v/>
      </c>
      <c r="K171" t="str">
        <f>IFERROR(IF(VLOOKUP(E:E,'Old Report'!E:J,6,FALSE)="","",VLOOKUP(E:E,'Old Report'!E:J,6,FALSE)),"")</f>
        <v/>
      </c>
      <c r="L171" t="str">
        <f>IFERROR(IF(VLOOKUP(E:E,'Old Report'!E:L,8,FALSE)="","",VLOOKUP(E:E,'Old Report'!E:L,8,FALSE)),"")</f>
        <v/>
      </c>
      <c r="M171" s="5" t="str">
        <f t="shared" si="13"/>
        <v/>
      </c>
      <c r="N171" s="5" t="str">
        <f t="shared" si="14"/>
        <v/>
      </c>
    </row>
    <row r="172" spans="1:14" x14ac:dyDescent="0.25">
      <c r="A172" s="5">
        <v>171</v>
      </c>
      <c r="B172" s="5">
        <f t="shared" si="11"/>
        <v>0</v>
      </c>
      <c r="C172" s="5" t="str">
        <f t="shared" si="10"/>
        <v/>
      </c>
      <c r="D172" s="5" t="str">
        <f>IFERROR(IF(F172&lt;&gt;"",F172,VLOOKUP(MAX(C$2:C172),A$2:F172,2,FALSE)),"")</f>
        <v/>
      </c>
      <c r="E172" s="5" t="str">
        <f t="shared" si="12"/>
        <v/>
      </c>
      <c r="K172" t="str">
        <f>IFERROR(IF(VLOOKUP(E:E,'Old Report'!E:J,6,FALSE)="","",VLOOKUP(E:E,'Old Report'!E:J,6,FALSE)),"")</f>
        <v/>
      </c>
      <c r="L172" t="str">
        <f>IFERROR(IF(VLOOKUP(E:E,'Old Report'!E:L,8,FALSE)="","",VLOOKUP(E:E,'Old Report'!E:L,8,FALSE)),"")</f>
        <v/>
      </c>
      <c r="M172" s="5" t="str">
        <f t="shared" si="13"/>
        <v/>
      </c>
      <c r="N172" s="5" t="str">
        <f t="shared" si="14"/>
        <v/>
      </c>
    </row>
    <row r="173" spans="1:14" x14ac:dyDescent="0.25">
      <c r="A173" s="5">
        <v>172</v>
      </c>
      <c r="B173" s="5">
        <f t="shared" si="11"/>
        <v>0</v>
      </c>
      <c r="C173" s="5" t="str">
        <f t="shared" si="10"/>
        <v/>
      </c>
      <c r="D173" s="5" t="str">
        <f>IFERROR(IF(F173&lt;&gt;"",F173,VLOOKUP(MAX(C$2:C173),A$2:F173,2,FALSE)),"")</f>
        <v/>
      </c>
      <c r="E173" s="5" t="str">
        <f t="shared" si="12"/>
        <v/>
      </c>
      <c r="K173" t="str">
        <f>IFERROR(IF(VLOOKUP(E:E,'Old Report'!E:J,6,FALSE)="","",VLOOKUP(E:E,'Old Report'!E:J,6,FALSE)),"")</f>
        <v/>
      </c>
      <c r="L173" t="str">
        <f>IFERROR(IF(VLOOKUP(E:E,'Old Report'!E:L,8,FALSE)="","",VLOOKUP(E:E,'Old Report'!E:L,8,FALSE)),"")</f>
        <v/>
      </c>
      <c r="M173" s="5" t="str">
        <f t="shared" si="13"/>
        <v/>
      </c>
      <c r="N173" s="5" t="str">
        <f t="shared" si="14"/>
        <v/>
      </c>
    </row>
    <row r="174" spans="1:14" x14ac:dyDescent="0.25">
      <c r="A174" s="5">
        <v>173</v>
      </c>
      <c r="B174" s="5">
        <f t="shared" si="11"/>
        <v>0</v>
      </c>
      <c r="C174" s="5" t="str">
        <f t="shared" si="10"/>
        <v/>
      </c>
      <c r="D174" s="5" t="str">
        <f>IFERROR(IF(F174&lt;&gt;"",F174,VLOOKUP(MAX(C$2:C174),A$2:F174,2,FALSE)),"")</f>
        <v/>
      </c>
      <c r="E174" s="5" t="str">
        <f t="shared" si="12"/>
        <v/>
      </c>
      <c r="K174" t="str">
        <f>IFERROR(IF(VLOOKUP(E:E,'Old Report'!E:J,6,FALSE)="","",VLOOKUP(E:E,'Old Report'!E:J,6,FALSE)),"")</f>
        <v/>
      </c>
      <c r="L174" t="str">
        <f>IFERROR(IF(VLOOKUP(E:E,'Old Report'!E:L,8,FALSE)="","",VLOOKUP(E:E,'Old Report'!E:L,8,FALSE)),"")</f>
        <v/>
      </c>
      <c r="M174" s="5" t="str">
        <f t="shared" si="13"/>
        <v/>
      </c>
      <c r="N174" s="5" t="str">
        <f t="shared" si="14"/>
        <v/>
      </c>
    </row>
    <row r="175" spans="1:14" x14ac:dyDescent="0.25">
      <c r="A175" s="5">
        <v>174</v>
      </c>
      <c r="B175" s="5">
        <f t="shared" si="11"/>
        <v>0</v>
      </c>
      <c r="C175" s="5" t="str">
        <f t="shared" si="10"/>
        <v/>
      </c>
      <c r="D175" s="5" t="str">
        <f>IFERROR(IF(F175&lt;&gt;"",F175,VLOOKUP(MAX(C$2:C175),A$2:F175,2,FALSE)),"")</f>
        <v/>
      </c>
      <c r="E175" s="5" t="str">
        <f t="shared" si="12"/>
        <v/>
      </c>
      <c r="K175" t="str">
        <f>IFERROR(IF(VLOOKUP(E:E,'Old Report'!E:J,6,FALSE)="","",VLOOKUP(E:E,'Old Report'!E:J,6,FALSE)),"")</f>
        <v/>
      </c>
      <c r="L175" t="str">
        <f>IFERROR(IF(VLOOKUP(E:E,'Old Report'!E:L,8,FALSE)="","",VLOOKUP(E:E,'Old Report'!E:L,8,FALSE)),"")</f>
        <v/>
      </c>
      <c r="M175" s="5" t="str">
        <f t="shared" si="13"/>
        <v/>
      </c>
      <c r="N175" s="5" t="str">
        <f t="shared" si="14"/>
        <v/>
      </c>
    </row>
    <row r="176" spans="1:14" x14ac:dyDescent="0.25">
      <c r="A176" s="5">
        <v>175</v>
      </c>
      <c r="B176" s="5">
        <f t="shared" si="11"/>
        <v>0</v>
      </c>
      <c r="C176" s="5" t="str">
        <f t="shared" si="10"/>
        <v/>
      </c>
      <c r="D176" s="5" t="str">
        <f>IFERROR(IF(F176&lt;&gt;"",F176,VLOOKUP(MAX(C$2:C176),A$2:F176,2,FALSE)),"")</f>
        <v/>
      </c>
      <c r="E176" s="5" t="str">
        <f t="shared" si="12"/>
        <v/>
      </c>
      <c r="K176" t="str">
        <f>IFERROR(IF(VLOOKUP(E:E,'Old Report'!E:J,6,FALSE)="","",VLOOKUP(E:E,'Old Report'!E:J,6,FALSE)),"")</f>
        <v/>
      </c>
      <c r="L176" t="str">
        <f>IFERROR(IF(VLOOKUP(E:E,'Old Report'!E:L,8,FALSE)="","",VLOOKUP(E:E,'Old Report'!E:L,8,FALSE)),"")</f>
        <v/>
      </c>
      <c r="M176" s="5" t="str">
        <f t="shared" si="13"/>
        <v/>
      </c>
      <c r="N176" s="5" t="str">
        <f t="shared" si="14"/>
        <v/>
      </c>
    </row>
    <row r="177" spans="1:14" x14ac:dyDescent="0.25">
      <c r="A177" s="5">
        <v>176</v>
      </c>
      <c r="B177" s="5">
        <f t="shared" si="11"/>
        <v>0</v>
      </c>
      <c r="C177" s="5" t="str">
        <f t="shared" si="10"/>
        <v/>
      </c>
      <c r="D177" s="5" t="str">
        <f>IFERROR(IF(F177&lt;&gt;"",F177,VLOOKUP(MAX(C$2:C177),A$2:F177,2,FALSE)),"")</f>
        <v/>
      </c>
      <c r="E177" s="5" t="str">
        <f t="shared" si="12"/>
        <v/>
      </c>
      <c r="K177" t="str">
        <f>IFERROR(IF(VLOOKUP(E:E,'Old Report'!E:J,6,FALSE)="","",VLOOKUP(E:E,'Old Report'!E:J,6,FALSE)),"")</f>
        <v/>
      </c>
      <c r="L177" t="str">
        <f>IFERROR(IF(VLOOKUP(E:E,'Old Report'!E:L,8,FALSE)="","",VLOOKUP(E:E,'Old Report'!E:L,8,FALSE)),"")</f>
        <v/>
      </c>
      <c r="M177" s="5" t="str">
        <f t="shared" si="13"/>
        <v/>
      </c>
      <c r="N177" s="5" t="str">
        <f t="shared" si="14"/>
        <v/>
      </c>
    </row>
    <row r="178" spans="1:14" x14ac:dyDescent="0.25">
      <c r="A178" s="5">
        <v>177</v>
      </c>
      <c r="B178" s="5">
        <f t="shared" si="11"/>
        <v>0</v>
      </c>
      <c r="C178" s="5" t="str">
        <f t="shared" si="10"/>
        <v/>
      </c>
      <c r="D178" s="5" t="str">
        <f>IFERROR(IF(F178&lt;&gt;"",F178,VLOOKUP(MAX(C$2:C178),A$2:F178,2,FALSE)),"")</f>
        <v/>
      </c>
      <c r="E178" s="5" t="str">
        <f t="shared" si="12"/>
        <v/>
      </c>
      <c r="K178" t="str">
        <f>IFERROR(IF(VLOOKUP(E:E,'Old Report'!E:J,6,FALSE)="","",VLOOKUP(E:E,'Old Report'!E:J,6,FALSE)),"")</f>
        <v/>
      </c>
      <c r="L178" t="str">
        <f>IFERROR(IF(VLOOKUP(E:E,'Old Report'!E:L,8,FALSE)="","",VLOOKUP(E:E,'Old Report'!E:L,8,FALSE)),"")</f>
        <v/>
      </c>
      <c r="M178" s="5" t="str">
        <f t="shared" si="13"/>
        <v/>
      </c>
      <c r="N178" s="5" t="str">
        <f t="shared" si="14"/>
        <v/>
      </c>
    </row>
    <row r="179" spans="1:14" x14ac:dyDescent="0.25">
      <c r="A179" s="5">
        <v>178</v>
      </c>
      <c r="B179" s="5">
        <f t="shared" si="11"/>
        <v>0</v>
      </c>
      <c r="C179" s="5" t="str">
        <f t="shared" si="10"/>
        <v/>
      </c>
      <c r="D179" s="5" t="str">
        <f>IFERROR(IF(F179&lt;&gt;"",F179,VLOOKUP(MAX(C$2:C179),A$2:F179,2,FALSE)),"")</f>
        <v/>
      </c>
      <c r="E179" s="5" t="str">
        <f t="shared" si="12"/>
        <v/>
      </c>
      <c r="K179" t="str">
        <f>IFERROR(IF(VLOOKUP(E:E,'Old Report'!E:J,6,FALSE)="","",VLOOKUP(E:E,'Old Report'!E:J,6,FALSE)),"")</f>
        <v/>
      </c>
      <c r="L179" t="str">
        <f>IFERROR(IF(VLOOKUP(E:E,'Old Report'!E:L,8,FALSE)="","",VLOOKUP(E:E,'Old Report'!E:L,8,FALSE)),"")</f>
        <v/>
      </c>
      <c r="M179" s="5" t="str">
        <f t="shared" si="13"/>
        <v/>
      </c>
      <c r="N179" s="5" t="str">
        <f t="shared" si="14"/>
        <v/>
      </c>
    </row>
    <row r="180" spans="1:14" x14ac:dyDescent="0.25">
      <c r="A180" s="5">
        <v>179</v>
      </c>
      <c r="B180" s="5">
        <f t="shared" si="11"/>
        <v>0</v>
      </c>
      <c r="C180" s="5" t="str">
        <f t="shared" si="10"/>
        <v/>
      </c>
      <c r="D180" s="5" t="str">
        <f>IFERROR(IF(F180&lt;&gt;"",F180,VLOOKUP(MAX(C$2:C180),A$2:F180,2,FALSE)),"")</f>
        <v/>
      </c>
      <c r="E180" s="5" t="str">
        <f t="shared" si="12"/>
        <v/>
      </c>
      <c r="K180" t="str">
        <f>IFERROR(IF(VLOOKUP(E:E,'Old Report'!E:J,6,FALSE)="","",VLOOKUP(E:E,'Old Report'!E:J,6,FALSE)),"")</f>
        <v/>
      </c>
      <c r="L180" t="str">
        <f>IFERROR(IF(VLOOKUP(E:E,'Old Report'!E:L,8,FALSE)="","",VLOOKUP(E:E,'Old Report'!E:L,8,FALSE)),"")</f>
        <v/>
      </c>
      <c r="M180" s="5" t="str">
        <f t="shared" si="13"/>
        <v/>
      </c>
      <c r="N180" s="5" t="str">
        <f t="shared" si="14"/>
        <v/>
      </c>
    </row>
    <row r="181" spans="1:14" x14ac:dyDescent="0.25">
      <c r="A181" s="5">
        <v>180</v>
      </c>
      <c r="B181" s="5">
        <f t="shared" si="11"/>
        <v>0</v>
      </c>
      <c r="C181" s="5" t="str">
        <f t="shared" si="10"/>
        <v/>
      </c>
      <c r="D181" s="5" t="str">
        <f>IFERROR(IF(F181&lt;&gt;"",F181,VLOOKUP(MAX(C$2:C181),A$2:F181,2,FALSE)),"")</f>
        <v/>
      </c>
      <c r="E181" s="5" t="str">
        <f t="shared" si="12"/>
        <v/>
      </c>
      <c r="K181" t="str">
        <f>IFERROR(IF(VLOOKUP(E:E,'Old Report'!E:J,6,FALSE)="","",VLOOKUP(E:E,'Old Report'!E:J,6,FALSE)),"")</f>
        <v/>
      </c>
      <c r="L181" t="str">
        <f>IFERROR(IF(VLOOKUP(E:E,'Old Report'!E:L,8,FALSE)="","",VLOOKUP(E:E,'Old Report'!E:L,8,FALSE)),"")</f>
        <v/>
      </c>
      <c r="M181" s="5" t="str">
        <f t="shared" si="13"/>
        <v/>
      </c>
      <c r="N181" s="5" t="str">
        <f t="shared" si="14"/>
        <v/>
      </c>
    </row>
    <row r="182" spans="1:14" x14ac:dyDescent="0.25">
      <c r="A182" s="5">
        <v>181</v>
      </c>
      <c r="B182" s="5">
        <f t="shared" si="11"/>
        <v>0</v>
      </c>
      <c r="C182" s="5" t="str">
        <f t="shared" si="10"/>
        <v/>
      </c>
      <c r="D182" s="5" t="str">
        <f>IFERROR(IF(F182&lt;&gt;"",F182,VLOOKUP(MAX(C$2:C182),A$2:F182,2,FALSE)),"")</f>
        <v/>
      </c>
      <c r="E182" s="5" t="str">
        <f t="shared" si="12"/>
        <v/>
      </c>
      <c r="K182" t="str">
        <f>IFERROR(IF(VLOOKUP(E:E,'Old Report'!E:J,6,FALSE)="","",VLOOKUP(E:E,'Old Report'!E:J,6,FALSE)),"")</f>
        <v/>
      </c>
      <c r="L182" t="str">
        <f>IFERROR(IF(VLOOKUP(E:E,'Old Report'!E:L,8,FALSE)="","",VLOOKUP(E:E,'Old Report'!E:L,8,FALSE)),"")</f>
        <v/>
      </c>
      <c r="M182" s="5" t="str">
        <f t="shared" si="13"/>
        <v/>
      </c>
      <c r="N182" s="5" t="str">
        <f t="shared" si="14"/>
        <v/>
      </c>
    </row>
    <row r="183" spans="1:14" x14ac:dyDescent="0.25">
      <c r="A183" s="5">
        <v>182</v>
      </c>
      <c r="B183" s="5">
        <f t="shared" si="11"/>
        <v>0</v>
      </c>
      <c r="C183" s="5" t="str">
        <f t="shared" si="10"/>
        <v/>
      </c>
      <c r="D183" s="5" t="str">
        <f>IFERROR(IF(F183&lt;&gt;"",F183,VLOOKUP(MAX(C$2:C183),A$2:F183,2,FALSE)),"")</f>
        <v/>
      </c>
      <c r="E183" s="5" t="str">
        <f t="shared" si="12"/>
        <v/>
      </c>
      <c r="K183" t="str">
        <f>IFERROR(IF(VLOOKUP(E:E,'Old Report'!E:J,6,FALSE)="","",VLOOKUP(E:E,'Old Report'!E:J,6,FALSE)),"")</f>
        <v/>
      </c>
      <c r="L183" t="str">
        <f>IFERROR(IF(VLOOKUP(E:E,'Old Report'!E:L,8,FALSE)="","",VLOOKUP(E:E,'Old Report'!E:L,8,FALSE)),"")</f>
        <v/>
      </c>
      <c r="M183" s="5" t="str">
        <f t="shared" si="13"/>
        <v/>
      </c>
      <c r="N183" s="5" t="str">
        <f t="shared" si="14"/>
        <v/>
      </c>
    </row>
    <row r="184" spans="1:14" x14ac:dyDescent="0.25">
      <c r="A184" s="5">
        <v>183</v>
      </c>
      <c r="B184" s="5">
        <f t="shared" si="11"/>
        <v>0</v>
      </c>
      <c r="C184" s="5" t="str">
        <f t="shared" si="10"/>
        <v/>
      </c>
      <c r="D184" s="5" t="str">
        <f>IFERROR(IF(F184&lt;&gt;"",F184,VLOOKUP(MAX(C$2:C184),A$2:F184,2,FALSE)),"")</f>
        <v/>
      </c>
      <c r="E184" s="5" t="str">
        <f t="shared" si="12"/>
        <v/>
      </c>
      <c r="K184" t="str">
        <f>IFERROR(IF(VLOOKUP(E:E,'Old Report'!E:J,6,FALSE)="","",VLOOKUP(E:E,'Old Report'!E:J,6,FALSE)),"")</f>
        <v/>
      </c>
      <c r="L184" t="str">
        <f>IFERROR(IF(VLOOKUP(E:E,'Old Report'!E:L,8,FALSE)="","",VLOOKUP(E:E,'Old Report'!E:L,8,FALSE)),"")</f>
        <v/>
      </c>
      <c r="M184" s="5" t="str">
        <f t="shared" si="13"/>
        <v/>
      </c>
      <c r="N184" s="5" t="str">
        <f t="shared" si="14"/>
        <v/>
      </c>
    </row>
    <row r="185" spans="1:14" x14ac:dyDescent="0.25">
      <c r="A185" s="5">
        <v>184</v>
      </c>
      <c r="B185" s="5">
        <f t="shared" si="11"/>
        <v>0</v>
      </c>
      <c r="C185" s="5" t="str">
        <f t="shared" si="10"/>
        <v/>
      </c>
      <c r="D185" s="5" t="str">
        <f>IFERROR(IF(F185&lt;&gt;"",F185,VLOOKUP(MAX(C$2:C185),A$2:F185,2,FALSE)),"")</f>
        <v/>
      </c>
      <c r="E185" s="5" t="str">
        <f t="shared" si="12"/>
        <v/>
      </c>
      <c r="K185" t="str">
        <f>IFERROR(IF(VLOOKUP(E:E,'Old Report'!E:J,6,FALSE)="","",VLOOKUP(E:E,'Old Report'!E:J,6,FALSE)),"")</f>
        <v/>
      </c>
      <c r="L185" t="str">
        <f>IFERROR(IF(VLOOKUP(E:E,'Old Report'!E:L,8,FALSE)="","",VLOOKUP(E:E,'Old Report'!E:L,8,FALSE)),"")</f>
        <v/>
      </c>
      <c r="M185" s="5" t="str">
        <f t="shared" si="13"/>
        <v/>
      </c>
      <c r="N185" s="5" t="str">
        <f t="shared" si="14"/>
        <v/>
      </c>
    </row>
    <row r="186" spans="1:14" x14ac:dyDescent="0.25">
      <c r="A186" s="5">
        <v>185</v>
      </c>
      <c r="B186" s="5">
        <f t="shared" si="11"/>
        <v>0</v>
      </c>
      <c r="C186" s="5" t="str">
        <f t="shared" si="10"/>
        <v/>
      </c>
      <c r="D186" s="5" t="str">
        <f>IFERROR(IF(F186&lt;&gt;"",F186,VLOOKUP(MAX(C$2:C186),A$2:F186,2,FALSE)),"")</f>
        <v/>
      </c>
      <c r="E186" s="5" t="str">
        <f t="shared" si="12"/>
        <v/>
      </c>
      <c r="K186" t="str">
        <f>IFERROR(IF(VLOOKUP(E:E,'Old Report'!E:J,6,FALSE)="","",VLOOKUP(E:E,'Old Report'!E:J,6,FALSE)),"")</f>
        <v/>
      </c>
      <c r="L186" t="str">
        <f>IFERROR(IF(VLOOKUP(E:E,'Old Report'!E:L,8,FALSE)="","",VLOOKUP(E:E,'Old Report'!E:L,8,FALSE)),"")</f>
        <v/>
      </c>
      <c r="M186" s="5" t="str">
        <f t="shared" si="13"/>
        <v/>
      </c>
      <c r="N186" s="5" t="str">
        <f t="shared" si="14"/>
        <v/>
      </c>
    </row>
    <row r="187" spans="1:14" x14ac:dyDescent="0.25">
      <c r="A187" s="5">
        <v>186</v>
      </c>
      <c r="B187" s="5">
        <f t="shared" si="11"/>
        <v>0</v>
      </c>
      <c r="C187" s="5" t="str">
        <f t="shared" si="10"/>
        <v/>
      </c>
      <c r="D187" s="5" t="str">
        <f>IFERROR(IF(F187&lt;&gt;"",F187,VLOOKUP(MAX(C$2:C187),A$2:F187,2,FALSE)),"")</f>
        <v/>
      </c>
      <c r="E187" s="5" t="str">
        <f t="shared" si="12"/>
        <v/>
      </c>
      <c r="K187" t="str">
        <f>IFERROR(IF(VLOOKUP(E:E,'Old Report'!E:J,6,FALSE)="","",VLOOKUP(E:E,'Old Report'!E:J,6,FALSE)),"")</f>
        <v/>
      </c>
      <c r="L187" t="str">
        <f>IFERROR(IF(VLOOKUP(E:E,'Old Report'!E:L,8,FALSE)="","",VLOOKUP(E:E,'Old Report'!E:L,8,FALSE)),"")</f>
        <v/>
      </c>
      <c r="M187" s="5" t="str">
        <f t="shared" si="13"/>
        <v/>
      </c>
      <c r="N187" s="5" t="str">
        <f t="shared" si="14"/>
        <v/>
      </c>
    </row>
    <row r="188" spans="1:14" x14ac:dyDescent="0.25">
      <c r="A188" s="5">
        <v>187</v>
      </c>
      <c r="B188" s="5">
        <f t="shared" si="11"/>
        <v>0</v>
      </c>
      <c r="C188" s="5" t="str">
        <f t="shared" si="10"/>
        <v/>
      </c>
      <c r="D188" s="5" t="str">
        <f>IFERROR(IF(F188&lt;&gt;"",F188,VLOOKUP(MAX(C$2:C188),A$2:F188,2,FALSE)),"")</f>
        <v/>
      </c>
      <c r="E188" s="5" t="str">
        <f t="shared" si="12"/>
        <v/>
      </c>
      <c r="K188" t="str">
        <f>IFERROR(IF(VLOOKUP(E:E,'Old Report'!E:J,6,FALSE)="","",VLOOKUP(E:E,'Old Report'!E:J,6,FALSE)),"")</f>
        <v/>
      </c>
      <c r="L188" t="str">
        <f>IFERROR(IF(VLOOKUP(E:E,'Old Report'!E:L,8,FALSE)="","",VLOOKUP(E:E,'Old Report'!E:L,8,FALSE)),"")</f>
        <v/>
      </c>
      <c r="M188" s="5" t="str">
        <f t="shared" si="13"/>
        <v/>
      </c>
      <c r="N188" s="5" t="str">
        <f t="shared" si="14"/>
        <v/>
      </c>
    </row>
    <row r="189" spans="1:14" x14ac:dyDescent="0.25">
      <c r="A189" s="5">
        <v>188</v>
      </c>
      <c r="B189" s="5">
        <f t="shared" si="11"/>
        <v>0</v>
      </c>
      <c r="C189" s="5" t="str">
        <f t="shared" si="10"/>
        <v/>
      </c>
      <c r="D189" s="5" t="str">
        <f>IFERROR(IF(F189&lt;&gt;"",F189,VLOOKUP(MAX(C$2:C189),A$2:F189,2,FALSE)),"")</f>
        <v/>
      </c>
      <c r="E189" s="5" t="str">
        <f t="shared" si="12"/>
        <v/>
      </c>
      <c r="K189" t="str">
        <f>IFERROR(IF(VLOOKUP(E:E,'Old Report'!E:J,6,FALSE)="","",VLOOKUP(E:E,'Old Report'!E:J,6,FALSE)),"")</f>
        <v/>
      </c>
      <c r="L189" t="str">
        <f>IFERROR(IF(VLOOKUP(E:E,'Old Report'!E:L,8,FALSE)="","",VLOOKUP(E:E,'Old Report'!E:L,8,FALSE)),"")</f>
        <v/>
      </c>
      <c r="M189" s="5" t="str">
        <f t="shared" si="13"/>
        <v/>
      </c>
      <c r="N189" s="5" t="str">
        <f t="shared" si="14"/>
        <v/>
      </c>
    </row>
    <row r="190" spans="1:14" x14ac:dyDescent="0.25">
      <c r="A190" s="5">
        <v>189</v>
      </c>
      <c r="B190" s="5">
        <f t="shared" si="11"/>
        <v>0</v>
      </c>
      <c r="C190" s="5" t="str">
        <f t="shared" si="10"/>
        <v/>
      </c>
      <c r="D190" s="5" t="str">
        <f>IFERROR(IF(F190&lt;&gt;"",F190,VLOOKUP(MAX(C$2:C190),A$2:F190,2,FALSE)),"")</f>
        <v/>
      </c>
      <c r="E190" s="5" t="str">
        <f t="shared" si="12"/>
        <v/>
      </c>
      <c r="K190" t="str">
        <f>IFERROR(IF(VLOOKUP(E:E,'Old Report'!E:J,6,FALSE)="","",VLOOKUP(E:E,'Old Report'!E:J,6,FALSE)),"")</f>
        <v/>
      </c>
      <c r="L190" t="str">
        <f>IFERROR(IF(VLOOKUP(E:E,'Old Report'!E:L,8,FALSE)="","",VLOOKUP(E:E,'Old Report'!E:L,8,FALSE)),"")</f>
        <v/>
      </c>
      <c r="M190" s="5" t="str">
        <f t="shared" si="13"/>
        <v/>
      </c>
      <c r="N190" s="5" t="str">
        <f t="shared" si="14"/>
        <v/>
      </c>
    </row>
    <row r="191" spans="1:14" x14ac:dyDescent="0.25">
      <c r="A191" s="5">
        <v>190</v>
      </c>
      <c r="B191" s="5">
        <f t="shared" si="11"/>
        <v>0</v>
      </c>
      <c r="C191" s="5" t="str">
        <f t="shared" si="10"/>
        <v/>
      </c>
      <c r="D191" s="5" t="str">
        <f>IFERROR(IF(F191&lt;&gt;"",F191,VLOOKUP(MAX(C$2:C191),A$2:F191,2,FALSE)),"")</f>
        <v/>
      </c>
      <c r="E191" s="5" t="str">
        <f t="shared" si="12"/>
        <v/>
      </c>
      <c r="K191" t="str">
        <f>IFERROR(IF(VLOOKUP(E:E,'Old Report'!E:J,6,FALSE)="","",VLOOKUP(E:E,'Old Report'!E:J,6,FALSE)),"")</f>
        <v/>
      </c>
      <c r="L191" t="str">
        <f>IFERROR(IF(VLOOKUP(E:E,'Old Report'!E:L,8,FALSE)="","",VLOOKUP(E:E,'Old Report'!E:L,8,FALSE)),"")</f>
        <v/>
      </c>
      <c r="M191" s="5" t="str">
        <f t="shared" si="13"/>
        <v/>
      </c>
      <c r="N191" s="5" t="str">
        <f t="shared" si="14"/>
        <v/>
      </c>
    </row>
    <row r="192" spans="1:14" x14ac:dyDescent="0.25">
      <c r="A192" s="5">
        <v>191</v>
      </c>
      <c r="B192" s="5">
        <f t="shared" si="11"/>
        <v>0</v>
      </c>
      <c r="C192" s="5" t="str">
        <f t="shared" si="10"/>
        <v/>
      </c>
      <c r="D192" s="5" t="str">
        <f>IFERROR(IF(F192&lt;&gt;"",F192,VLOOKUP(MAX(C$2:C192),A$2:F192,2,FALSE)),"")</f>
        <v/>
      </c>
      <c r="E192" s="5" t="str">
        <f t="shared" si="12"/>
        <v/>
      </c>
      <c r="K192" t="str">
        <f>IFERROR(IF(VLOOKUP(E:E,'Old Report'!E:J,6,FALSE)="","",VLOOKUP(E:E,'Old Report'!E:J,6,FALSE)),"")</f>
        <v/>
      </c>
      <c r="L192" t="str">
        <f>IFERROR(IF(VLOOKUP(E:E,'Old Report'!E:L,8,FALSE)="","",VLOOKUP(E:E,'Old Report'!E:L,8,FALSE)),"")</f>
        <v/>
      </c>
      <c r="M192" s="5" t="str">
        <f t="shared" si="13"/>
        <v/>
      </c>
      <c r="N192" s="5" t="str">
        <f t="shared" si="14"/>
        <v/>
      </c>
    </row>
    <row r="193" spans="1:14" x14ac:dyDescent="0.25">
      <c r="A193" s="5">
        <v>192</v>
      </c>
      <c r="B193" s="5">
        <f t="shared" si="11"/>
        <v>0</v>
      </c>
      <c r="C193" s="5" t="str">
        <f t="shared" si="10"/>
        <v/>
      </c>
      <c r="D193" s="5" t="str">
        <f>IFERROR(IF(F193&lt;&gt;"",F193,VLOOKUP(MAX(C$2:C193),A$2:F193,2,FALSE)),"")</f>
        <v/>
      </c>
      <c r="E193" s="5" t="str">
        <f t="shared" si="12"/>
        <v/>
      </c>
      <c r="K193" t="str">
        <f>IFERROR(IF(VLOOKUP(E:E,'Old Report'!E:J,6,FALSE)="","",VLOOKUP(E:E,'Old Report'!E:J,6,FALSE)),"")</f>
        <v/>
      </c>
      <c r="L193" t="str">
        <f>IFERROR(IF(VLOOKUP(E:E,'Old Report'!E:L,8,FALSE)="","",VLOOKUP(E:E,'Old Report'!E:L,8,FALSE)),"")</f>
        <v/>
      </c>
      <c r="M193" s="5" t="str">
        <f t="shared" si="13"/>
        <v/>
      </c>
      <c r="N193" s="5" t="str">
        <f t="shared" si="14"/>
        <v/>
      </c>
    </row>
    <row r="194" spans="1:14" x14ac:dyDescent="0.25">
      <c r="A194" s="5">
        <v>193</v>
      </c>
      <c r="B194" s="5">
        <f t="shared" si="11"/>
        <v>0</v>
      </c>
      <c r="C194" s="5" t="str">
        <f t="shared" ref="C194:C257" si="15">IF(F194&lt;&gt;"",A194,"")</f>
        <v/>
      </c>
      <c r="D194" s="5" t="str">
        <f>IFERROR(IF(F194&lt;&gt;"",F194,VLOOKUP(MAX(C$2:C194),A$2:F194,2,FALSE)),"")</f>
        <v/>
      </c>
      <c r="E194" s="5" t="str">
        <f t="shared" si="12"/>
        <v/>
      </c>
      <c r="K194" t="str">
        <f>IFERROR(IF(VLOOKUP(E:E,'Old Report'!E:J,6,FALSE)="","",VLOOKUP(E:E,'Old Report'!E:J,6,FALSE)),"")</f>
        <v/>
      </c>
      <c r="L194" t="str">
        <f>IFERROR(IF(VLOOKUP(E:E,'Old Report'!E:L,8,FALSE)="","",VLOOKUP(E:E,'Old Report'!E:L,8,FALSE)),"")</f>
        <v/>
      </c>
      <c r="M194" s="5" t="str">
        <f t="shared" si="13"/>
        <v/>
      </c>
      <c r="N194" s="5" t="str">
        <f t="shared" si="14"/>
        <v/>
      </c>
    </row>
    <row r="195" spans="1:14" x14ac:dyDescent="0.25">
      <c r="A195" s="5">
        <v>194</v>
      </c>
      <c r="B195" s="5">
        <f t="shared" ref="B195:B258" si="16">IF(F196&lt;&gt;"",F196,F195)</f>
        <v>0</v>
      </c>
      <c r="C195" s="5" t="str">
        <f t="shared" si="15"/>
        <v/>
      </c>
      <c r="D195" s="5" t="str">
        <f>IFERROR(IF(F195&lt;&gt;"",F195,VLOOKUP(MAX(C$2:C195),A$2:F195,2,FALSE)),"")</f>
        <v/>
      </c>
      <c r="E195" s="5" t="str">
        <f t="shared" ref="E195:E258" si="17">IF(H195&lt;&gt;"",CONCATENATE(D195,".",H195),"")</f>
        <v/>
      </c>
      <c r="K195" t="str">
        <f>IFERROR(IF(VLOOKUP(E:E,'Old Report'!E:J,6,FALSE)="","",VLOOKUP(E:E,'Old Report'!E:J,6,FALSE)),"")</f>
        <v/>
      </c>
      <c r="L195" t="str">
        <f>IFERROR(IF(VLOOKUP(E:E,'Old Report'!E:L,8,FALSE)="","",VLOOKUP(E:E,'Old Report'!E:L,8,FALSE)),"")</f>
        <v/>
      </c>
      <c r="M195" s="5" t="str">
        <f t="shared" si="13"/>
        <v/>
      </c>
      <c r="N195" s="5" t="str">
        <f t="shared" si="14"/>
        <v/>
      </c>
    </row>
    <row r="196" spans="1:14" x14ac:dyDescent="0.25">
      <c r="A196" s="5">
        <v>195</v>
      </c>
      <c r="B196" s="5">
        <f t="shared" si="16"/>
        <v>0</v>
      </c>
      <c r="C196" s="5" t="str">
        <f t="shared" si="15"/>
        <v/>
      </c>
      <c r="D196" s="5" t="str">
        <f>IFERROR(IF(F196&lt;&gt;"",F196,VLOOKUP(MAX(C$2:C196),A$2:F196,2,FALSE)),"")</f>
        <v/>
      </c>
      <c r="E196" s="5" t="str">
        <f t="shared" si="17"/>
        <v/>
      </c>
      <c r="K196" t="str">
        <f>IFERROR(IF(VLOOKUP(E:E,'Old Report'!E:J,6,FALSE)="","",VLOOKUP(E:E,'Old Report'!E:J,6,FALSE)),"")</f>
        <v/>
      </c>
      <c r="L196" t="str">
        <f>IFERROR(IF(VLOOKUP(E:E,'Old Report'!E:L,8,FALSE)="","",VLOOKUP(E:E,'Old Report'!E:L,8,FALSE)),"")</f>
        <v/>
      </c>
      <c r="M196" s="5" t="str">
        <f t="shared" ref="M196:M259" si="18">IFERROR(L196,"")</f>
        <v/>
      </c>
      <c r="N196" s="5" t="str">
        <f t="shared" ref="N196:N259" si="19">IFERROR( IF(J196&lt;&gt;"",IF(K196 &lt;&gt; "",IF(J196 = K196,"No Change",IF(J196 &lt; K196,CONCATENATE("Issues reduced from ",K196," to ",J196),IF(J196&gt;K196,CONCATENATE("Issues increased from ",K196," to ",J196),""))),"New issue - needs to be checked"),""),"")</f>
        <v/>
      </c>
    </row>
    <row r="197" spans="1:14" x14ac:dyDescent="0.25">
      <c r="A197" s="5">
        <v>196</v>
      </c>
      <c r="B197" s="5">
        <f t="shared" si="16"/>
        <v>0</v>
      </c>
      <c r="C197" s="5" t="str">
        <f t="shared" si="15"/>
        <v/>
      </c>
      <c r="D197" s="5" t="str">
        <f>IFERROR(IF(F197&lt;&gt;"",F197,VLOOKUP(MAX(C$2:C197),A$2:F197,2,FALSE)),"")</f>
        <v/>
      </c>
      <c r="E197" s="5" t="str">
        <f t="shared" si="17"/>
        <v/>
      </c>
      <c r="K197" t="str">
        <f>IFERROR(IF(VLOOKUP(E:E,'Old Report'!E:J,6,FALSE)="","",VLOOKUP(E:E,'Old Report'!E:J,6,FALSE)),"")</f>
        <v/>
      </c>
      <c r="L197" t="str">
        <f>IFERROR(IF(VLOOKUP(E:E,'Old Report'!E:L,8,FALSE)="","",VLOOKUP(E:E,'Old Report'!E:L,8,FALSE)),"")</f>
        <v/>
      </c>
      <c r="M197" s="5" t="str">
        <f t="shared" si="18"/>
        <v/>
      </c>
      <c r="N197" s="5" t="str">
        <f t="shared" si="19"/>
        <v/>
      </c>
    </row>
    <row r="198" spans="1:14" x14ac:dyDescent="0.25">
      <c r="A198" s="5">
        <v>197</v>
      </c>
      <c r="B198" s="5">
        <f t="shared" si="16"/>
        <v>0</v>
      </c>
      <c r="C198" s="5" t="str">
        <f t="shared" si="15"/>
        <v/>
      </c>
      <c r="D198" s="5" t="str">
        <f>IFERROR(IF(F198&lt;&gt;"",F198,VLOOKUP(MAX(C$2:C198),A$2:F198,2,FALSE)),"")</f>
        <v/>
      </c>
      <c r="E198" s="5" t="str">
        <f t="shared" si="17"/>
        <v/>
      </c>
      <c r="K198" t="str">
        <f>IFERROR(IF(VLOOKUP(E:E,'Old Report'!E:J,6,FALSE)="","",VLOOKUP(E:E,'Old Report'!E:J,6,FALSE)),"")</f>
        <v/>
      </c>
      <c r="L198" t="str">
        <f>IFERROR(IF(VLOOKUP(E:E,'Old Report'!E:L,8,FALSE)="","",VLOOKUP(E:E,'Old Report'!E:L,8,FALSE)),"")</f>
        <v/>
      </c>
      <c r="M198" s="5" t="str">
        <f t="shared" si="18"/>
        <v/>
      </c>
      <c r="N198" s="5" t="str">
        <f t="shared" si="19"/>
        <v/>
      </c>
    </row>
    <row r="199" spans="1:14" x14ac:dyDescent="0.25">
      <c r="A199" s="5">
        <v>198</v>
      </c>
      <c r="B199" s="5">
        <f t="shared" si="16"/>
        <v>0</v>
      </c>
      <c r="C199" s="5" t="str">
        <f t="shared" si="15"/>
        <v/>
      </c>
      <c r="D199" s="5" t="str">
        <f>IFERROR(IF(F199&lt;&gt;"",F199,VLOOKUP(MAX(C$2:C199),A$2:F199,2,FALSE)),"")</f>
        <v/>
      </c>
      <c r="E199" s="5" t="str">
        <f t="shared" si="17"/>
        <v/>
      </c>
      <c r="K199" t="str">
        <f>IFERROR(IF(VLOOKUP(E:E,'Old Report'!E:J,6,FALSE)="","",VLOOKUP(E:E,'Old Report'!E:J,6,FALSE)),"")</f>
        <v/>
      </c>
      <c r="L199" t="str">
        <f>IFERROR(IF(VLOOKUP(E:E,'Old Report'!E:L,8,FALSE)="","",VLOOKUP(E:E,'Old Report'!E:L,8,FALSE)),"")</f>
        <v/>
      </c>
      <c r="M199" s="5" t="str">
        <f t="shared" si="18"/>
        <v/>
      </c>
      <c r="N199" s="5" t="str">
        <f t="shared" si="19"/>
        <v/>
      </c>
    </row>
    <row r="200" spans="1:14" x14ac:dyDescent="0.25">
      <c r="A200" s="5">
        <v>199</v>
      </c>
      <c r="B200" s="5">
        <f t="shared" si="16"/>
        <v>0</v>
      </c>
      <c r="C200" s="5" t="str">
        <f t="shared" si="15"/>
        <v/>
      </c>
      <c r="D200" s="5" t="str">
        <f>IFERROR(IF(F200&lt;&gt;"",F200,VLOOKUP(MAX(C$2:C200),A$2:F200,2,FALSE)),"")</f>
        <v/>
      </c>
      <c r="E200" s="5" t="str">
        <f t="shared" si="17"/>
        <v/>
      </c>
      <c r="K200" t="str">
        <f>IFERROR(IF(VLOOKUP(E:E,'Old Report'!E:J,6,FALSE)="","",VLOOKUP(E:E,'Old Report'!E:J,6,FALSE)),"")</f>
        <v/>
      </c>
      <c r="L200" t="str">
        <f>IFERROR(IF(VLOOKUP(E:E,'Old Report'!E:L,8,FALSE)="","",VLOOKUP(E:E,'Old Report'!E:L,8,FALSE)),"")</f>
        <v/>
      </c>
      <c r="M200" s="5" t="str">
        <f t="shared" si="18"/>
        <v/>
      </c>
      <c r="N200" s="5" t="str">
        <f t="shared" si="19"/>
        <v/>
      </c>
    </row>
    <row r="201" spans="1:14" x14ac:dyDescent="0.25">
      <c r="A201" s="5">
        <v>200</v>
      </c>
      <c r="B201" s="5">
        <f t="shared" si="16"/>
        <v>0</v>
      </c>
      <c r="C201" s="5" t="str">
        <f t="shared" si="15"/>
        <v/>
      </c>
      <c r="D201" s="5" t="str">
        <f>IFERROR(IF(F201&lt;&gt;"",F201,VLOOKUP(MAX(C$2:C201),A$2:F201,2,FALSE)),"")</f>
        <v/>
      </c>
      <c r="E201" s="5" t="str">
        <f t="shared" si="17"/>
        <v/>
      </c>
      <c r="K201" t="str">
        <f>IFERROR(IF(VLOOKUP(E:E,'Old Report'!E:J,6,FALSE)="","",VLOOKUP(E:E,'Old Report'!E:J,6,FALSE)),"")</f>
        <v/>
      </c>
      <c r="L201" t="str">
        <f>IFERROR(IF(VLOOKUP(E:E,'Old Report'!E:L,8,FALSE)="","",VLOOKUP(E:E,'Old Report'!E:L,8,FALSE)),"")</f>
        <v/>
      </c>
      <c r="M201" s="5" t="str">
        <f t="shared" si="18"/>
        <v/>
      </c>
      <c r="N201" s="5" t="str">
        <f t="shared" si="19"/>
        <v/>
      </c>
    </row>
    <row r="202" spans="1:14" x14ac:dyDescent="0.25">
      <c r="A202" s="5">
        <v>201</v>
      </c>
      <c r="B202" s="5">
        <f t="shared" si="16"/>
        <v>0</v>
      </c>
      <c r="C202" s="5" t="str">
        <f t="shared" si="15"/>
        <v/>
      </c>
      <c r="D202" s="5" t="str">
        <f>IFERROR(IF(F202&lt;&gt;"",F202,VLOOKUP(MAX(C$2:C202),A$2:F202,2,FALSE)),"")</f>
        <v/>
      </c>
      <c r="E202" s="5" t="str">
        <f t="shared" si="17"/>
        <v/>
      </c>
      <c r="K202" t="str">
        <f>IFERROR(IF(VLOOKUP(E:E,'Old Report'!E:J,6,FALSE)="","",VLOOKUP(E:E,'Old Report'!E:J,6,FALSE)),"")</f>
        <v/>
      </c>
      <c r="L202" t="str">
        <f>IFERROR(IF(VLOOKUP(E:E,'Old Report'!E:L,8,FALSE)="","",VLOOKUP(E:E,'Old Report'!E:L,8,FALSE)),"")</f>
        <v/>
      </c>
      <c r="M202" s="5" t="str">
        <f t="shared" si="18"/>
        <v/>
      </c>
      <c r="N202" s="5" t="str">
        <f t="shared" si="19"/>
        <v/>
      </c>
    </row>
    <row r="203" spans="1:14" x14ac:dyDescent="0.25">
      <c r="A203" s="5">
        <v>202</v>
      </c>
      <c r="B203" s="5">
        <f t="shared" si="16"/>
        <v>0</v>
      </c>
      <c r="C203" s="5" t="str">
        <f t="shared" si="15"/>
        <v/>
      </c>
      <c r="D203" s="5" t="str">
        <f>IFERROR(IF(F203&lt;&gt;"",F203,VLOOKUP(MAX(C$2:C203),A$2:F203,2,FALSE)),"")</f>
        <v/>
      </c>
      <c r="E203" s="5" t="str">
        <f t="shared" si="17"/>
        <v/>
      </c>
      <c r="K203" t="str">
        <f>IFERROR(IF(VLOOKUP(E:E,'Old Report'!E:J,6,FALSE)="","",VLOOKUP(E:E,'Old Report'!E:J,6,FALSE)),"")</f>
        <v/>
      </c>
      <c r="L203" t="str">
        <f>IFERROR(IF(VLOOKUP(E:E,'Old Report'!E:L,8,FALSE)="","",VLOOKUP(E:E,'Old Report'!E:L,8,FALSE)),"")</f>
        <v/>
      </c>
      <c r="M203" s="5" t="str">
        <f t="shared" si="18"/>
        <v/>
      </c>
      <c r="N203" s="5" t="str">
        <f t="shared" si="19"/>
        <v/>
      </c>
    </row>
    <row r="204" spans="1:14" x14ac:dyDescent="0.25">
      <c r="A204" s="5">
        <v>203</v>
      </c>
      <c r="B204" s="5">
        <f t="shared" si="16"/>
        <v>0</v>
      </c>
      <c r="C204" s="5" t="str">
        <f t="shared" si="15"/>
        <v/>
      </c>
      <c r="D204" s="5" t="str">
        <f>IFERROR(IF(F204&lt;&gt;"",F204,VLOOKUP(MAX(C$2:C204),A$2:F204,2,FALSE)),"")</f>
        <v/>
      </c>
      <c r="E204" s="5" t="str">
        <f t="shared" si="17"/>
        <v/>
      </c>
      <c r="K204" t="str">
        <f>IFERROR(IF(VLOOKUP(E:E,'Old Report'!E:J,6,FALSE)="","",VLOOKUP(E:E,'Old Report'!E:J,6,FALSE)),"")</f>
        <v/>
      </c>
      <c r="L204" t="str">
        <f>IFERROR(IF(VLOOKUP(E:E,'Old Report'!E:L,8,FALSE)="","",VLOOKUP(E:E,'Old Report'!E:L,8,FALSE)),"")</f>
        <v/>
      </c>
      <c r="M204" s="5" t="str">
        <f t="shared" si="18"/>
        <v/>
      </c>
      <c r="N204" s="5" t="str">
        <f t="shared" si="19"/>
        <v/>
      </c>
    </row>
    <row r="205" spans="1:14" x14ac:dyDescent="0.25">
      <c r="A205" s="5">
        <v>204</v>
      </c>
      <c r="B205" s="5">
        <f t="shared" si="16"/>
        <v>0</v>
      </c>
      <c r="C205" s="5" t="str">
        <f t="shared" si="15"/>
        <v/>
      </c>
      <c r="D205" s="5" t="str">
        <f>IFERROR(IF(F205&lt;&gt;"",F205,VLOOKUP(MAX(C$2:C205),A$2:F205,2,FALSE)),"")</f>
        <v/>
      </c>
      <c r="E205" s="5" t="str">
        <f t="shared" si="17"/>
        <v/>
      </c>
      <c r="K205" t="str">
        <f>IFERROR(IF(VLOOKUP(E:E,'Old Report'!E:J,6,FALSE)="","",VLOOKUP(E:E,'Old Report'!E:J,6,FALSE)),"")</f>
        <v/>
      </c>
      <c r="L205" t="str">
        <f>IFERROR(IF(VLOOKUP(E:E,'Old Report'!E:L,8,FALSE)="","",VLOOKUP(E:E,'Old Report'!E:L,8,FALSE)),"")</f>
        <v/>
      </c>
      <c r="M205" s="5" t="str">
        <f t="shared" si="18"/>
        <v/>
      </c>
      <c r="N205" s="5" t="str">
        <f t="shared" si="19"/>
        <v/>
      </c>
    </row>
    <row r="206" spans="1:14" x14ac:dyDescent="0.25">
      <c r="A206" s="5">
        <v>205</v>
      </c>
      <c r="B206" s="5">
        <f t="shared" si="16"/>
        <v>0</v>
      </c>
      <c r="C206" s="5" t="str">
        <f t="shared" si="15"/>
        <v/>
      </c>
      <c r="D206" s="5" t="str">
        <f>IFERROR(IF(F206&lt;&gt;"",F206,VLOOKUP(MAX(C$2:C206),A$2:F206,2,FALSE)),"")</f>
        <v/>
      </c>
      <c r="E206" s="5" t="str">
        <f t="shared" si="17"/>
        <v/>
      </c>
      <c r="K206" t="str">
        <f>IFERROR(IF(VLOOKUP(E:E,'Old Report'!E:J,6,FALSE)="","",VLOOKUP(E:E,'Old Report'!E:J,6,FALSE)),"")</f>
        <v/>
      </c>
      <c r="L206" t="str">
        <f>IFERROR(IF(VLOOKUP(E:E,'Old Report'!E:L,8,FALSE)="","",VLOOKUP(E:E,'Old Report'!E:L,8,FALSE)),"")</f>
        <v/>
      </c>
      <c r="M206" s="5" t="str">
        <f t="shared" si="18"/>
        <v/>
      </c>
      <c r="N206" s="5" t="str">
        <f t="shared" si="19"/>
        <v/>
      </c>
    </row>
    <row r="207" spans="1:14" x14ac:dyDescent="0.25">
      <c r="A207" s="5">
        <v>206</v>
      </c>
      <c r="B207" s="5">
        <f t="shared" si="16"/>
        <v>0</v>
      </c>
      <c r="C207" s="5" t="str">
        <f t="shared" si="15"/>
        <v/>
      </c>
      <c r="D207" s="5" t="str">
        <f>IFERROR(IF(F207&lt;&gt;"",F207,VLOOKUP(MAX(C$2:C207),A$2:F207,2,FALSE)),"")</f>
        <v/>
      </c>
      <c r="E207" s="5" t="str">
        <f t="shared" si="17"/>
        <v/>
      </c>
      <c r="K207" t="str">
        <f>IFERROR(IF(VLOOKUP(E:E,'Old Report'!E:J,6,FALSE)="","",VLOOKUP(E:E,'Old Report'!E:J,6,FALSE)),"")</f>
        <v/>
      </c>
      <c r="L207" t="str">
        <f>IFERROR(IF(VLOOKUP(E:E,'Old Report'!E:L,8,FALSE)="","",VLOOKUP(E:E,'Old Report'!E:L,8,FALSE)),"")</f>
        <v/>
      </c>
      <c r="M207" s="5" t="str">
        <f t="shared" si="18"/>
        <v/>
      </c>
      <c r="N207" s="5" t="str">
        <f t="shared" si="19"/>
        <v/>
      </c>
    </row>
    <row r="208" spans="1:14" x14ac:dyDescent="0.25">
      <c r="A208" s="5">
        <v>207</v>
      </c>
      <c r="B208" s="5">
        <f t="shared" si="16"/>
        <v>0</v>
      </c>
      <c r="C208" s="5" t="str">
        <f t="shared" si="15"/>
        <v/>
      </c>
      <c r="D208" s="5" t="str">
        <f>IFERROR(IF(F208&lt;&gt;"",F208,VLOOKUP(MAX(C$2:C208),A$2:F208,2,FALSE)),"")</f>
        <v/>
      </c>
      <c r="E208" s="5" t="str">
        <f t="shared" si="17"/>
        <v/>
      </c>
      <c r="K208" t="str">
        <f>IFERROR(IF(VLOOKUP(E:E,'Old Report'!E:J,6,FALSE)="","",VLOOKUP(E:E,'Old Report'!E:J,6,FALSE)),"")</f>
        <v/>
      </c>
      <c r="L208" t="str">
        <f>IFERROR(IF(VLOOKUP(E:E,'Old Report'!E:L,8,FALSE)="","",VLOOKUP(E:E,'Old Report'!E:L,8,FALSE)),"")</f>
        <v/>
      </c>
      <c r="M208" s="5" t="str">
        <f t="shared" si="18"/>
        <v/>
      </c>
      <c r="N208" s="5" t="str">
        <f t="shared" si="19"/>
        <v/>
      </c>
    </row>
    <row r="209" spans="1:14" x14ac:dyDescent="0.25">
      <c r="A209" s="5">
        <v>208</v>
      </c>
      <c r="B209" s="5">
        <f t="shared" si="16"/>
        <v>0</v>
      </c>
      <c r="C209" s="5" t="str">
        <f t="shared" si="15"/>
        <v/>
      </c>
      <c r="D209" s="5" t="str">
        <f>IFERROR(IF(F209&lt;&gt;"",F209,VLOOKUP(MAX(C$2:C209),A$2:F209,2,FALSE)),"")</f>
        <v/>
      </c>
      <c r="E209" s="5" t="str">
        <f t="shared" si="17"/>
        <v/>
      </c>
      <c r="K209" t="str">
        <f>IFERROR(IF(VLOOKUP(E:E,'Old Report'!E:J,6,FALSE)="","",VLOOKUP(E:E,'Old Report'!E:J,6,FALSE)),"")</f>
        <v/>
      </c>
      <c r="L209" t="str">
        <f>IFERROR(IF(VLOOKUP(E:E,'Old Report'!E:L,8,FALSE)="","",VLOOKUP(E:E,'Old Report'!E:L,8,FALSE)),"")</f>
        <v/>
      </c>
      <c r="M209" s="5" t="str">
        <f t="shared" si="18"/>
        <v/>
      </c>
      <c r="N209" s="5" t="str">
        <f t="shared" si="19"/>
        <v/>
      </c>
    </row>
    <row r="210" spans="1:14" x14ac:dyDescent="0.25">
      <c r="A210" s="5">
        <v>209</v>
      </c>
      <c r="B210" s="5">
        <f t="shared" si="16"/>
        <v>0</v>
      </c>
      <c r="C210" s="5" t="str">
        <f t="shared" si="15"/>
        <v/>
      </c>
      <c r="D210" s="5" t="str">
        <f>IFERROR(IF(F210&lt;&gt;"",F210,VLOOKUP(MAX(C$2:C210),A$2:F210,2,FALSE)),"")</f>
        <v/>
      </c>
      <c r="E210" s="5" t="str">
        <f t="shared" si="17"/>
        <v/>
      </c>
      <c r="K210" t="str">
        <f>IFERROR(IF(VLOOKUP(E:E,'Old Report'!E:J,6,FALSE)="","",VLOOKUP(E:E,'Old Report'!E:J,6,FALSE)),"")</f>
        <v/>
      </c>
      <c r="L210" t="str">
        <f>IFERROR(IF(VLOOKUP(E:E,'Old Report'!E:L,8,FALSE)="","",VLOOKUP(E:E,'Old Report'!E:L,8,FALSE)),"")</f>
        <v/>
      </c>
      <c r="M210" s="5" t="str">
        <f t="shared" si="18"/>
        <v/>
      </c>
      <c r="N210" s="5" t="str">
        <f t="shared" si="19"/>
        <v/>
      </c>
    </row>
    <row r="211" spans="1:14" x14ac:dyDescent="0.25">
      <c r="A211" s="5">
        <v>210</v>
      </c>
      <c r="B211" s="5">
        <f t="shared" si="16"/>
        <v>0</v>
      </c>
      <c r="C211" s="5" t="str">
        <f t="shared" si="15"/>
        <v/>
      </c>
      <c r="D211" s="5" t="str">
        <f>IFERROR(IF(F211&lt;&gt;"",F211,VLOOKUP(MAX(C$2:C211),A$2:F211,2,FALSE)),"")</f>
        <v/>
      </c>
      <c r="E211" s="5" t="str">
        <f t="shared" si="17"/>
        <v/>
      </c>
      <c r="K211" t="str">
        <f>IFERROR(IF(VLOOKUP(E:E,'Old Report'!E:J,6,FALSE)="","",VLOOKUP(E:E,'Old Report'!E:J,6,FALSE)),"")</f>
        <v/>
      </c>
      <c r="L211" t="str">
        <f>IFERROR(IF(VLOOKUP(E:E,'Old Report'!E:L,8,FALSE)="","",VLOOKUP(E:E,'Old Report'!E:L,8,FALSE)),"")</f>
        <v/>
      </c>
      <c r="M211" s="5" t="str">
        <f t="shared" si="18"/>
        <v/>
      </c>
      <c r="N211" s="5" t="str">
        <f t="shared" si="19"/>
        <v/>
      </c>
    </row>
    <row r="212" spans="1:14" x14ac:dyDescent="0.25">
      <c r="A212" s="5">
        <v>211</v>
      </c>
      <c r="B212" s="5">
        <f t="shared" si="16"/>
        <v>0</v>
      </c>
      <c r="C212" s="5" t="str">
        <f t="shared" si="15"/>
        <v/>
      </c>
      <c r="D212" s="5" t="str">
        <f>IFERROR(IF(F212&lt;&gt;"",F212,VLOOKUP(MAX(C$2:C212),A$2:F212,2,FALSE)),"")</f>
        <v/>
      </c>
      <c r="E212" s="5" t="str">
        <f t="shared" si="17"/>
        <v/>
      </c>
      <c r="K212" t="str">
        <f>IFERROR(IF(VLOOKUP(E:E,'Old Report'!E:J,6,FALSE)="","",VLOOKUP(E:E,'Old Report'!E:J,6,FALSE)),"")</f>
        <v/>
      </c>
      <c r="L212" t="str">
        <f>IFERROR(IF(VLOOKUP(E:E,'Old Report'!E:L,8,FALSE)="","",VLOOKUP(E:E,'Old Report'!E:L,8,FALSE)),"")</f>
        <v/>
      </c>
      <c r="M212" s="5" t="str">
        <f t="shared" si="18"/>
        <v/>
      </c>
      <c r="N212" s="5" t="str">
        <f t="shared" si="19"/>
        <v/>
      </c>
    </row>
    <row r="213" spans="1:14" x14ac:dyDescent="0.25">
      <c r="A213" s="5">
        <v>212</v>
      </c>
      <c r="B213" s="5">
        <f t="shared" si="16"/>
        <v>0</v>
      </c>
      <c r="C213" s="5" t="str">
        <f t="shared" si="15"/>
        <v/>
      </c>
      <c r="D213" s="5" t="str">
        <f>IFERROR(IF(F213&lt;&gt;"",F213,VLOOKUP(MAX(C$2:C213),A$2:F213,2,FALSE)),"")</f>
        <v/>
      </c>
      <c r="E213" s="5" t="str">
        <f t="shared" si="17"/>
        <v/>
      </c>
      <c r="K213" t="str">
        <f>IFERROR(IF(VLOOKUP(E:E,'Old Report'!E:J,6,FALSE)="","",VLOOKUP(E:E,'Old Report'!E:J,6,FALSE)),"")</f>
        <v/>
      </c>
      <c r="L213" t="str">
        <f>IFERROR(IF(VLOOKUP(E:E,'Old Report'!E:L,8,FALSE)="","",VLOOKUP(E:E,'Old Report'!E:L,8,FALSE)),"")</f>
        <v/>
      </c>
      <c r="M213" s="5" t="str">
        <f t="shared" si="18"/>
        <v/>
      </c>
      <c r="N213" s="5" t="str">
        <f t="shared" si="19"/>
        <v/>
      </c>
    </row>
    <row r="214" spans="1:14" x14ac:dyDescent="0.25">
      <c r="A214" s="5">
        <v>213</v>
      </c>
      <c r="B214" s="5">
        <f t="shared" si="16"/>
        <v>0</v>
      </c>
      <c r="C214" s="5" t="str">
        <f t="shared" si="15"/>
        <v/>
      </c>
      <c r="D214" s="5" t="str">
        <f>IFERROR(IF(F214&lt;&gt;"",F214,VLOOKUP(MAX(C$2:C214),A$2:F214,2,FALSE)),"")</f>
        <v/>
      </c>
      <c r="E214" s="5" t="str">
        <f t="shared" si="17"/>
        <v/>
      </c>
      <c r="K214" t="str">
        <f>IFERROR(IF(VLOOKUP(E:E,'Old Report'!E:J,6,FALSE)="","",VLOOKUP(E:E,'Old Report'!E:J,6,FALSE)),"")</f>
        <v/>
      </c>
      <c r="L214" t="str">
        <f>IFERROR(IF(VLOOKUP(E:E,'Old Report'!E:L,8,FALSE)="","",VLOOKUP(E:E,'Old Report'!E:L,8,FALSE)),"")</f>
        <v/>
      </c>
      <c r="M214" s="5" t="str">
        <f t="shared" si="18"/>
        <v/>
      </c>
      <c r="N214" s="5" t="str">
        <f t="shared" si="19"/>
        <v/>
      </c>
    </row>
    <row r="215" spans="1:14" x14ac:dyDescent="0.25">
      <c r="A215" s="5">
        <v>214</v>
      </c>
      <c r="B215" s="5">
        <f t="shared" si="16"/>
        <v>0</v>
      </c>
      <c r="C215" s="5" t="str">
        <f t="shared" si="15"/>
        <v/>
      </c>
      <c r="D215" s="5" t="str">
        <f>IFERROR(IF(F215&lt;&gt;"",F215,VLOOKUP(MAX(C$2:C215),A$2:F215,2,FALSE)),"")</f>
        <v/>
      </c>
      <c r="E215" s="5" t="str">
        <f t="shared" si="17"/>
        <v/>
      </c>
      <c r="K215" t="str">
        <f>IFERROR(IF(VLOOKUP(E:E,'Old Report'!E:J,6,FALSE)="","",VLOOKUP(E:E,'Old Report'!E:J,6,FALSE)),"")</f>
        <v/>
      </c>
      <c r="L215" t="str">
        <f>IFERROR(IF(VLOOKUP(E:E,'Old Report'!E:L,8,FALSE)="","",VLOOKUP(E:E,'Old Report'!E:L,8,FALSE)),"")</f>
        <v/>
      </c>
      <c r="M215" s="5" t="str">
        <f t="shared" si="18"/>
        <v/>
      </c>
      <c r="N215" s="5" t="str">
        <f t="shared" si="19"/>
        <v/>
      </c>
    </row>
    <row r="216" spans="1:14" x14ac:dyDescent="0.25">
      <c r="A216" s="5">
        <v>215</v>
      </c>
      <c r="B216" s="5">
        <f t="shared" si="16"/>
        <v>0</v>
      </c>
      <c r="C216" s="5" t="str">
        <f t="shared" si="15"/>
        <v/>
      </c>
      <c r="D216" s="5" t="str">
        <f>IFERROR(IF(F216&lt;&gt;"",F216,VLOOKUP(MAX(C$2:C216),A$2:F216,2,FALSE)),"")</f>
        <v/>
      </c>
      <c r="E216" s="5" t="str">
        <f t="shared" si="17"/>
        <v/>
      </c>
      <c r="K216" t="str">
        <f>IFERROR(IF(VLOOKUP(E:E,'Old Report'!E:J,6,FALSE)="","",VLOOKUP(E:E,'Old Report'!E:J,6,FALSE)),"")</f>
        <v/>
      </c>
      <c r="L216" t="str">
        <f>IFERROR(IF(VLOOKUP(E:E,'Old Report'!E:L,8,FALSE)="","",VLOOKUP(E:E,'Old Report'!E:L,8,FALSE)),"")</f>
        <v/>
      </c>
      <c r="M216" s="5" t="str">
        <f t="shared" si="18"/>
        <v/>
      </c>
      <c r="N216" s="5" t="str">
        <f t="shared" si="19"/>
        <v/>
      </c>
    </row>
    <row r="217" spans="1:14" x14ac:dyDescent="0.25">
      <c r="A217" s="5">
        <v>216</v>
      </c>
      <c r="B217" s="5">
        <f t="shared" si="16"/>
        <v>0</v>
      </c>
      <c r="C217" s="5" t="str">
        <f t="shared" si="15"/>
        <v/>
      </c>
      <c r="D217" s="5" t="str">
        <f>IFERROR(IF(F217&lt;&gt;"",F217,VLOOKUP(MAX(C$2:C217),A$2:F217,2,FALSE)),"")</f>
        <v/>
      </c>
      <c r="E217" s="5" t="str">
        <f t="shared" si="17"/>
        <v/>
      </c>
      <c r="K217" t="str">
        <f>IFERROR(IF(VLOOKUP(E:E,'Old Report'!E:J,6,FALSE)="","",VLOOKUP(E:E,'Old Report'!E:J,6,FALSE)),"")</f>
        <v/>
      </c>
      <c r="L217" t="str">
        <f>IFERROR(IF(VLOOKUP(E:E,'Old Report'!E:L,8,FALSE)="","",VLOOKUP(E:E,'Old Report'!E:L,8,FALSE)),"")</f>
        <v/>
      </c>
      <c r="M217" s="5" t="str">
        <f t="shared" si="18"/>
        <v/>
      </c>
      <c r="N217" s="5" t="str">
        <f t="shared" si="19"/>
        <v/>
      </c>
    </row>
    <row r="218" spans="1:14" x14ac:dyDescent="0.25">
      <c r="A218" s="5">
        <v>217</v>
      </c>
      <c r="B218" s="5">
        <f t="shared" si="16"/>
        <v>0</v>
      </c>
      <c r="C218" s="5" t="str">
        <f t="shared" si="15"/>
        <v/>
      </c>
      <c r="D218" s="5" t="str">
        <f>IFERROR(IF(F218&lt;&gt;"",F218,VLOOKUP(MAX(C$2:C218),A$2:F218,2,FALSE)),"")</f>
        <v/>
      </c>
      <c r="E218" s="5" t="str">
        <f t="shared" si="17"/>
        <v/>
      </c>
      <c r="K218" t="str">
        <f>IFERROR(IF(VLOOKUP(E:E,'Old Report'!E:J,6,FALSE)="","",VLOOKUP(E:E,'Old Report'!E:J,6,FALSE)),"")</f>
        <v/>
      </c>
      <c r="L218" t="str">
        <f>IFERROR(IF(VLOOKUP(E:E,'Old Report'!E:L,8,FALSE)="","",VLOOKUP(E:E,'Old Report'!E:L,8,FALSE)),"")</f>
        <v/>
      </c>
      <c r="M218" s="5" t="str">
        <f t="shared" si="18"/>
        <v/>
      </c>
      <c r="N218" s="5" t="str">
        <f t="shared" si="19"/>
        <v/>
      </c>
    </row>
    <row r="219" spans="1:14" x14ac:dyDescent="0.25">
      <c r="A219" s="5">
        <v>218</v>
      </c>
      <c r="B219" s="5">
        <f t="shared" si="16"/>
        <v>0</v>
      </c>
      <c r="C219" s="5" t="str">
        <f t="shared" si="15"/>
        <v/>
      </c>
      <c r="D219" s="5" t="str">
        <f>IFERROR(IF(F219&lt;&gt;"",F219,VLOOKUP(MAX(C$2:C219),A$2:F219,2,FALSE)),"")</f>
        <v/>
      </c>
      <c r="E219" s="5" t="str">
        <f t="shared" si="17"/>
        <v/>
      </c>
      <c r="K219" t="str">
        <f>IFERROR(IF(VLOOKUP(E:E,'Old Report'!E:J,6,FALSE)="","",VLOOKUP(E:E,'Old Report'!E:J,6,FALSE)),"")</f>
        <v/>
      </c>
      <c r="L219" t="str">
        <f>IFERROR(IF(VLOOKUP(E:E,'Old Report'!E:L,8,FALSE)="","",VLOOKUP(E:E,'Old Report'!E:L,8,FALSE)),"")</f>
        <v/>
      </c>
      <c r="M219" s="5" t="str">
        <f t="shared" si="18"/>
        <v/>
      </c>
      <c r="N219" s="5" t="str">
        <f t="shared" si="19"/>
        <v/>
      </c>
    </row>
    <row r="220" spans="1:14" x14ac:dyDescent="0.25">
      <c r="A220" s="5">
        <v>219</v>
      </c>
      <c r="B220" s="5">
        <f t="shared" si="16"/>
        <v>0</v>
      </c>
      <c r="C220" s="5" t="str">
        <f t="shared" si="15"/>
        <v/>
      </c>
      <c r="D220" s="5" t="str">
        <f>IFERROR(IF(F220&lt;&gt;"",F220,VLOOKUP(MAX(C$2:C220),A$2:F220,2,FALSE)),"")</f>
        <v/>
      </c>
      <c r="E220" s="5" t="str">
        <f t="shared" si="17"/>
        <v/>
      </c>
      <c r="K220" t="str">
        <f>IFERROR(IF(VLOOKUP(E:E,'Old Report'!E:J,6,FALSE)="","",VLOOKUP(E:E,'Old Report'!E:J,6,FALSE)),"")</f>
        <v/>
      </c>
      <c r="L220" t="str">
        <f>IFERROR(IF(VLOOKUP(E:E,'Old Report'!E:L,8,FALSE)="","",VLOOKUP(E:E,'Old Report'!E:L,8,FALSE)),"")</f>
        <v/>
      </c>
      <c r="M220" s="5" t="str">
        <f t="shared" si="18"/>
        <v/>
      </c>
      <c r="N220" s="5" t="str">
        <f t="shared" si="19"/>
        <v/>
      </c>
    </row>
    <row r="221" spans="1:14" x14ac:dyDescent="0.25">
      <c r="A221" s="5">
        <v>220</v>
      </c>
      <c r="B221" s="5">
        <f t="shared" si="16"/>
        <v>0</v>
      </c>
      <c r="C221" s="5" t="str">
        <f t="shared" si="15"/>
        <v/>
      </c>
      <c r="D221" s="5" t="str">
        <f>IFERROR(IF(F221&lt;&gt;"",F221,VLOOKUP(MAX(C$2:C221),A$2:F221,2,FALSE)),"")</f>
        <v/>
      </c>
      <c r="E221" s="5" t="str">
        <f t="shared" si="17"/>
        <v/>
      </c>
      <c r="K221" t="str">
        <f>IFERROR(IF(VLOOKUP(E:E,'Old Report'!E:J,6,FALSE)="","",VLOOKUP(E:E,'Old Report'!E:J,6,FALSE)),"")</f>
        <v/>
      </c>
      <c r="L221" t="str">
        <f>IFERROR(IF(VLOOKUP(E:E,'Old Report'!E:L,8,FALSE)="","",VLOOKUP(E:E,'Old Report'!E:L,8,FALSE)),"")</f>
        <v/>
      </c>
      <c r="M221" s="5" t="str">
        <f t="shared" si="18"/>
        <v/>
      </c>
      <c r="N221" s="5" t="str">
        <f t="shared" si="19"/>
        <v/>
      </c>
    </row>
    <row r="222" spans="1:14" x14ac:dyDescent="0.25">
      <c r="A222" s="5">
        <v>221</v>
      </c>
      <c r="B222" s="5">
        <f t="shared" si="16"/>
        <v>0</v>
      </c>
      <c r="C222" s="5" t="str">
        <f t="shared" si="15"/>
        <v/>
      </c>
      <c r="D222" s="5" t="str">
        <f>IFERROR(IF(F222&lt;&gt;"",F222,VLOOKUP(MAX(C$2:C222),A$2:F222,2,FALSE)),"")</f>
        <v/>
      </c>
      <c r="E222" s="5" t="str">
        <f t="shared" si="17"/>
        <v/>
      </c>
      <c r="K222" t="str">
        <f>IFERROR(IF(VLOOKUP(E:E,'Old Report'!E:J,6,FALSE)="","",VLOOKUP(E:E,'Old Report'!E:J,6,FALSE)),"")</f>
        <v/>
      </c>
      <c r="L222" t="str">
        <f>IFERROR(IF(VLOOKUP(E:E,'Old Report'!E:L,8,FALSE)="","",VLOOKUP(E:E,'Old Report'!E:L,8,FALSE)),"")</f>
        <v/>
      </c>
      <c r="M222" s="5" t="str">
        <f t="shared" si="18"/>
        <v/>
      </c>
      <c r="N222" s="5" t="str">
        <f t="shared" si="19"/>
        <v/>
      </c>
    </row>
    <row r="223" spans="1:14" x14ac:dyDescent="0.25">
      <c r="A223" s="5">
        <v>222</v>
      </c>
      <c r="B223" s="5">
        <f t="shared" si="16"/>
        <v>0</v>
      </c>
      <c r="C223" s="5" t="str">
        <f t="shared" si="15"/>
        <v/>
      </c>
      <c r="D223" s="5" t="str">
        <f>IFERROR(IF(F223&lt;&gt;"",F223,VLOOKUP(MAX(C$2:C223),A$2:F223,2,FALSE)),"")</f>
        <v/>
      </c>
      <c r="E223" s="5" t="str">
        <f t="shared" si="17"/>
        <v/>
      </c>
      <c r="K223" t="str">
        <f>IFERROR(IF(VLOOKUP(E:E,'Old Report'!E:J,6,FALSE)="","",VLOOKUP(E:E,'Old Report'!E:J,6,FALSE)),"")</f>
        <v/>
      </c>
      <c r="L223" t="str">
        <f>IFERROR(IF(VLOOKUP(E:E,'Old Report'!E:L,8,FALSE)="","",VLOOKUP(E:E,'Old Report'!E:L,8,FALSE)),"")</f>
        <v/>
      </c>
      <c r="M223" s="5" t="str">
        <f t="shared" si="18"/>
        <v/>
      </c>
      <c r="N223" s="5" t="str">
        <f t="shared" si="19"/>
        <v/>
      </c>
    </row>
    <row r="224" spans="1:14" x14ac:dyDescent="0.25">
      <c r="A224" s="5">
        <v>223</v>
      </c>
      <c r="B224" s="5">
        <f t="shared" si="16"/>
        <v>0</v>
      </c>
      <c r="C224" s="5" t="str">
        <f t="shared" si="15"/>
        <v/>
      </c>
      <c r="D224" s="5" t="str">
        <f>IFERROR(IF(F224&lt;&gt;"",F224,VLOOKUP(MAX(C$2:C224),A$2:F224,2,FALSE)),"")</f>
        <v/>
      </c>
      <c r="E224" s="5" t="str">
        <f t="shared" si="17"/>
        <v/>
      </c>
      <c r="K224" t="str">
        <f>IFERROR(IF(VLOOKUP(E:E,'Old Report'!E:J,6,FALSE)="","",VLOOKUP(E:E,'Old Report'!E:J,6,FALSE)),"")</f>
        <v/>
      </c>
      <c r="L224" t="str">
        <f>IFERROR(IF(VLOOKUP(E:E,'Old Report'!E:L,8,FALSE)="","",VLOOKUP(E:E,'Old Report'!E:L,8,FALSE)),"")</f>
        <v/>
      </c>
      <c r="M224" s="5" t="str">
        <f t="shared" si="18"/>
        <v/>
      </c>
      <c r="N224" s="5" t="str">
        <f t="shared" si="19"/>
        <v/>
      </c>
    </row>
    <row r="225" spans="1:14" x14ac:dyDescent="0.25">
      <c r="A225" s="5">
        <v>224</v>
      </c>
      <c r="B225" s="5">
        <f t="shared" si="16"/>
        <v>0</v>
      </c>
      <c r="C225" s="5" t="str">
        <f t="shared" si="15"/>
        <v/>
      </c>
      <c r="D225" s="5" t="str">
        <f>IFERROR(IF(F225&lt;&gt;"",F225,VLOOKUP(MAX(C$2:C225),A$2:F225,2,FALSE)),"")</f>
        <v/>
      </c>
      <c r="E225" s="5" t="str">
        <f t="shared" si="17"/>
        <v/>
      </c>
      <c r="K225" t="str">
        <f>IFERROR(IF(VLOOKUP(E:E,'Old Report'!E:J,6,FALSE)="","",VLOOKUP(E:E,'Old Report'!E:J,6,FALSE)),"")</f>
        <v/>
      </c>
      <c r="L225" t="str">
        <f>IFERROR(IF(VLOOKUP(E:E,'Old Report'!E:L,8,FALSE)="","",VLOOKUP(E:E,'Old Report'!E:L,8,FALSE)),"")</f>
        <v/>
      </c>
      <c r="M225" s="5" t="str">
        <f t="shared" si="18"/>
        <v/>
      </c>
      <c r="N225" s="5" t="str">
        <f t="shared" si="19"/>
        <v/>
      </c>
    </row>
    <row r="226" spans="1:14" x14ac:dyDescent="0.25">
      <c r="A226" s="5">
        <v>225</v>
      </c>
      <c r="B226" s="5">
        <f t="shared" si="16"/>
        <v>0</v>
      </c>
      <c r="C226" s="5" t="str">
        <f t="shared" si="15"/>
        <v/>
      </c>
      <c r="D226" s="5" t="str">
        <f>IFERROR(IF(F226&lt;&gt;"",F226,VLOOKUP(MAX(C$2:C226),A$2:F226,2,FALSE)),"")</f>
        <v/>
      </c>
      <c r="E226" s="5" t="str">
        <f t="shared" si="17"/>
        <v/>
      </c>
      <c r="K226" t="str">
        <f>IFERROR(IF(VLOOKUP(E:E,'Old Report'!E:J,6,FALSE)="","",VLOOKUP(E:E,'Old Report'!E:J,6,FALSE)),"")</f>
        <v/>
      </c>
      <c r="L226" t="str">
        <f>IFERROR(IF(VLOOKUP(E:E,'Old Report'!E:L,8,FALSE)="","",VLOOKUP(E:E,'Old Report'!E:L,8,FALSE)),"")</f>
        <v/>
      </c>
      <c r="M226" s="5" t="str">
        <f t="shared" si="18"/>
        <v/>
      </c>
      <c r="N226" s="5" t="str">
        <f t="shared" si="19"/>
        <v/>
      </c>
    </row>
    <row r="227" spans="1:14" x14ac:dyDescent="0.25">
      <c r="A227" s="5">
        <v>226</v>
      </c>
      <c r="B227" s="5">
        <f t="shared" si="16"/>
        <v>0</v>
      </c>
      <c r="C227" s="5" t="str">
        <f t="shared" si="15"/>
        <v/>
      </c>
      <c r="D227" s="5" t="str">
        <f>IFERROR(IF(F227&lt;&gt;"",F227,VLOOKUP(MAX(C$2:C227),A$2:F227,2,FALSE)),"")</f>
        <v/>
      </c>
      <c r="E227" s="5" t="str">
        <f t="shared" si="17"/>
        <v/>
      </c>
      <c r="K227" t="str">
        <f>IFERROR(IF(VLOOKUP(E:E,'Old Report'!E:J,6,FALSE)="","",VLOOKUP(E:E,'Old Report'!E:J,6,FALSE)),"")</f>
        <v/>
      </c>
      <c r="L227" t="str">
        <f>IFERROR(IF(VLOOKUP(E:E,'Old Report'!E:L,8,FALSE)="","",VLOOKUP(E:E,'Old Report'!E:L,8,FALSE)),"")</f>
        <v/>
      </c>
      <c r="M227" s="5" t="str">
        <f t="shared" si="18"/>
        <v/>
      </c>
      <c r="N227" s="5" t="str">
        <f t="shared" si="19"/>
        <v/>
      </c>
    </row>
    <row r="228" spans="1:14" x14ac:dyDescent="0.25">
      <c r="A228" s="5">
        <v>227</v>
      </c>
      <c r="B228" s="5">
        <f t="shared" si="16"/>
        <v>0</v>
      </c>
      <c r="C228" s="5" t="str">
        <f t="shared" si="15"/>
        <v/>
      </c>
      <c r="D228" s="5" t="str">
        <f>IFERROR(IF(F228&lt;&gt;"",F228,VLOOKUP(MAX(C$2:C228),A$2:F228,2,FALSE)),"")</f>
        <v/>
      </c>
      <c r="E228" s="5" t="str">
        <f t="shared" si="17"/>
        <v/>
      </c>
      <c r="K228" t="str">
        <f>IFERROR(IF(VLOOKUP(E:E,'Old Report'!E:J,6,FALSE)="","",VLOOKUP(E:E,'Old Report'!E:J,6,FALSE)),"")</f>
        <v/>
      </c>
      <c r="L228" t="str">
        <f>IFERROR(IF(VLOOKUP(E:E,'Old Report'!E:L,8,FALSE)="","",VLOOKUP(E:E,'Old Report'!E:L,8,FALSE)),"")</f>
        <v/>
      </c>
      <c r="M228" s="5" t="str">
        <f t="shared" si="18"/>
        <v/>
      </c>
      <c r="N228" s="5" t="str">
        <f t="shared" si="19"/>
        <v/>
      </c>
    </row>
    <row r="229" spans="1:14" x14ac:dyDescent="0.25">
      <c r="A229" s="5">
        <v>228</v>
      </c>
      <c r="B229" s="5">
        <f t="shared" si="16"/>
        <v>0</v>
      </c>
      <c r="C229" s="5" t="str">
        <f t="shared" si="15"/>
        <v/>
      </c>
      <c r="D229" s="5" t="str">
        <f>IFERROR(IF(F229&lt;&gt;"",F229,VLOOKUP(MAX(C$2:C229),A$2:F229,2,FALSE)),"")</f>
        <v/>
      </c>
      <c r="E229" s="5" t="str">
        <f t="shared" si="17"/>
        <v/>
      </c>
      <c r="K229" t="str">
        <f>IFERROR(IF(VLOOKUP(E:E,'Old Report'!E:J,6,FALSE)="","",VLOOKUP(E:E,'Old Report'!E:J,6,FALSE)),"")</f>
        <v/>
      </c>
      <c r="L229" t="str">
        <f>IFERROR(IF(VLOOKUP(E:E,'Old Report'!E:L,8,FALSE)="","",VLOOKUP(E:E,'Old Report'!E:L,8,FALSE)),"")</f>
        <v/>
      </c>
      <c r="M229" s="5" t="str">
        <f t="shared" si="18"/>
        <v/>
      </c>
      <c r="N229" s="5" t="str">
        <f t="shared" si="19"/>
        <v/>
      </c>
    </row>
    <row r="230" spans="1:14" x14ac:dyDescent="0.25">
      <c r="A230" s="5">
        <v>229</v>
      </c>
      <c r="B230" s="5">
        <f t="shared" si="16"/>
        <v>0</v>
      </c>
      <c r="C230" s="5" t="str">
        <f t="shared" si="15"/>
        <v/>
      </c>
      <c r="D230" s="5" t="str">
        <f>IFERROR(IF(F230&lt;&gt;"",F230,VLOOKUP(MAX(C$2:C230),A$2:F230,2,FALSE)),"")</f>
        <v/>
      </c>
      <c r="E230" s="5" t="str">
        <f t="shared" si="17"/>
        <v/>
      </c>
      <c r="K230" t="str">
        <f>IFERROR(IF(VLOOKUP(E:E,'Old Report'!E:J,6,FALSE)="","",VLOOKUP(E:E,'Old Report'!E:J,6,FALSE)),"")</f>
        <v/>
      </c>
      <c r="L230" t="str">
        <f>IFERROR(IF(VLOOKUP(E:E,'Old Report'!E:L,8,FALSE)="","",VLOOKUP(E:E,'Old Report'!E:L,8,FALSE)),"")</f>
        <v/>
      </c>
      <c r="M230" s="5" t="str">
        <f t="shared" si="18"/>
        <v/>
      </c>
      <c r="N230" s="5" t="str">
        <f t="shared" si="19"/>
        <v/>
      </c>
    </row>
    <row r="231" spans="1:14" x14ac:dyDescent="0.25">
      <c r="A231" s="5">
        <v>230</v>
      </c>
      <c r="B231" s="5">
        <f t="shared" si="16"/>
        <v>0</v>
      </c>
      <c r="C231" s="5" t="str">
        <f t="shared" si="15"/>
        <v/>
      </c>
      <c r="D231" s="5" t="str">
        <f>IFERROR(IF(F231&lt;&gt;"",F231,VLOOKUP(MAX(C$2:C231),A$2:F231,2,FALSE)),"")</f>
        <v/>
      </c>
      <c r="E231" s="5" t="str">
        <f t="shared" si="17"/>
        <v/>
      </c>
      <c r="K231" t="str">
        <f>IFERROR(IF(VLOOKUP(E:E,'Old Report'!E:J,6,FALSE)="","",VLOOKUP(E:E,'Old Report'!E:J,6,FALSE)),"")</f>
        <v/>
      </c>
      <c r="L231" t="str">
        <f>IFERROR(IF(VLOOKUP(E:E,'Old Report'!E:L,8,FALSE)="","",VLOOKUP(E:E,'Old Report'!E:L,8,FALSE)),"")</f>
        <v/>
      </c>
      <c r="M231" s="5" t="str">
        <f t="shared" si="18"/>
        <v/>
      </c>
      <c r="N231" s="5" t="str">
        <f t="shared" si="19"/>
        <v/>
      </c>
    </row>
    <row r="232" spans="1:14" x14ac:dyDescent="0.25">
      <c r="A232" s="5">
        <v>231</v>
      </c>
      <c r="B232" s="5">
        <f t="shared" si="16"/>
        <v>0</v>
      </c>
      <c r="C232" s="5" t="str">
        <f t="shared" si="15"/>
        <v/>
      </c>
      <c r="D232" s="5" t="str">
        <f>IFERROR(IF(F232&lt;&gt;"",F232,VLOOKUP(MAX(C$2:C232),A$2:F232,2,FALSE)),"")</f>
        <v/>
      </c>
      <c r="E232" s="5" t="str">
        <f t="shared" si="17"/>
        <v/>
      </c>
      <c r="K232" t="str">
        <f>IFERROR(IF(VLOOKUP(E:E,'Old Report'!E:J,6,FALSE)="","",VLOOKUP(E:E,'Old Report'!E:J,6,FALSE)),"")</f>
        <v/>
      </c>
      <c r="L232" t="str">
        <f>IFERROR(IF(VLOOKUP(E:E,'Old Report'!E:L,8,FALSE)="","",VLOOKUP(E:E,'Old Report'!E:L,8,FALSE)),"")</f>
        <v/>
      </c>
      <c r="M232" s="5" t="str">
        <f t="shared" si="18"/>
        <v/>
      </c>
      <c r="N232" s="5" t="str">
        <f t="shared" si="19"/>
        <v/>
      </c>
    </row>
    <row r="233" spans="1:14" x14ac:dyDescent="0.25">
      <c r="A233" s="5">
        <v>232</v>
      </c>
      <c r="B233" s="5">
        <f t="shared" si="16"/>
        <v>0</v>
      </c>
      <c r="C233" s="5" t="str">
        <f t="shared" si="15"/>
        <v/>
      </c>
      <c r="D233" s="5" t="str">
        <f>IFERROR(IF(F233&lt;&gt;"",F233,VLOOKUP(MAX(C$2:C233),A$2:F233,2,FALSE)),"")</f>
        <v/>
      </c>
      <c r="E233" s="5" t="str">
        <f t="shared" si="17"/>
        <v/>
      </c>
      <c r="K233" t="str">
        <f>IFERROR(IF(VLOOKUP(E:E,'Old Report'!E:J,6,FALSE)="","",VLOOKUP(E:E,'Old Report'!E:J,6,FALSE)),"")</f>
        <v/>
      </c>
      <c r="L233" t="str">
        <f>IFERROR(IF(VLOOKUP(E:E,'Old Report'!E:L,8,FALSE)="","",VLOOKUP(E:E,'Old Report'!E:L,8,FALSE)),"")</f>
        <v/>
      </c>
      <c r="M233" s="5" t="str">
        <f t="shared" si="18"/>
        <v/>
      </c>
      <c r="N233" s="5" t="str">
        <f t="shared" si="19"/>
        <v/>
      </c>
    </row>
    <row r="234" spans="1:14" x14ac:dyDescent="0.25">
      <c r="A234" s="5">
        <v>233</v>
      </c>
      <c r="B234" s="5">
        <f t="shared" si="16"/>
        <v>0</v>
      </c>
      <c r="C234" s="5" t="str">
        <f t="shared" si="15"/>
        <v/>
      </c>
      <c r="D234" s="5" t="str">
        <f>IFERROR(IF(F234&lt;&gt;"",F234,VLOOKUP(MAX(C$2:C234),A$2:F234,2,FALSE)),"")</f>
        <v/>
      </c>
      <c r="E234" s="5" t="str">
        <f t="shared" si="17"/>
        <v/>
      </c>
      <c r="K234" t="str">
        <f>IFERROR(IF(VLOOKUP(E:E,'Old Report'!E:J,6,FALSE)="","",VLOOKUP(E:E,'Old Report'!E:J,6,FALSE)),"")</f>
        <v/>
      </c>
      <c r="L234" t="str">
        <f>IFERROR(IF(VLOOKUP(E:E,'Old Report'!E:L,8,FALSE)="","",VLOOKUP(E:E,'Old Report'!E:L,8,FALSE)),"")</f>
        <v/>
      </c>
      <c r="M234" s="5" t="str">
        <f t="shared" si="18"/>
        <v/>
      </c>
      <c r="N234" s="5" t="str">
        <f t="shared" si="19"/>
        <v/>
      </c>
    </row>
    <row r="235" spans="1:14" x14ac:dyDescent="0.25">
      <c r="A235" s="5">
        <v>234</v>
      </c>
      <c r="B235" s="5">
        <f t="shared" si="16"/>
        <v>0</v>
      </c>
      <c r="C235" s="5" t="str">
        <f t="shared" si="15"/>
        <v/>
      </c>
      <c r="D235" s="5" t="str">
        <f>IFERROR(IF(F235&lt;&gt;"",F235,VLOOKUP(MAX(C$2:C235),A$2:F235,2,FALSE)),"")</f>
        <v/>
      </c>
      <c r="E235" s="5" t="str">
        <f t="shared" si="17"/>
        <v/>
      </c>
      <c r="K235" t="str">
        <f>IFERROR(IF(VLOOKUP(E:E,'Old Report'!E:J,6,FALSE)="","",VLOOKUP(E:E,'Old Report'!E:J,6,FALSE)),"")</f>
        <v/>
      </c>
      <c r="L235" t="str">
        <f>IFERROR(IF(VLOOKUP(E:E,'Old Report'!E:L,8,FALSE)="","",VLOOKUP(E:E,'Old Report'!E:L,8,FALSE)),"")</f>
        <v/>
      </c>
      <c r="M235" s="5" t="str">
        <f t="shared" si="18"/>
        <v/>
      </c>
      <c r="N235" s="5" t="str">
        <f t="shared" si="19"/>
        <v/>
      </c>
    </row>
    <row r="236" spans="1:14" x14ac:dyDescent="0.25">
      <c r="A236" s="5">
        <v>235</v>
      </c>
      <c r="B236" s="5">
        <f t="shared" si="16"/>
        <v>0</v>
      </c>
      <c r="C236" s="5" t="str">
        <f t="shared" si="15"/>
        <v/>
      </c>
      <c r="D236" s="5" t="str">
        <f>IFERROR(IF(F236&lt;&gt;"",F236,VLOOKUP(MAX(C$2:C236),A$2:F236,2,FALSE)),"")</f>
        <v/>
      </c>
      <c r="E236" s="5" t="str">
        <f t="shared" si="17"/>
        <v/>
      </c>
      <c r="K236" t="str">
        <f>IFERROR(IF(VLOOKUP(E:E,'Old Report'!E:J,6,FALSE)="","",VLOOKUP(E:E,'Old Report'!E:J,6,FALSE)),"")</f>
        <v/>
      </c>
      <c r="L236" t="str">
        <f>IFERROR(IF(VLOOKUP(E:E,'Old Report'!E:L,8,FALSE)="","",VLOOKUP(E:E,'Old Report'!E:L,8,FALSE)),"")</f>
        <v/>
      </c>
      <c r="M236" s="5" t="str">
        <f t="shared" si="18"/>
        <v/>
      </c>
      <c r="N236" s="5" t="str">
        <f t="shared" si="19"/>
        <v/>
      </c>
    </row>
    <row r="237" spans="1:14" x14ac:dyDescent="0.25">
      <c r="A237" s="5">
        <v>236</v>
      </c>
      <c r="B237" s="5">
        <f t="shared" si="16"/>
        <v>0</v>
      </c>
      <c r="C237" s="5" t="str">
        <f t="shared" si="15"/>
        <v/>
      </c>
      <c r="D237" s="5" t="str">
        <f>IFERROR(IF(F237&lt;&gt;"",F237,VLOOKUP(MAX(C$2:C237),A$2:F237,2,FALSE)),"")</f>
        <v/>
      </c>
      <c r="E237" s="5" t="str">
        <f t="shared" si="17"/>
        <v/>
      </c>
      <c r="K237" t="str">
        <f>IFERROR(IF(VLOOKUP(E:E,'Old Report'!E:J,6,FALSE)="","",VLOOKUP(E:E,'Old Report'!E:J,6,FALSE)),"")</f>
        <v/>
      </c>
      <c r="L237" t="str">
        <f>IFERROR(IF(VLOOKUP(E:E,'Old Report'!E:L,8,FALSE)="","",VLOOKUP(E:E,'Old Report'!E:L,8,FALSE)),"")</f>
        <v/>
      </c>
      <c r="M237" s="5" t="str">
        <f t="shared" si="18"/>
        <v/>
      </c>
      <c r="N237" s="5" t="str">
        <f t="shared" si="19"/>
        <v/>
      </c>
    </row>
    <row r="238" spans="1:14" x14ac:dyDescent="0.25">
      <c r="A238" s="5">
        <v>237</v>
      </c>
      <c r="B238" s="5">
        <f t="shared" si="16"/>
        <v>0</v>
      </c>
      <c r="C238" s="5" t="str">
        <f t="shared" si="15"/>
        <v/>
      </c>
      <c r="D238" s="5" t="str">
        <f>IFERROR(IF(F238&lt;&gt;"",F238,VLOOKUP(MAX(C$2:C238),A$2:F238,2,FALSE)),"")</f>
        <v/>
      </c>
      <c r="E238" s="5" t="str">
        <f t="shared" si="17"/>
        <v/>
      </c>
      <c r="K238" t="str">
        <f>IFERROR(IF(VLOOKUP(E:E,'Old Report'!E:J,6,FALSE)="","",VLOOKUP(E:E,'Old Report'!E:J,6,FALSE)),"")</f>
        <v/>
      </c>
      <c r="L238" t="str">
        <f>IFERROR(IF(VLOOKUP(E:E,'Old Report'!E:L,8,FALSE)="","",VLOOKUP(E:E,'Old Report'!E:L,8,FALSE)),"")</f>
        <v/>
      </c>
      <c r="M238" s="5" t="str">
        <f t="shared" si="18"/>
        <v/>
      </c>
      <c r="N238" s="5" t="str">
        <f t="shared" si="19"/>
        <v/>
      </c>
    </row>
    <row r="239" spans="1:14" x14ac:dyDescent="0.25">
      <c r="A239" s="5">
        <v>238</v>
      </c>
      <c r="B239" s="5">
        <f t="shared" si="16"/>
        <v>0</v>
      </c>
      <c r="C239" s="5" t="str">
        <f t="shared" si="15"/>
        <v/>
      </c>
      <c r="D239" s="5" t="str">
        <f>IFERROR(IF(F239&lt;&gt;"",F239,VLOOKUP(MAX(C$2:C239),A$2:F239,2,FALSE)),"")</f>
        <v/>
      </c>
      <c r="E239" s="5" t="str">
        <f t="shared" si="17"/>
        <v/>
      </c>
      <c r="K239" t="str">
        <f>IFERROR(IF(VLOOKUP(E:E,'Old Report'!E:J,6,FALSE)="","",VLOOKUP(E:E,'Old Report'!E:J,6,FALSE)),"")</f>
        <v/>
      </c>
      <c r="L239" t="str">
        <f>IFERROR(IF(VLOOKUP(E:E,'Old Report'!E:L,8,FALSE)="","",VLOOKUP(E:E,'Old Report'!E:L,8,FALSE)),"")</f>
        <v/>
      </c>
      <c r="M239" s="5" t="str">
        <f t="shared" si="18"/>
        <v/>
      </c>
      <c r="N239" s="5" t="str">
        <f t="shared" si="19"/>
        <v/>
      </c>
    </row>
    <row r="240" spans="1:14" x14ac:dyDescent="0.25">
      <c r="A240" s="5">
        <v>239</v>
      </c>
      <c r="B240" s="5">
        <f t="shared" si="16"/>
        <v>0</v>
      </c>
      <c r="C240" s="5" t="str">
        <f t="shared" si="15"/>
        <v/>
      </c>
      <c r="D240" s="5" t="str">
        <f>IFERROR(IF(F240&lt;&gt;"",F240,VLOOKUP(MAX(C$2:C240),A$2:F240,2,FALSE)),"")</f>
        <v/>
      </c>
      <c r="E240" s="5" t="str">
        <f t="shared" si="17"/>
        <v/>
      </c>
      <c r="K240" t="str">
        <f>IFERROR(IF(VLOOKUP(E:E,'Old Report'!E:J,6,FALSE)="","",VLOOKUP(E:E,'Old Report'!E:J,6,FALSE)),"")</f>
        <v/>
      </c>
      <c r="L240" t="str">
        <f>IFERROR(IF(VLOOKUP(E:E,'Old Report'!E:L,8,FALSE)="","",VLOOKUP(E:E,'Old Report'!E:L,8,FALSE)),"")</f>
        <v/>
      </c>
      <c r="M240" s="5" t="str">
        <f t="shared" si="18"/>
        <v/>
      </c>
      <c r="N240" s="5" t="str">
        <f t="shared" si="19"/>
        <v/>
      </c>
    </row>
    <row r="241" spans="1:14" x14ac:dyDescent="0.25">
      <c r="A241" s="5">
        <v>240</v>
      </c>
      <c r="B241" s="5">
        <f t="shared" si="16"/>
        <v>0</v>
      </c>
      <c r="C241" s="5" t="str">
        <f t="shared" si="15"/>
        <v/>
      </c>
      <c r="D241" s="5" t="str">
        <f>IFERROR(IF(F241&lt;&gt;"",F241,VLOOKUP(MAX(C$2:C241),A$2:F241,2,FALSE)),"")</f>
        <v/>
      </c>
      <c r="E241" s="5" t="str">
        <f t="shared" si="17"/>
        <v/>
      </c>
      <c r="K241" t="str">
        <f>IFERROR(IF(VLOOKUP(E:E,'Old Report'!E:J,6,FALSE)="","",VLOOKUP(E:E,'Old Report'!E:J,6,FALSE)),"")</f>
        <v/>
      </c>
      <c r="L241" t="str">
        <f>IFERROR(IF(VLOOKUP(E:E,'Old Report'!E:L,8,FALSE)="","",VLOOKUP(E:E,'Old Report'!E:L,8,FALSE)),"")</f>
        <v/>
      </c>
      <c r="M241" s="5" t="str">
        <f t="shared" si="18"/>
        <v/>
      </c>
      <c r="N241" s="5" t="str">
        <f t="shared" si="19"/>
        <v/>
      </c>
    </row>
    <row r="242" spans="1:14" x14ac:dyDescent="0.25">
      <c r="A242" s="5">
        <v>241</v>
      </c>
      <c r="B242" s="5">
        <f t="shared" si="16"/>
        <v>0</v>
      </c>
      <c r="C242" s="5" t="str">
        <f t="shared" si="15"/>
        <v/>
      </c>
      <c r="D242" s="5" t="str">
        <f>IFERROR(IF(F242&lt;&gt;"",F242,VLOOKUP(MAX(C$2:C242),A$2:F242,2,FALSE)),"")</f>
        <v/>
      </c>
      <c r="E242" s="5" t="str">
        <f t="shared" si="17"/>
        <v/>
      </c>
      <c r="K242" t="str">
        <f>IFERROR(IF(VLOOKUP(E:E,'Old Report'!E:J,6,FALSE)="","",VLOOKUP(E:E,'Old Report'!E:J,6,FALSE)),"")</f>
        <v/>
      </c>
      <c r="L242" t="str">
        <f>IFERROR(IF(VLOOKUP(E:E,'Old Report'!E:L,8,FALSE)="","",VLOOKUP(E:E,'Old Report'!E:L,8,FALSE)),"")</f>
        <v/>
      </c>
      <c r="M242" s="5" t="str">
        <f t="shared" si="18"/>
        <v/>
      </c>
      <c r="N242" s="5" t="str">
        <f t="shared" si="19"/>
        <v/>
      </c>
    </row>
    <row r="243" spans="1:14" x14ac:dyDescent="0.25">
      <c r="A243" s="5">
        <v>242</v>
      </c>
      <c r="B243" s="5">
        <f t="shared" si="16"/>
        <v>0</v>
      </c>
      <c r="C243" s="5" t="str">
        <f t="shared" si="15"/>
        <v/>
      </c>
      <c r="D243" s="5" t="str">
        <f>IFERROR(IF(F243&lt;&gt;"",F243,VLOOKUP(MAX(C$2:C243),A$2:F243,2,FALSE)),"")</f>
        <v/>
      </c>
      <c r="E243" s="5" t="str">
        <f t="shared" si="17"/>
        <v/>
      </c>
      <c r="K243" t="str">
        <f>IFERROR(IF(VLOOKUP(E:E,'Old Report'!E:J,6,FALSE)="","",VLOOKUP(E:E,'Old Report'!E:J,6,FALSE)),"")</f>
        <v/>
      </c>
      <c r="L243" t="str">
        <f>IFERROR(IF(VLOOKUP(E:E,'Old Report'!E:L,8,FALSE)="","",VLOOKUP(E:E,'Old Report'!E:L,8,FALSE)),"")</f>
        <v/>
      </c>
      <c r="M243" s="5" t="str">
        <f t="shared" si="18"/>
        <v/>
      </c>
      <c r="N243" s="5" t="str">
        <f t="shared" si="19"/>
        <v/>
      </c>
    </row>
    <row r="244" spans="1:14" x14ac:dyDescent="0.25">
      <c r="A244" s="5">
        <v>243</v>
      </c>
      <c r="B244" s="5">
        <f t="shared" si="16"/>
        <v>0</v>
      </c>
      <c r="C244" s="5" t="str">
        <f t="shared" si="15"/>
        <v/>
      </c>
      <c r="D244" s="5" t="str">
        <f>IFERROR(IF(F244&lt;&gt;"",F244,VLOOKUP(MAX(C$2:C244),A$2:F244,2,FALSE)),"")</f>
        <v/>
      </c>
      <c r="E244" s="5" t="str">
        <f t="shared" si="17"/>
        <v/>
      </c>
      <c r="K244" t="str">
        <f>IFERROR(IF(VLOOKUP(E:E,'Old Report'!E:J,6,FALSE)="","",VLOOKUP(E:E,'Old Report'!E:J,6,FALSE)),"")</f>
        <v/>
      </c>
      <c r="L244" t="str">
        <f>IFERROR(IF(VLOOKUP(E:E,'Old Report'!E:L,8,FALSE)="","",VLOOKUP(E:E,'Old Report'!E:L,8,FALSE)),"")</f>
        <v/>
      </c>
      <c r="M244" s="5" t="str">
        <f t="shared" si="18"/>
        <v/>
      </c>
      <c r="N244" s="5" t="str">
        <f t="shared" si="19"/>
        <v/>
      </c>
    </row>
    <row r="245" spans="1:14" x14ac:dyDescent="0.25">
      <c r="A245" s="5">
        <v>244</v>
      </c>
      <c r="B245" s="5">
        <f t="shared" si="16"/>
        <v>0</v>
      </c>
      <c r="C245" s="5" t="str">
        <f t="shared" si="15"/>
        <v/>
      </c>
      <c r="D245" s="5" t="str">
        <f>IFERROR(IF(F245&lt;&gt;"",F245,VLOOKUP(MAX(C$2:C245),A$2:F245,2,FALSE)),"")</f>
        <v/>
      </c>
      <c r="E245" s="5" t="str">
        <f t="shared" si="17"/>
        <v/>
      </c>
      <c r="K245" t="str">
        <f>IFERROR(IF(VLOOKUP(E:E,'Old Report'!E:J,6,FALSE)="","",VLOOKUP(E:E,'Old Report'!E:J,6,FALSE)),"")</f>
        <v/>
      </c>
      <c r="L245" t="str">
        <f>IFERROR(IF(VLOOKUP(E:E,'Old Report'!E:L,8,FALSE)="","",VLOOKUP(E:E,'Old Report'!E:L,8,FALSE)),"")</f>
        <v/>
      </c>
      <c r="M245" s="5" t="str">
        <f t="shared" si="18"/>
        <v/>
      </c>
      <c r="N245" s="5" t="str">
        <f t="shared" si="19"/>
        <v/>
      </c>
    </row>
    <row r="246" spans="1:14" x14ac:dyDescent="0.25">
      <c r="A246" s="5">
        <v>245</v>
      </c>
      <c r="B246" s="5">
        <f t="shared" si="16"/>
        <v>0</v>
      </c>
      <c r="C246" s="5" t="str">
        <f t="shared" si="15"/>
        <v/>
      </c>
      <c r="D246" s="5" t="str">
        <f>IFERROR(IF(F246&lt;&gt;"",F246,VLOOKUP(MAX(C$2:C246),A$2:F246,2,FALSE)),"")</f>
        <v/>
      </c>
      <c r="E246" s="5" t="str">
        <f t="shared" si="17"/>
        <v/>
      </c>
      <c r="K246" t="str">
        <f>IFERROR(IF(VLOOKUP(E:E,'Old Report'!E:J,6,FALSE)="","",VLOOKUP(E:E,'Old Report'!E:J,6,FALSE)),"")</f>
        <v/>
      </c>
      <c r="L246" t="str">
        <f>IFERROR(IF(VLOOKUP(E:E,'Old Report'!E:L,8,FALSE)="","",VLOOKUP(E:E,'Old Report'!E:L,8,FALSE)),"")</f>
        <v/>
      </c>
      <c r="M246" s="5" t="str">
        <f t="shared" si="18"/>
        <v/>
      </c>
      <c r="N246" s="5" t="str">
        <f t="shared" si="19"/>
        <v/>
      </c>
    </row>
    <row r="247" spans="1:14" x14ac:dyDescent="0.25">
      <c r="A247" s="5">
        <v>246</v>
      </c>
      <c r="B247" s="5">
        <f t="shared" si="16"/>
        <v>0</v>
      </c>
      <c r="C247" s="5" t="str">
        <f t="shared" si="15"/>
        <v/>
      </c>
      <c r="D247" s="5" t="str">
        <f>IFERROR(IF(F247&lt;&gt;"",F247,VLOOKUP(MAX(C$2:C247),A$2:F247,2,FALSE)),"")</f>
        <v/>
      </c>
      <c r="E247" s="5" t="str">
        <f t="shared" si="17"/>
        <v/>
      </c>
      <c r="K247" t="str">
        <f>IFERROR(IF(VLOOKUP(E:E,'Old Report'!E:J,6,FALSE)="","",VLOOKUP(E:E,'Old Report'!E:J,6,FALSE)),"")</f>
        <v/>
      </c>
      <c r="L247" t="str">
        <f>IFERROR(IF(VLOOKUP(E:E,'Old Report'!E:L,8,FALSE)="","",VLOOKUP(E:E,'Old Report'!E:L,8,FALSE)),"")</f>
        <v/>
      </c>
      <c r="M247" s="5" t="str">
        <f t="shared" si="18"/>
        <v/>
      </c>
      <c r="N247" s="5" t="str">
        <f t="shared" si="19"/>
        <v/>
      </c>
    </row>
    <row r="248" spans="1:14" x14ac:dyDescent="0.25">
      <c r="A248" s="5">
        <v>247</v>
      </c>
      <c r="B248" s="5">
        <f t="shared" si="16"/>
        <v>0</v>
      </c>
      <c r="C248" s="5" t="str">
        <f t="shared" si="15"/>
        <v/>
      </c>
      <c r="D248" s="5" t="str">
        <f>IFERROR(IF(F248&lt;&gt;"",F248,VLOOKUP(MAX(C$2:C248),A$2:F248,2,FALSE)),"")</f>
        <v/>
      </c>
      <c r="E248" s="5" t="str">
        <f t="shared" si="17"/>
        <v/>
      </c>
      <c r="K248" t="str">
        <f>IFERROR(IF(VLOOKUP(E:E,'Old Report'!E:J,6,FALSE)="","",VLOOKUP(E:E,'Old Report'!E:J,6,FALSE)),"")</f>
        <v/>
      </c>
      <c r="L248" t="str">
        <f>IFERROR(IF(VLOOKUP(E:E,'Old Report'!E:L,8,FALSE)="","",VLOOKUP(E:E,'Old Report'!E:L,8,FALSE)),"")</f>
        <v/>
      </c>
      <c r="M248" s="5" t="str">
        <f t="shared" si="18"/>
        <v/>
      </c>
      <c r="N248" s="5" t="str">
        <f t="shared" si="19"/>
        <v/>
      </c>
    </row>
    <row r="249" spans="1:14" x14ac:dyDescent="0.25">
      <c r="A249" s="5">
        <v>248</v>
      </c>
      <c r="B249" s="5">
        <f t="shared" si="16"/>
        <v>0</v>
      </c>
      <c r="C249" s="5" t="str">
        <f t="shared" si="15"/>
        <v/>
      </c>
      <c r="D249" s="5" t="str">
        <f>IFERROR(IF(F249&lt;&gt;"",F249,VLOOKUP(MAX(C$2:C249),A$2:F249,2,FALSE)),"")</f>
        <v/>
      </c>
      <c r="E249" s="5" t="str">
        <f t="shared" si="17"/>
        <v/>
      </c>
      <c r="K249" t="str">
        <f>IFERROR(IF(VLOOKUP(E:E,'Old Report'!E:J,6,FALSE)="","",VLOOKUP(E:E,'Old Report'!E:J,6,FALSE)),"")</f>
        <v/>
      </c>
      <c r="L249" t="str">
        <f>IFERROR(IF(VLOOKUP(E:E,'Old Report'!E:L,8,FALSE)="","",VLOOKUP(E:E,'Old Report'!E:L,8,FALSE)),"")</f>
        <v/>
      </c>
      <c r="M249" s="5" t="str">
        <f t="shared" si="18"/>
        <v/>
      </c>
      <c r="N249" s="5" t="str">
        <f t="shared" si="19"/>
        <v/>
      </c>
    </row>
    <row r="250" spans="1:14" x14ac:dyDescent="0.25">
      <c r="A250" s="5">
        <v>249</v>
      </c>
      <c r="B250" s="5">
        <f t="shared" si="16"/>
        <v>0</v>
      </c>
      <c r="C250" s="5" t="str">
        <f t="shared" si="15"/>
        <v/>
      </c>
      <c r="D250" s="5" t="str">
        <f>IFERROR(IF(F250&lt;&gt;"",F250,VLOOKUP(MAX(C$2:C250),A$2:F250,2,FALSE)),"")</f>
        <v/>
      </c>
      <c r="E250" s="5" t="str">
        <f t="shared" si="17"/>
        <v/>
      </c>
      <c r="K250" t="str">
        <f>IFERROR(IF(VLOOKUP(E:E,'Old Report'!E:J,6,FALSE)="","",VLOOKUP(E:E,'Old Report'!E:J,6,FALSE)),"")</f>
        <v/>
      </c>
      <c r="L250" t="str">
        <f>IFERROR(IF(VLOOKUP(E:E,'Old Report'!E:L,8,FALSE)="","",VLOOKUP(E:E,'Old Report'!E:L,8,FALSE)),"")</f>
        <v/>
      </c>
      <c r="M250" s="5" t="str">
        <f t="shared" si="18"/>
        <v/>
      </c>
      <c r="N250" s="5" t="str">
        <f t="shared" si="19"/>
        <v/>
      </c>
    </row>
    <row r="251" spans="1:14" x14ac:dyDescent="0.25">
      <c r="A251" s="5">
        <v>250</v>
      </c>
      <c r="B251" s="5">
        <f t="shared" si="16"/>
        <v>0</v>
      </c>
      <c r="C251" s="5" t="str">
        <f t="shared" si="15"/>
        <v/>
      </c>
      <c r="D251" s="5" t="str">
        <f>IFERROR(IF(F251&lt;&gt;"",F251,VLOOKUP(MAX(C$2:C251),A$2:F251,2,FALSE)),"")</f>
        <v/>
      </c>
      <c r="E251" s="5" t="str">
        <f t="shared" si="17"/>
        <v/>
      </c>
      <c r="K251" t="str">
        <f>IFERROR(IF(VLOOKUP(E:E,'Old Report'!E:J,6,FALSE)="","",VLOOKUP(E:E,'Old Report'!E:J,6,FALSE)),"")</f>
        <v/>
      </c>
      <c r="L251" t="str">
        <f>IFERROR(IF(VLOOKUP(E:E,'Old Report'!E:L,8,FALSE)="","",VLOOKUP(E:E,'Old Report'!E:L,8,FALSE)),"")</f>
        <v/>
      </c>
      <c r="M251" s="5" t="str">
        <f t="shared" si="18"/>
        <v/>
      </c>
      <c r="N251" s="5" t="str">
        <f t="shared" si="19"/>
        <v/>
      </c>
    </row>
    <row r="252" spans="1:14" x14ac:dyDescent="0.25">
      <c r="A252" s="5">
        <v>251</v>
      </c>
      <c r="B252" s="5">
        <f t="shared" si="16"/>
        <v>0</v>
      </c>
      <c r="C252" s="5" t="str">
        <f t="shared" si="15"/>
        <v/>
      </c>
      <c r="D252" s="5" t="str">
        <f>IFERROR(IF(F252&lt;&gt;"",F252,VLOOKUP(MAX(C$2:C252),A$2:F252,2,FALSE)),"")</f>
        <v/>
      </c>
      <c r="E252" s="5" t="str">
        <f t="shared" si="17"/>
        <v/>
      </c>
      <c r="K252" t="str">
        <f>IFERROR(IF(VLOOKUP(E:E,'Old Report'!E:J,6,FALSE)="","",VLOOKUP(E:E,'Old Report'!E:J,6,FALSE)),"")</f>
        <v/>
      </c>
      <c r="L252" t="str">
        <f>IFERROR(IF(VLOOKUP(E:E,'Old Report'!E:L,8,FALSE)="","",VLOOKUP(E:E,'Old Report'!E:L,8,FALSE)),"")</f>
        <v/>
      </c>
      <c r="M252" s="5" t="str">
        <f t="shared" si="18"/>
        <v/>
      </c>
      <c r="N252" s="5" t="str">
        <f t="shared" si="19"/>
        <v/>
      </c>
    </row>
    <row r="253" spans="1:14" x14ac:dyDescent="0.25">
      <c r="A253" s="5">
        <v>252</v>
      </c>
      <c r="B253" s="5">
        <f t="shared" si="16"/>
        <v>0</v>
      </c>
      <c r="C253" s="5" t="str">
        <f t="shared" si="15"/>
        <v/>
      </c>
      <c r="D253" s="5" t="str">
        <f>IFERROR(IF(F253&lt;&gt;"",F253,VLOOKUP(MAX(C$2:C253),A$2:F253,2,FALSE)),"")</f>
        <v/>
      </c>
      <c r="E253" s="5" t="str">
        <f t="shared" si="17"/>
        <v/>
      </c>
      <c r="K253" t="str">
        <f>IFERROR(IF(VLOOKUP(E:E,'Old Report'!E:J,6,FALSE)="","",VLOOKUP(E:E,'Old Report'!E:J,6,FALSE)),"")</f>
        <v/>
      </c>
      <c r="L253" t="str">
        <f>IFERROR(IF(VLOOKUP(E:E,'Old Report'!E:L,8,FALSE)="","",VLOOKUP(E:E,'Old Report'!E:L,8,FALSE)),"")</f>
        <v/>
      </c>
      <c r="M253" s="5" t="str">
        <f t="shared" si="18"/>
        <v/>
      </c>
      <c r="N253" s="5" t="str">
        <f t="shared" si="19"/>
        <v/>
      </c>
    </row>
    <row r="254" spans="1:14" x14ac:dyDescent="0.25">
      <c r="A254" s="5">
        <v>253</v>
      </c>
      <c r="B254" s="5">
        <f t="shared" si="16"/>
        <v>0</v>
      </c>
      <c r="C254" s="5" t="str">
        <f t="shared" si="15"/>
        <v/>
      </c>
      <c r="D254" s="5" t="str">
        <f>IFERROR(IF(F254&lt;&gt;"",F254,VLOOKUP(MAX(C$2:C254),A$2:F254,2,FALSE)),"")</f>
        <v/>
      </c>
      <c r="E254" s="5" t="str">
        <f t="shared" si="17"/>
        <v/>
      </c>
      <c r="K254" t="str">
        <f>IFERROR(IF(VLOOKUP(E:E,'Old Report'!E:J,6,FALSE)="","",VLOOKUP(E:E,'Old Report'!E:J,6,FALSE)),"")</f>
        <v/>
      </c>
      <c r="L254" t="str">
        <f>IFERROR(IF(VLOOKUP(E:E,'Old Report'!E:L,8,FALSE)="","",VLOOKUP(E:E,'Old Report'!E:L,8,FALSE)),"")</f>
        <v/>
      </c>
      <c r="M254" s="5" t="str">
        <f t="shared" si="18"/>
        <v/>
      </c>
      <c r="N254" s="5" t="str">
        <f t="shared" si="19"/>
        <v/>
      </c>
    </row>
    <row r="255" spans="1:14" x14ac:dyDescent="0.25">
      <c r="A255" s="5">
        <v>254</v>
      </c>
      <c r="B255" s="5">
        <f t="shared" si="16"/>
        <v>0</v>
      </c>
      <c r="C255" s="5" t="str">
        <f t="shared" si="15"/>
        <v/>
      </c>
      <c r="D255" s="5" t="str">
        <f>IFERROR(IF(F255&lt;&gt;"",F255,VLOOKUP(MAX(C$2:C255),A$2:F255,2,FALSE)),"")</f>
        <v/>
      </c>
      <c r="E255" s="5" t="str">
        <f t="shared" si="17"/>
        <v/>
      </c>
      <c r="K255" t="str">
        <f>IFERROR(IF(VLOOKUP(E:E,'Old Report'!E:J,6,FALSE)="","",VLOOKUP(E:E,'Old Report'!E:J,6,FALSE)),"")</f>
        <v/>
      </c>
      <c r="L255" t="str">
        <f>IFERROR(IF(VLOOKUP(E:E,'Old Report'!E:L,8,FALSE)="","",VLOOKUP(E:E,'Old Report'!E:L,8,FALSE)),"")</f>
        <v/>
      </c>
      <c r="M255" s="5" t="str">
        <f t="shared" si="18"/>
        <v/>
      </c>
      <c r="N255" s="5" t="str">
        <f t="shared" si="19"/>
        <v/>
      </c>
    </row>
    <row r="256" spans="1:14" x14ac:dyDescent="0.25">
      <c r="A256" s="5">
        <v>255</v>
      </c>
      <c r="B256" s="5">
        <f t="shared" si="16"/>
        <v>0</v>
      </c>
      <c r="C256" s="5" t="str">
        <f t="shared" si="15"/>
        <v/>
      </c>
      <c r="D256" s="5" t="str">
        <f>IFERROR(IF(F256&lt;&gt;"",F256,VLOOKUP(MAX(C$2:C256),A$2:F256,2,FALSE)),"")</f>
        <v/>
      </c>
      <c r="E256" s="5" t="str">
        <f t="shared" si="17"/>
        <v/>
      </c>
      <c r="K256" t="str">
        <f>IFERROR(IF(VLOOKUP(E:E,'Old Report'!E:J,6,FALSE)="","",VLOOKUP(E:E,'Old Report'!E:J,6,FALSE)),"")</f>
        <v/>
      </c>
      <c r="L256" t="str">
        <f>IFERROR(IF(VLOOKUP(E:E,'Old Report'!E:L,8,FALSE)="","",VLOOKUP(E:E,'Old Report'!E:L,8,FALSE)),"")</f>
        <v/>
      </c>
      <c r="M256" s="5" t="str">
        <f t="shared" si="18"/>
        <v/>
      </c>
      <c r="N256" s="5" t="str">
        <f t="shared" si="19"/>
        <v/>
      </c>
    </row>
    <row r="257" spans="1:14" x14ac:dyDescent="0.25">
      <c r="A257" s="5">
        <v>256</v>
      </c>
      <c r="B257" s="5">
        <f t="shared" si="16"/>
        <v>0</v>
      </c>
      <c r="C257" s="5" t="str">
        <f t="shared" si="15"/>
        <v/>
      </c>
      <c r="D257" s="5" t="str">
        <f>IFERROR(IF(F257&lt;&gt;"",F257,VLOOKUP(MAX(C$2:C257),A$2:F257,2,FALSE)),"")</f>
        <v/>
      </c>
      <c r="E257" s="5" t="str">
        <f t="shared" si="17"/>
        <v/>
      </c>
      <c r="K257" t="str">
        <f>IFERROR(IF(VLOOKUP(E:E,'Old Report'!E:J,6,FALSE)="","",VLOOKUP(E:E,'Old Report'!E:J,6,FALSE)),"")</f>
        <v/>
      </c>
      <c r="L257" t="str">
        <f>IFERROR(IF(VLOOKUP(E:E,'Old Report'!E:L,8,FALSE)="","",VLOOKUP(E:E,'Old Report'!E:L,8,FALSE)),"")</f>
        <v/>
      </c>
      <c r="M257" s="5" t="str">
        <f t="shared" si="18"/>
        <v/>
      </c>
      <c r="N257" s="5" t="str">
        <f t="shared" si="19"/>
        <v/>
      </c>
    </row>
    <row r="258" spans="1:14" x14ac:dyDescent="0.25">
      <c r="A258" s="5">
        <v>257</v>
      </c>
      <c r="B258" s="5">
        <f t="shared" si="16"/>
        <v>0</v>
      </c>
      <c r="C258" s="5" t="str">
        <f t="shared" ref="C258:C321" si="20">IF(F258&lt;&gt;"",A258,"")</f>
        <v/>
      </c>
      <c r="D258" s="5" t="str">
        <f>IFERROR(IF(F258&lt;&gt;"",F258,VLOOKUP(MAX(C$2:C258),A$2:F258,2,FALSE)),"")</f>
        <v/>
      </c>
      <c r="E258" s="5" t="str">
        <f t="shared" si="17"/>
        <v/>
      </c>
      <c r="K258" t="str">
        <f>IFERROR(IF(VLOOKUP(E:E,'Old Report'!E:J,6,FALSE)="","",VLOOKUP(E:E,'Old Report'!E:J,6,FALSE)),"")</f>
        <v/>
      </c>
      <c r="L258" t="str">
        <f>IFERROR(IF(VLOOKUP(E:E,'Old Report'!E:L,8,FALSE)="","",VLOOKUP(E:E,'Old Report'!E:L,8,FALSE)),"")</f>
        <v/>
      </c>
      <c r="M258" s="5" t="str">
        <f t="shared" si="18"/>
        <v/>
      </c>
      <c r="N258" s="5" t="str">
        <f t="shared" si="19"/>
        <v/>
      </c>
    </row>
    <row r="259" spans="1:14" x14ac:dyDescent="0.25">
      <c r="A259" s="5">
        <v>258</v>
      </c>
      <c r="B259" s="5">
        <f t="shared" ref="B259:B322" si="21">IF(F260&lt;&gt;"",F260,F259)</f>
        <v>0</v>
      </c>
      <c r="C259" s="5" t="str">
        <f t="shared" si="20"/>
        <v/>
      </c>
      <c r="D259" s="5" t="str">
        <f>IFERROR(IF(F259&lt;&gt;"",F259,VLOOKUP(MAX(C$2:C259),A$2:F259,2,FALSE)),"")</f>
        <v/>
      </c>
      <c r="E259" s="5" t="str">
        <f t="shared" ref="E259:E322" si="22">IF(H259&lt;&gt;"",CONCATENATE(D259,".",H259),"")</f>
        <v/>
      </c>
      <c r="K259" t="str">
        <f>IFERROR(IF(VLOOKUP(E:E,'Old Report'!E:J,6,FALSE)="","",VLOOKUP(E:E,'Old Report'!E:J,6,FALSE)),"")</f>
        <v/>
      </c>
      <c r="L259" t="str">
        <f>IFERROR(IF(VLOOKUP(E:E,'Old Report'!E:L,8,FALSE)="","",VLOOKUP(E:E,'Old Report'!E:L,8,FALSE)),"")</f>
        <v/>
      </c>
      <c r="M259" s="5" t="str">
        <f t="shared" si="18"/>
        <v/>
      </c>
      <c r="N259" s="5" t="str">
        <f t="shared" si="19"/>
        <v/>
      </c>
    </row>
    <row r="260" spans="1:14" x14ac:dyDescent="0.25">
      <c r="A260" s="5">
        <v>259</v>
      </c>
      <c r="B260" s="5">
        <f t="shared" si="21"/>
        <v>0</v>
      </c>
      <c r="C260" s="5" t="str">
        <f t="shared" si="20"/>
        <v/>
      </c>
      <c r="D260" s="5" t="str">
        <f>IFERROR(IF(F260&lt;&gt;"",F260,VLOOKUP(MAX(C$2:C260),A$2:F260,2,FALSE)),"")</f>
        <v/>
      </c>
      <c r="E260" s="5" t="str">
        <f t="shared" si="22"/>
        <v/>
      </c>
      <c r="K260" t="str">
        <f>IFERROR(IF(VLOOKUP(E:E,'Old Report'!E:J,6,FALSE)="","",VLOOKUP(E:E,'Old Report'!E:J,6,FALSE)),"")</f>
        <v/>
      </c>
      <c r="L260" t="str">
        <f>IFERROR(IF(VLOOKUP(E:E,'Old Report'!E:L,8,FALSE)="","",VLOOKUP(E:E,'Old Report'!E:L,8,FALSE)),"")</f>
        <v/>
      </c>
      <c r="M260" s="5" t="str">
        <f t="shared" ref="M260:M323" si="23">IFERROR(L260,"")</f>
        <v/>
      </c>
      <c r="N260" s="5" t="str">
        <f t="shared" ref="N260:N323" si="24">IFERROR( IF(J260&lt;&gt;"",IF(K260 &lt;&gt; "",IF(J260 = K260,"No Change",IF(J260 &lt; K260,CONCATENATE("Issues reduced from ",K260," to ",J260),IF(J260&gt;K260,CONCATENATE("Issues increased from ",K260," to ",J260),""))),"New issue - needs to be checked"),""),"")</f>
        <v/>
      </c>
    </row>
    <row r="261" spans="1:14" x14ac:dyDescent="0.25">
      <c r="A261" s="5">
        <v>260</v>
      </c>
      <c r="B261" s="5">
        <f t="shared" si="21"/>
        <v>0</v>
      </c>
      <c r="C261" s="5" t="str">
        <f t="shared" si="20"/>
        <v/>
      </c>
      <c r="D261" s="5" t="str">
        <f>IFERROR(IF(F261&lt;&gt;"",F261,VLOOKUP(MAX(C$2:C261),A$2:F261,2,FALSE)),"")</f>
        <v/>
      </c>
      <c r="E261" s="5" t="str">
        <f t="shared" si="22"/>
        <v/>
      </c>
      <c r="K261" t="str">
        <f>IFERROR(IF(VLOOKUP(E:E,'Old Report'!E:J,6,FALSE)="","",VLOOKUP(E:E,'Old Report'!E:J,6,FALSE)),"")</f>
        <v/>
      </c>
      <c r="L261" t="str">
        <f>IFERROR(IF(VLOOKUP(E:E,'Old Report'!E:L,8,FALSE)="","",VLOOKUP(E:E,'Old Report'!E:L,8,FALSE)),"")</f>
        <v/>
      </c>
      <c r="M261" s="5" t="str">
        <f t="shared" si="23"/>
        <v/>
      </c>
      <c r="N261" s="5" t="str">
        <f t="shared" si="24"/>
        <v/>
      </c>
    </row>
    <row r="262" spans="1:14" x14ac:dyDescent="0.25">
      <c r="A262" s="5">
        <v>261</v>
      </c>
      <c r="B262" s="5">
        <f t="shared" si="21"/>
        <v>0</v>
      </c>
      <c r="C262" s="5" t="str">
        <f t="shared" si="20"/>
        <v/>
      </c>
      <c r="D262" s="5" t="str">
        <f>IFERROR(IF(F262&lt;&gt;"",F262,VLOOKUP(MAX(C$2:C262),A$2:F262,2,FALSE)),"")</f>
        <v/>
      </c>
      <c r="E262" s="5" t="str">
        <f t="shared" si="22"/>
        <v/>
      </c>
      <c r="K262" t="str">
        <f>IFERROR(IF(VLOOKUP(E:E,'Old Report'!E:J,6,FALSE)="","",VLOOKUP(E:E,'Old Report'!E:J,6,FALSE)),"")</f>
        <v/>
      </c>
      <c r="L262" t="str">
        <f>IFERROR(IF(VLOOKUP(E:E,'Old Report'!E:L,8,FALSE)="","",VLOOKUP(E:E,'Old Report'!E:L,8,FALSE)),"")</f>
        <v/>
      </c>
      <c r="M262" s="5" t="str">
        <f t="shared" si="23"/>
        <v/>
      </c>
      <c r="N262" s="5" t="str">
        <f t="shared" si="24"/>
        <v/>
      </c>
    </row>
    <row r="263" spans="1:14" x14ac:dyDescent="0.25">
      <c r="A263" s="5">
        <v>262</v>
      </c>
      <c r="B263" s="5">
        <f t="shared" si="21"/>
        <v>0</v>
      </c>
      <c r="C263" s="5" t="str">
        <f t="shared" si="20"/>
        <v/>
      </c>
      <c r="D263" s="5" t="str">
        <f>IFERROR(IF(F263&lt;&gt;"",F263,VLOOKUP(MAX(C$2:C263),A$2:F263,2,FALSE)),"")</f>
        <v/>
      </c>
      <c r="E263" s="5" t="str">
        <f t="shared" si="22"/>
        <v/>
      </c>
      <c r="K263" t="str">
        <f>IFERROR(IF(VLOOKUP(E:E,'Old Report'!E:J,6,FALSE)="","",VLOOKUP(E:E,'Old Report'!E:J,6,FALSE)),"")</f>
        <v/>
      </c>
      <c r="L263" t="str">
        <f>IFERROR(IF(VLOOKUP(E:E,'Old Report'!E:L,8,FALSE)="","",VLOOKUP(E:E,'Old Report'!E:L,8,FALSE)),"")</f>
        <v/>
      </c>
      <c r="M263" s="5" t="str">
        <f t="shared" si="23"/>
        <v/>
      </c>
      <c r="N263" s="5" t="str">
        <f t="shared" si="24"/>
        <v/>
      </c>
    </row>
    <row r="264" spans="1:14" x14ac:dyDescent="0.25">
      <c r="A264" s="5">
        <v>263</v>
      </c>
      <c r="B264" s="5">
        <f t="shared" si="21"/>
        <v>0</v>
      </c>
      <c r="C264" s="5" t="str">
        <f t="shared" si="20"/>
        <v/>
      </c>
      <c r="D264" s="5" t="str">
        <f>IFERROR(IF(F264&lt;&gt;"",F264,VLOOKUP(MAX(C$2:C264),A$2:F264,2,FALSE)),"")</f>
        <v/>
      </c>
      <c r="E264" s="5" t="str">
        <f t="shared" si="22"/>
        <v/>
      </c>
      <c r="K264" t="str">
        <f>IFERROR(IF(VLOOKUP(E:E,'Old Report'!E:J,6,FALSE)="","",VLOOKUP(E:E,'Old Report'!E:J,6,FALSE)),"")</f>
        <v/>
      </c>
      <c r="L264" t="str">
        <f>IFERROR(IF(VLOOKUP(E:E,'Old Report'!E:L,8,FALSE)="","",VLOOKUP(E:E,'Old Report'!E:L,8,FALSE)),"")</f>
        <v/>
      </c>
      <c r="M264" s="5" t="str">
        <f t="shared" si="23"/>
        <v/>
      </c>
      <c r="N264" s="5" t="str">
        <f t="shared" si="24"/>
        <v/>
      </c>
    </row>
    <row r="265" spans="1:14" x14ac:dyDescent="0.25">
      <c r="A265" s="5">
        <v>264</v>
      </c>
      <c r="B265" s="5">
        <f t="shared" si="21"/>
        <v>0</v>
      </c>
      <c r="C265" s="5" t="str">
        <f t="shared" si="20"/>
        <v/>
      </c>
      <c r="D265" s="5" t="str">
        <f>IFERROR(IF(F265&lt;&gt;"",F265,VLOOKUP(MAX(C$2:C265),A$2:F265,2,FALSE)),"")</f>
        <v/>
      </c>
      <c r="E265" s="5" t="str">
        <f t="shared" si="22"/>
        <v/>
      </c>
      <c r="K265" t="str">
        <f>IFERROR(IF(VLOOKUP(E:E,'Old Report'!E:J,6,FALSE)="","",VLOOKUP(E:E,'Old Report'!E:J,6,FALSE)),"")</f>
        <v/>
      </c>
      <c r="L265" t="str">
        <f>IFERROR(IF(VLOOKUP(E:E,'Old Report'!E:L,8,FALSE)="","",VLOOKUP(E:E,'Old Report'!E:L,8,FALSE)),"")</f>
        <v/>
      </c>
      <c r="M265" s="5" t="str">
        <f t="shared" si="23"/>
        <v/>
      </c>
      <c r="N265" s="5" t="str">
        <f t="shared" si="24"/>
        <v/>
      </c>
    </row>
    <row r="266" spans="1:14" x14ac:dyDescent="0.25">
      <c r="A266" s="5">
        <v>265</v>
      </c>
      <c r="B266" s="5">
        <f t="shared" si="21"/>
        <v>0</v>
      </c>
      <c r="C266" s="5" t="str">
        <f t="shared" si="20"/>
        <v/>
      </c>
      <c r="D266" s="5" t="str">
        <f>IFERROR(IF(F266&lt;&gt;"",F266,VLOOKUP(MAX(C$2:C266),A$2:F266,2,FALSE)),"")</f>
        <v/>
      </c>
      <c r="E266" s="5" t="str">
        <f t="shared" si="22"/>
        <v/>
      </c>
      <c r="K266" t="str">
        <f>IFERROR(IF(VLOOKUP(E:E,'Old Report'!E:J,6,FALSE)="","",VLOOKUP(E:E,'Old Report'!E:J,6,FALSE)),"")</f>
        <v/>
      </c>
      <c r="L266" t="str">
        <f>IFERROR(IF(VLOOKUP(E:E,'Old Report'!E:L,8,FALSE)="","",VLOOKUP(E:E,'Old Report'!E:L,8,FALSE)),"")</f>
        <v/>
      </c>
      <c r="M266" s="5" t="str">
        <f t="shared" si="23"/>
        <v/>
      </c>
      <c r="N266" s="5" t="str">
        <f t="shared" si="24"/>
        <v/>
      </c>
    </row>
    <row r="267" spans="1:14" x14ac:dyDescent="0.25">
      <c r="A267" s="5">
        <v>266</v>
      </c>
      <c r="B267" s="5">
        <f t="shared" si="21"/>
        <v>0</v>
      </c>
      <c r="C267" s="5" t="str">
        <f t="shared" si="20"/>
        <v/>
      </c>
      <c r="D267" s="5" t="str">
        <f>IFERROR(IF(F267&lt;&gt;"",F267,VLOOKUP(MAX(C$2:C267),A$2:F267,2,FALSE)),"")</f>
        <v/>
      </c>
      <c r="E267" s="5" t="str">
        <f t="shared" si="22"/>
        <v/>
      </c>
      <c r="K267" t="str">
        <f>IFERROR(IF(VLOOKUP(E:E,'Old Report'!E:J,6,FALSE)="","",VLOOKUP(E:E,'Old Report'!E:J,6,FALSE)),"")</f>
        <v/>
      </c>
      <c r="L267" t="str">
        <f>IFERROR(IF(VLOOKUP(E:E,'Old Report'!E:L,8,FALSE)="","",VLOOKUP(E:E,'Old Report'!E:L,8,FALSE)),"")</f>
        <v/>
      </c>
      <c r="M267" s="5" t="str">
        <f t="shared" si="23"/>
        <v/>
      </c>
      <c r="N267" s="5" t="str">
        <f t="shared" si="24"/>
        <v/>
      </c>
    </row>
    <row r="268" spans="1:14" x14ac:dyDescent="0.25">
      <c r="A268" s="5">
        <v>267</v>
      </c>
      <c r="B268" s="5">
        <f t="shared" si="21"/>
        <v>0</v>
      </c>
      <c r="C268" s="5" t="str">
        <f t="shared" si="20"/>
        <v/>
      </c>
      <c r="D268" s="5" t="str">
        <f>IFERROR(IF(F268&lt;&gt;"",F268,VLOOKUP(MAX(C$2:C268),A$2:F268,2,FALSE)),"")</f>
        <v/>
      </c>
      <c r="E268" s="5" t="str">
        <f t="shared" si="22"/>
        <v/>
      </c>
      <c r="K268" t="str">
        <f>IFERROR(IF(VLOOKUP(E:E,'Old Report'!E:J,6,FALSE)="","",VLOOKUP(E:E,'Old Report'!E:J,6,FALSE)),"")</f>
        <v/>
      </c>
      <c r="L268" t="str">
        <f>IFERROR(IF(VLOOKUP(E:E,'Old Report'!E:L,8,FALSE)="","",VLOOKUP(E:E,'Old Report'!E:L,8,FALSE)),"")</f>
        <v/>
      </c>
      <c r="M268" s="5" t="str">
        <f t="shared" si="23"/>
        <v/>
      </c>
      <c r="N268" s="5" t="str">
        <f t="shared" si="24"/>
        <v/>
      </c>
    </row>
    <row r="269" spans="1:14" x14ac:dyDescent="0.25">
      <c r="A269" s="5">
        <v>268</v>
      </c>
      <c r="B269" s="5">
        <f t="shared" si="21"/>
        <v>0</v>
      </c>
      <c r="C269" s="5" t="str">
        <f t="shared" si="20"/>
        <v/>
      </c>
      <c r="D269" s="5" t="str">
        <f>IFERROR(IF(F269&lt;&gt;"",F269,VLOOKUP(MAX(C$2:C269),A$2:F269,2,FALSE)),"")</f>
        <v/>
      </c>
      <c r="E269" s="5" t="str">
        <f t="shared" si="22"/>
        <v/>
      </c>
      <c r="K269" t="str">
        <f>IFERROR(IF(VLOOKUP(E:E,'Old Report'!E:J,6,FALSE)="","",VLOOKUP(E:E,'Old Report'!E:J,6,FALSE)),"")</f>
        <v/>
      </c>
      <c r="L269" t="str">
        <f>IFERROR(IF(VLOOKUP(E:E,'Old Report'!E:L,8,FALSE)="","",VLOOKUP(E:E,'Old Report'!E:L,8,FALSE)),"")</f>
        <v/>
      </c>
      <c r="M269" s="5" t="str">
        <f t="shared" si="23"/>
        <v/>
      </c>
      <c r="N269" s="5" t="str">
        <f t="shared" si="24"/>
        <v/>
      </c>
    </row>
    <row r="270" spans="1:14" x14ac:dyDescent="0.25">
      <c r="A270" s="5">
        <v>269</v>
      </c>
      <c r="B270" s="5">
        <f t="shared" si="21"/>
        <v>0</v>
      </c>
      <c r="C270" s="5" t="str">
        <f t="shared" si="20"/>
        <v/>
      </c>
      <c r="D270" s="5" t="str">
        <f>IFERROR(IF(F270&lt;&gt;"",F270,VLOOKUP(MAX(C$2:C270),A$2:F270,2,FALSE)),"")</f>
        <v/>
      </c>
      <c r="E270" s="5" t="str">
        <f t="shared" si="22"/>
        <v/>
      </c>
      <c r="K270" t="str">
        <f>IFERROR(IF(VLOOKUP(E:E,'Old Report'!E:J,6,FALSE)="","",VLOOKUP(E:E,'Old Report'!E:J,6,FALSE)),"")</f>
        <v/>
      </c>
      <c r="L270" t="str">
        <f>IFERROR(IF(VLOOKUP(E:E,'Old Report'!E:L,8,FALSE)="","",VLOOKUP(E:E,'Old Report'!E:L,8,FALSE)),"")</f>
        <v/>
      </c>
      <c r="M270" s="5" t="str">
        <f t="shared" si="23"/>
        <v/>
      </c>
      <c r="N270" s="5" t="str">
        <f t="shared" si="24"/>
        <v/>
      </c>
    </row>
    <row r="271" spans="1:14" x14ac:dyDescent="0.25">
      <c r="A271" s="5">
        <v>270</v>
      </c>
      <c r="B271" s="5">
        <f t="shared" si="21"/>
        <v>0</v>
      </c>
      <c r="C271" s="5" t="str">
        <f t="shared" si="20"/>
        <v/>
      </c>
      <c r="D271" s="5" t="str">
        <f>IFERROR(IF(F271&lt;&gt;"",F271,VLOOKUP(MAX(C$2:C271),A$2:F271,2,FALSE)),"")</f>
        <v/>
      </c>
      <c r="E271" s="5" t="str">
        <f t="shared" si="22"/>
        <v/>
      </c>
      <c r="K271" t="str">
        <f>IFERROR(IF(VLOOKUP(E:E,'Old Report'!E:J,6,FALSE)="","",VLOOKUP(E:E,'Old Report'!E:J,6,FALSE)),"")</f>
        <v/>
      </c>
      <c r="L271" t="str">
        <f>IFERROR(IF(VLOOKUP(E:E,'Old Report'!E:L,8,FALSE)="","",VLOOKUP(E:E,'Old Report'!E:L,8,FALSE)),"")</f>
        <v/>
      </c>
      <c r="M271" s="5" t="str">
        <f t="shared" si="23"/>
        <v/>
      </c>
      <c r="N271" s="5" t="str">
        <f t="shared" si="24"/>
        <v/>
      </c>
    </row>
    <row r="272" spans="1:14" x14ac:dyDescent="0.25">
      <c r="A272" s="5">
        <v>271</v>
      </c>
      <c r="B272" s="5">
        <f t="shared" si="21"/>
        <v>0</v>
      </c>
      <c r="C272" s="5" t="str">
        <f t="shared" si="20"/>
        <v/>
      </c>
      <c r="D272" s="5" t="str">
        <f>IFERROR(IF(F272&lt;&gt;"",F272,VLOOKUP(MAX(C$2:C272),A$2:F272,2,FALSE)),"")</f>
        <v/>
      </c>
      <c r="E272" s="5" t="str">
        <f t="shared" si="22"/>
        <v/>
      </c>
      <c r="K272" t="str">
        <f>IFERROR(IF(VLOOKUP(E:E,'Old Report'!E:J,6,FALSE)="","",VLOOKUP(E:E,'Old Report'!E:J,6,FALSE)),"")</f>
        <v/>
      </c>
      <c r="L272" t="str">
        <f>IFERROR(IF(VLOOKUP(E:E,'Old Report'!E:L,8,FALSE)="","",VLOOKUP(E:E,'Old Report'!E:L,8,FALSE)),"")</f>
        <v/>
      </c>
      <c r="M272" s="5" t="str">
        <f t="shared" si="23"/>
        <v/>
      </c>
      <c r="N272" s="5" t="str">
        <f t="shared" si="24"/>
        <v/>
      </c>
    </row>
    <row r="273" spans="1:14" x14ac:dyDescent="0.25">
      <c r="A273" s="5">
        <v>272</v>
      </c>
      <c r="B273" s="5">
        <f t="shared" si="21"/>
        <v>0</v>
      </c>
      <c r="C273" s="5" t="str">
        <f t="shared" si="20"/>
        <v/>
      </c>
      <c r="D273" s="5" t="str">
        <f>IFERROR(IF(F273&lt;&gt;"",F273,VLOOKUP(MAX(C$2:C273),A$2:F273,2,FALSE)),"")</f>
        <v/>
      </c>
      <c r="E273" s="5" t="str">
        <f t="shared" si="22"/>
        <v/>
      </c>
      <c r="K273" t="str">
        <f>IFERROR(IF(VLOOKUP(E:E,'Old Report'!E:J,6,FALSE)="","",VLOOKUP(E:E,'Old Report'!E:J,6,FALSE)),"")</f>
        <v/>
      </c>
      <c r="L273" t="str">
        <f>IFERROR(IF(VLOOKUP(E:E,'Old Report'!E:L,8,FALSE)="","",VLOOKUP(E:E,'Old Report'!E:L,8,FALSE)),"")</f>
        <v/>
      </c>
      <c r="M273" s="5" t="str">
        <f t="shared" si="23"/>
        <v/>
      </c>
      <c r="N273" s="5" t="str">
        <f t="shared" si="24"/>
        <v/>
      </c>
    </row>
    <row r="274" spans="1:14" x14ac:dyDescent="0.25">
      <c r="A274" s="5">
        <v>273</v>
      </c>
      <c r="B274" s="5">
        <f t="shared" si="21"/>
        <v>0</v>
      </c>
      <c r="C274" s="5" t="str">
        <f t="shared" si="20"/>
        <v/>
      </c>
      <c r="D274" s="5" t="str">
        <f>IFERROR(IF(F274&lt;&gt;"",F274,VLOOKUP(MAX(C$2:C274),A$2:F274,2,FALSE)),"")</f>
        <v/>
      </c>
      <c r="E274" s="5" t="str">
        <f t="shared" si="22"/>
        <v/>
      </c>
      <c r="K274" t="str">
        <f>IFERROR(IF(VLOOKUP(E:E,'Old Report'!E:J,6,FALSE)="","",VLOOKUP(E:E,'Old Report'!E:J,6,FALSE)),"")</f>
        <v/>
      </c>
      <c r="L274" t="str">
        <f>IFERROR(IF(VLOOKUP(E:E,'Old Report'!E:L,8,FALSE)="","",VLOOKUP(E:E,'Old Report'!E:L,8,FALSE)),"")</f>
        <v/>
      </c>
      <c r="M274" s="5" t="str">
        <f t="shared" si="23"/>
        <v/>
      </c>
      <c r="N274" s="5" t="str">
        <f t="shared" si="24"/>
        <v/>
      </c>
    </row>
    <row r="275" spans="1:14" x14ac:dyDescent="0.25">
      <c r="A275" s="5">
        <v>274</v>
      </c>
      <c r="B275" s="5">
        <f t="shared" si="21"/>
        <v>0</v>
      </c>
      <c r="C275" s="5" t="str">
        <f t="shared" si="20"/>
        <v/>
      </c>
      <c r="D275" s="5" t="str">
        <f>IFERROR(IF(F275&lt;&gt;"",F275,VLOOKUP(MAX(C$2:C275),A$2:F275,2,FALSE)),"")</f>
        <v/>
      </c>
      <c r="E275" s="5" t="str">
        <f t="shared" si="22"/>
        <v/>
      </c>
      <c r="K275" t="str">
        <f>IFERROR(IF(VLOOKUP(E:E,'Old Report'!E:J,6,FALSE)="","",VLOOKUP(E:E,'Old Report'!E:J,6,FALSE)),"")</f>
        <v/>
      </c>
      <c r="L275" t="str">
        <f>IFERROR(IF(VLOOKUP(E:E,'Old Report'!E:L,8,FALSE)="","",VLOOKUP(E:E,'Old Report'!E:L,8,FALSE)),"")</f>
        <v/>
      </c>
      <c r="M275" s="5" t="str">
        <f t="shared" si="23"/>
        <v/>
      </c>
      <c r="N275" s="5" t="str">
        <f t="shared" si="24"/>
        <v/>
      </c>
    </row>
    <row r="276" spans="1:14" x14ac:dyDescent="0.25">
      <c r="A276" s="5">
        <v>275</v>
      </c>
      <c r="B276" s="5">
        <f t="shared" si="21"/>
        <v>0</v>
      </c>
      <c r="C276" s="5" t="str">
        <f t="shared" si="20"/>
        <v/>
      </c>
      <c r="D276" s="5" t="str">
        <f>IFERROR(IF(F276&lt;&gt;"",F276,VLOOKUP(MAX(C$2:C276),A$2:F276,2,FALSE)),"")</f>
        <v/>
      </c>
      <c r="E276" s="5" t="str">
        <f t="shared" si="22"/>
        <v/>
      </c>
      <c r="K276" t="str">
        <f>IFERROR(IF(VLOOKUP(E:E,'Old Report'!E:J,6,FALSE)="","",VLOOKUP(E:E,'Old Report'!E:J,6,FALSE)),"")</f>
        <v/>
      </c>
      <c r="L276" t="str">
        <f>IFERROR(IF(VLOOKUP(E:E,'Old Report'!E:L,8,FALSE)="","",VLOOKUP(E:E,'Old Report'!E:L,8,FALSE)),"")</f>
        <v/>
      </c>
      <c r="M276" s="5" t="str">
        <f t="shared" si="23"/>
        <v/>
      </c>
      <c r="N276" s="5" t="str">
        <f t="shared" si="24"/>
        <v/>
      </c>
    </row>
    <row r="277" spans="1:14" x14ac:dyDescent="0.25">
      <c r="A277" s="5">
        <v>276</v>
      </c>
      <c r="B277" s="5">
        <f t="shared" si="21"/>
        <v>0</v>
      </c>
      <c r="C277" s="5" t="str">
        <f t="shared" si="20"/>
        <v/>
      </c>
      <c r="D277" s="5" t="str">
        <f>IFERROR(IF(F277&lt;&gt;"",F277,VLOOKUP(MAX(C$2:C277),A$2:F277,2,FALSE)),"")</f>
        <v/>
      </c>
      <c r="E277" s="5" t="str">
        <f t="shared" si="22"/>
        <v/>
      </c>
      <c r="K277" t="str">
        <f>IFERROR(IF(VLOOKUP(E:E,'Old Report'!E:J,6,FALSE)="","",VLOOKUP(E:E,'Old Report'!E:J,6,FALSE)),"")</f>
        <v/>
      </c>
      <c r="L277" t="str">
        <f>IFERROR(IF(VLOOKUP(E:E,'Old Report'!E:L,8,FALSE)="","",VLOOKUP(E:E,'Old Report'!E:L,8,FALSE)),"")</f>
        <v/>
      </c>
      <c r="M277" s="5" t="str">
        <f t="shared" si="23"/>
        <v/>
      </c>
      <c r="N277" s="5" t="str">
        <f t="shared" si="24"/>
        <v/>
      </c>
    </row>
    <row r="278" spans="1:14" x14ac:dyDescent="0.25">
      <c r="A278" s="5">
        <v>277</v>
      </c>
      <c r="B278" s="5">
        <f t="shared" si="21"/>
        <v>0</v>
      </c>
      <c r="C278" s="5" t="str">
        <f t="shared" si="20"/>
        <v/>
      </c>
      <c r="D278" s="5" t="str">
        <f>IFERROR(IF(F278&lt;&gt;"",F278,VLOOKUP(MAX(C$2:C278),A$2:F278,2,FALSE)),"")</f>
        <v/>
      </c>
      <c r="E278" s="5" t="str">
        <f t="shared" si="22"/>
        <v/>
      </c>
      <c r="K278" t="str">
        <f>IFERROR(IF(VLOOKUP(E:E,'Old Report'!E:J,6,FALSE)="","",VLOOKUP(E:E,'Old Report'!E:J,6,FALSE)),"")</f>
        <v/>
      </c>
      <c r="L278" t="str">
        <f>IFERROR(IF(VLOOKUP(E:E,'Old Report'!E:L,8,FALSE)="","",VLOOKUP(E:E,'Old Report'!E:L,8,FALSE)),"")</f>
        <v/>
      </c>
      <c r="M278" s="5" t="str">
        <f t="shared" si="23"/>
        <v/>
      </c>
      <c r="N278" s="5" t="str">
        <f t="shared" si="24"/>
        <v/>
      </c>
    </row>
    <row r="279" spans="1:14" x14ac:dyDescent="0.25">
      <c r="A279" s="5">
        <v>278</v>
      </c>
      <c r="B279" s="5">
        <f t="shared" si="21"/>
        <v>0</v>
      </c>
      <c r="C279" s="5" t="str">
        <f t="shared" si="20"/>
        <v/>
      </c>
      <c r="D279" s="5" t="str">
        <f>IFERROR(IF(F279&lt;&gt;"",F279,VLOOKUP(MAX(C$2:C279),A$2:F279,2,FALSE)),"")</f>
        <v/>
      </c>
      <c r="E279" s="5" t="str">
        <f t="shared" si="22"/>
        <v/>
      </c>
      <c r="K279" t="str">
        <f>IFERROR(IF(VLOOKUP(E:E,'Old Report'!E:J,6,FALSE)="","",VLOOKUP(E:E,'Old Report'!E:J,6,FALSE)),"")</f>
        <v/>
      </c>
      <c r="L279" t="str">
        <f>IFERROR(IF(VLOOKUP(E:E,'Old Report'!E:L,8,FALSE)="","",VLOOKUP(E:E,'Old Report'!E:L,8,FALSE)),"")</f>
        <v/>
      </c>
      <c r="M279" s="5" t="str">
        <f t="shared" si="23"/>
        <v/>
      </c>
      <c r="N279" s="5" t="str">
        <f t="shared" si="24"/>
        <v/>
      </c>
    </row>
    <row r="280" spans="1:14" x14ac:dyDescent="0.25">
      <c r="A280" s="5">
        <v>279</v>
      </c>
      <c r="B280" s="5">
        <f t="shared" si="21"/>
        <v>0</v>
      </c>
      <c r="C280" s="5" t="str">
        <f t="shared" si="20"/>
        <v/>
      </c>
      <c r="D280" s="5" t="str">
        <f>IFERROR(IF(F280&lt;&gt;"",F280,VLOOKUP(MAX(C$2:C280),A$2:F280,2,FALSE)),"")</f>
        <v/>
      </c>
      <c r="E280" s="5" t="str">
        <f t="shared" si="22"/>
        <v/>
      </c>
      <c r="K280" t="str">
        <f>IFERROR(IF(VLOOKUP(E:E,'Old Report'!E:J,6,FALSE)="","",VLOOKUP(E:E,'Old Report'!E:J,6,FALSE)),"")</f>
        <v/>
      </c>
      <c r="L280" t="str">
        <f>IFERROR(IF(VLOOKUP(E:E,'Old Report'!E:L,8,FALSE)="","",VLOOKUP(E:E,'Old Report'!E:L,8,FALSE)),"")</f>
        <v/>
      </c>
      <c r="M280" s="5" t="str">
        <f t="shared" si="23"/>
        <v/>
      </c>
      <c r="N280" s="5" t="str">
        <f t="shared" si="24"/>
        <v/>
      </c>
    </row>
    <row r="281" spans="1:14" x14ac:dyDescent="0.25">
      <c r="A281" s="5">
        <v>280</v>
      </c>
      <c r="B281" s="5">
        <f t="shared" si="21"/>
        <v>0</v>
      </c>
      <c r="C281" s="5" t="str">
        <f t="shared" si="20"/>
        <v/>
      </c>
      <c r="D281" s="5" t="str">
        <f>IFERROR(IF(F281&lt;&gt;"",F281,VLOOKUP(MAX(C$2:C281),A$2:F281,2,FALSE)),"")</f>
        <v/>
      </c>
      <c r="E281" s="5" t="str">
        <f t="shared" si="22"/>
        <v/>
      </c>
      <c r="K281" t="str">
        <f>IFERROR(IF(VLOOKUP(E:E,'Old Report'!E:J,6,FALSE)="","",VLOOKUP(E:E,'Old Report'!E:J,6,FALSE)),"")</f>
        <v/>
      </c>
      <c r="L281" t="str">
        <f>IFERROR(IF(VLOOKUP(E:E,'Old Report'!E:L,8,FALSE)="","",VLOOKUP(E:E,'Old Report'!E:L,8,FALSE)),"")</f>
        <v/>
      </c>
      <c r="M281" s="5" t="str">
        <f t="shared" si="23"/>
        <v/>
      </c>
      <c r="N281" s="5" t="str">
        <f t="shared" si="24"/>
        <v/>
      </c>
    </row>
    <row r="282" spans="1:14" x14ac:dyDescent="0.25">
      <c r="A282" s="5">
        <v>281</v>
      </c>
      <c r="B282" s="5">
        <f t="shared" si="21"/>
        <v>0</v>
      </c>
      <c r="C282" s="5" t="str">
        <f t="shared" si="20"/>
        <v/>
      </c>
      <c r="D282" s="5" t="str">
        <f>IFERROR(IF(F282&lt;&gt;"",F282,VLOOKUP(MAX(C$2:C282),A$2:F282,2,FALSE)),"")</f>
        <v/>
      </c>
      <c r="E282" s="5" t="str">
        <f t="shared" si="22"/>
        <v/>
      </c>
      <c r="K282" t="str">
        <f>IFERROR(IF(VLOOKUP(E:E,'Old Report'!E:J,6,FALSE)="","",VLOOKUP(E:E,'Old Report'!E:J,6,FALSE)),"")</f>
        <v/>
      </c>
      <c r="L282" t="str">
        <f>IFERROR(IF(VLOOKUP(E:E,'Old Report'!E:L,8,FALSE)="","",VLOOKUP(E:E,'Old Report'!E:L,8,FALSE)),"")</f>
        <v/>
      </c>
      <c r="M282" s="5" t="str">
        <f t="shared" si="23"/>
        <v/>
      </c>
      <c r="N282" s="5" t="str">
        <f t="shared" si="24"/>
        <v/>
      </c>
    </row>
    <row r="283" spans="1:14" x14ac:dyDescent="0.25">
      <c r="A283" s="5">
        <v>282</v>
      </c>
      <c r="B283" s="5">
        <f t="shared" si="21"/>
        <v>0</v>
      </c>
      <c r="C283" s="5" t="str">
        <f t="shared" si="20"/>
        <v/>
      </c>
      <c r="D283" s="5" t="str">
        <f>IFERROR(IF(F283&lt;&gt;"",F283,VLOOKUP(MAX(C$2:C283),A$2:F283,2,FALSE)),"")</f>
        <v/>
      </c>
      <c r="E283" s="5" t="str">
        <f t="shared" si="22"/>
        <v/>
      </c>
      <c r="K283" t="str">
        <f>IFERROR(IF(VLOOKUP(E:E,'Old Report'!E:J,6,FALSE)="","",VLOOKUP(E:E,'Old Report'!E:J,6,FALSE)),"")</f>
        <v/>
      </c>
      <c r="L283" t="str">
        <f>IFERROR(IF(VLOOKUP(E:E,'Old Report'!E:L,8,FALSE)="","",VLOOKUP(E:E,'Old Report'!E:L,8,FALSE)),"")</f>
        <v/>
      </c>
      <c r="M283" s="5" t="str">
        <f t="shared" si="23"/>
        <v/>
      </c>
      <c r="N283" s="5" t="str">
        <f t="shared" si="24"/>
        <v/>
      </c>
    </row>
    <row r="284" spans="1:14" x14ac:dyDescent="0.25">
      <c r="A284" s="5">
        <v>283</v>
      </c>
      <c r="B284" s="5">
        <f t="shared" si="21"/>
        <v>0</v>
      </c>
      <c r="C284" s="5" t="str">
        <f t="shared" si="20"/>
        <v/>
      </c>
      <c r="D284" s="5" t="str">
        <f>IFERROR(IF(F284&lt;&gt;"",F284,VLOOKUP(MAX(C$2:C284),A$2:F284,2,FALSE)),"")</f>
        <v/>
      </c>
      <c r="E284" s="5" t="str">
        <f t="shared" si="22"/>
        <v/>
      </c>
      <c r="K284" t="str">
        <f>IFERROR(IF(VLOOKUP(E:E,'Old Report'!E:J,6,FALSE)="","",VLOOKUP(E:E,'Old Report'!E:J,6,FALSE)),"")</f>
        <v/>
      </c>
      <c r="L284" t="str">
        <f>IFERROR(IF(VLOOKUP(E:E,'Old Report'!E:L,8,FALSE)="","",VLOOKUP(E:E,'Old Report'!E:L,8,FALSE)),"")</f>
        <v/>
      </c>
      <c r="M284" s="5" t="str">
        <f t="shared" si="23"/>
        <v/>
      </c>
      <c r="N284" s="5" t="str">
        <f t="shared" si="24"/>
        <v/>
      </c>
    </row>
    <row r="285" spans="1:14" x14ac:dyDescent="0.25">
      <c r="A285" s="5">
        <v>284</v>
      </c>
      <c r="B285" s="5">
        <f t="shared" si="21"/>
        <v>0</v>
      </c>
      <c r="C285" s="5" t="str">
        <f t="shared" si="20"/>
        <v/>
      </c>
      <c r="D285" s="5" t="str">
        <f>IFERROR(IF(F285&lt;&gt;"",F285,VLOOKUP(MAX(C$2:C285),A$2:F285,2,FALSE)),"")</f>
        <v/>
      </c>
      <c r="E285" s="5" t="str">
        <f t="shared" si="22"/>
        <v/>
      </c>
      <c r="K285" t="str">
        <f>IFERROR(IF(VLOOKUP(E:E,'Old Report'!E:J,6,FALSE)="","",VLOOKUP(E:E,'Old Report'!E:J,6,FALSE)),"")</f>
        <v/>
      </c>
      <c r="L285" t="str">
        <f>IFERROR(IF(VLOOKUP(E:E,'Old Report'!E:L,8,FALSE)="","",VLOOKUP(E:E,'Old Report'!E:L,8,FALSE)),"")</f>
        <v/>
      </c>
      <c r="M285" s="5" t="str">
        <f t="shared" si="23"/>
        <v/>
      </c>
      <c r="N285" s="5" t="str">
        <f t="shared" si="24"/>
        <v/>
      </c>
    </row>
    <row r="286" spans="1:14" x14ac:dyDescent="0.25">
      <c r="A286" s="5">
        <v>285</v>
      </c>
      <c r="B286" s="5">
        <f t="shared" si="21"/>
        <v>0</v>
      </c>
      <c r="C286" s="5" t="str">
        <f t="shared" si="20"/>
        <v/>
      </c>
      <c r="D286" s="5" t="str">
        <f>IFERROR(IF(F286&lt;&gt;"",F286,VLOOKUP(MAX(C$2:C286),A$2:F286,2,FALSE)),"")</f>
        <v/>
      </c>
      <c r="E286" s="5" t="str">
        <f t="shared" si="22"/>
        <v/>
      </c>
      <c r="K286" t="str">
        <f>IFERROR(IF(VLOOKUP(E:E,'Old Report'!E:J,6,FALSE)="","",VLOOKUP(E:E,'Old Report'!E:J,6,FALSE)),"")</f>
        <v/>
      </c>
      <c r="L286" t="str">
        <f>IFERROR(IF(VLOOKUP(E:E,'Old Report'!E:L,8,FALSE)="","",VLOOKUP(E:E,'Old Report'!E:L,8,FALSE)),"")</f>
        <v/>
      </c>
      <c r="M286" s="5" t="str">
        <f t="shared" si="23"/>
        <v/>
      </c>
      <c r="N286" s="5" t="str">
        <f t="shared" si="24"/>
        <v/>
      </c>
    </row>
    <row r="287" spans="1:14" x14ac:dyDescent="0.25">
      <c r="A287" s="5">
        <v>286</v>
      </c>
      <c r="B287" s="5">
        <f t="shared" si="21"/>
        <v>0</v>
      </c>
      <c r="C287" s="5" t="str">
        <f t="shared" si="20"/>
        <v/>
      </c>
      <c r="D287" s="5" t="str">
        <f>IFERROR(IF(F287&lt;&gt;"",F287,VLOOKUP(MAX(C$2:C287),A$2:F287,2,FALSE)),"")</f>
        <v/>
      </c>
      <c r="E287" s="5" t="str">
        <f t="shared" si="22"/>
        <v/>
      </c>
      <c r="K287" t="str">
        <f>IFERROR(IF(VLOOKUP(E:E,'Old Report'!E:J,6,FALSE)="","",VLOOKUP(E:E,'Old Report'!E:J,6,FALSE)),"")</f>
        <v/>
      </c>
      <c r="L287" t="str">
        <f>IFERROR(IF(VLOOKUP(E:E,'Old Report'!E:L,8,FALSE)="","",VLOOKUP(E:E,'Old Report'!E:L,8,FALSE)),"")</f>
        <v/>
      </c>
      <c r="M287" s="5" t="str">
        <f t="shared" si="23"/>
        <v/>
      </c>
      <c r="N287" s="5" t="str">
        <f t="shared" si="24"/>
        <v/>
      </c>
    </row>
    <row r="288" spans="1:14" x14ac:dyDescent="0.25">
      <c r="A288" s="5">
        <v>287</v>
      </c>
      <c r="B288" s="5">
        <f t="shared" si="21"/>
        <v>0</v>
      </c>
      <c r="C288" s="5" t="str">
        <f t="shared" si="20"/>
        <v/>
      </c>
      <c r="D288" s="5" t="str">
        <f>IFERROR(IF(F288&lt;&gt;"",F288,VLOOKUP(MAX(C$2:C288),A$2:F288,2,FALSE)),"")</f>
        <v/>
      </c>
      <c r="E288" s="5" t="str">
        <f t="shared" si="22"/>
        <v/>
      </c>
      <c r="K288" t="str">
        <f>IFERROR(IF(VLOOKUP(E:E,'Old Report'!E:J,6,FALSE)="","",VLOOKUP(E:E,'Old Report'!E:J,6,FALSE)),"")</f>
        <v/>
      </c>
      <c r="L288" t="str">
        <f>IFERROR(IF(VLOOKUP(E:E,'Old Report'!E:L,8,FALSE)="","",VLOOKUP(E:E,'Old Report'!E:L,8,FALSE)),"")</f>
        <v/>
      </c>
      <c r="M288" s="5" t="str">
        <f t="shared" si="23"/>
        <v/>
      </c>
      <c r="N288" s="5" t="str">
        <f t="shared" si="24"/>
        <v/>
      </c>
    </row>
    <row r="289" spans="1:14" x14ac:dyDescent="0.25">
      <c r="A289" s="5">
        <v>288</v>
      </c>
      <c r="B289" s="5">
        <f t="shared" si="21"/>
        <v>0</v>
      </c>
      <c r="C289" s="5" t="str">
        <f t="shared" si="20"/>
        <v/>
      </c>
      <c r="D289" s="5" t="str">
        <f>IFERROR(IF(F289&lt;&gt;"",F289,VLOOKUP(MAX(C$2:C289),A$2:F289,2,FALSE)),"")</f>
        <v/>
      </c>
      <c r="E289" s="5" t="str">
        <f t="shared" si="22"/>
        <v/>
      </c>
      <c r="K289" t="str">
        <f>IFERROR(IF(VLOOKUP(E:E,'Old Report'!E:J,6,FALSE)="","",VLOOKUP(E:E,'Old Report'!E:J,6,FALSE)),"")</f>
        <v/>
      </c>
      <c r="L289" t="str">
        <f>IFERROR(IF(VLOOKUP(E:E,'Old Report'!E:L,8,FALSE)="","",VLOOKUP(E:E,'Old Report'!E:L,8,FALSE)),"")</f>
        <v/>
      </c>
      <c r="M289" s="5" t="str">
        <f t="shared" si="23"/>
        <v/>
      </c>
      <c r="N289" s="5" t="str">
        <f t="shared" si="24"/>
        <v/>
      </c>
    </row>
    <row r="290" spans="1:14" x14ac:dyDescent="0.25">
      <c r="A290" s="5">
        <v>289</v>
      </c>
      <c r="B290" s="5">
        <f t="shared" si="21"/>
        <v>0</v>
      </c>
      <c r="C290" s="5" t="str">
        <f t="shared" si="20"/>
        <v/>
      </c>
      <c r="D290" s="5" t="str">
        <f>IFERROR(IF(F290&lt;&gt;"",F290,VLOOKUP(MAX(C$2:C290),A$2:F290,2,FALSE)),"")</f>
        <v/>
      </c>
      <c r="E290" s="5" t="str">
        <f t="shared" si="22"/>
        <v/>
      </c>
      <c r="K290" t="str">
        <f>IFERROR(IF(VLOOKUP(E:E,'Old Report'!E:J,6,FALSE)="","",VLOOKUP(E:E,'Old Report'!E:J,6,FALSE)),"")</f>
        <v/>
      </c>
      <c r="L290" t="str">
        <f>IFERROR(IF(VLOOKUP(E:E,'Old Report'!E:L,8,FALSE)="","",VLOOKUP(E:E,'Old Report'!E:L,8,FALSE)),"")</f>
        <v/>
      </c>
      <c r="M290" s="5" t="str">
        <f t="shared" si="23"/>
        <v/>
      </c>
      <c r="N290" s="5" t="str">
        <f t="shared" si="24"/>
        <v/>
      </c>
    </row>
    <row r="291" spans="1:14" x14ac:dyDescent="0.25">
      <c r="A291" s="5">
        <v>290</v>
      </c>
      <c r="B291" s="5">
        <f t="shared" si="21"/>
        <v>0</v>
      </c>
      <c r="C291" s="5" t="str">
        <f t="shared" si="20"/>
        <v/>
      </c>
      <c r="D291" s="5" t="str">
        <f>IFERROR(IF(F291&lt;&gt;"",F291,VLOOKUP(MAX(C$2:C291),A$2:F291,2,FALSE)),"")</f>
        <v/>
      </c>
      <c r="E291" s="5" t="str">
        <f t="shared" si="22"/>
        <v/>
      </c>
      <c r="K291" t="str">
        <f>IFERROR(IF(VLOOKUP(E:E,'Old Report'!E:J,6,FALSE)="","",VLOOKUP(E:E,'Old Report'!E:J,6,FALSE)),"")</f>
        <v/>
      </c>
      <c r="L291" t="str">
        <f>IFERROR(IF(VLOOKUP(E:E,'Old Report'!E:L,8,FALSE)="","",VLOOKUP(E:E,'Old Report'!E:L,8,FALSE)),"")</f>
        <v/>
      </c>
      <c r="M291" s="5" t="str">
        <f t="shared" si="23"/>
        <v/>
      </c>
      <c r="N291" s="5" t="str">
        <f t="shared" si="24"/>
        <v/>
      </c>
    </row>
    <row r="292" spans="1:14" x14ac:dyDescent="0.25">
      <c r="A292" s="5">
        <v>291</v>
      </c>
      <c r="B292" s="5">
        <f t="shared" si="21"/>
        <v>0</v>
      </c>
      <c r="C292" s="5" t="str">
        <f t="shared" si="20"/>
        <v/>
      </c>
      <c r="D292" s="5" t="str">
        <f>IFERROR(IF(F292&lt;&gt;"",F292,VLOOKUP(MAX(C$2:C292),A$2:F292,2,FALSE)),"")</f>
        <v/>
      </c>
      <c r="E292" s="5" t="str">
        <f t="shared" si="22"/>
        <v/>
      </c>
      <c r="K292" t="str">
        <f>IFERROR(IF(VLOOKUP(E:E,'Old Report'!E:J,6,FALSE)="","",VLOOKUP(E:E,'Old Report'!E:J,6,FALSE)),"")</f>
        <v/>
      </c>
      <c r="L292" t="str">
        <f>IFERROR(IF(VLOOKUP(E:E,'Old Report'!E:L,8,FALSE)="","",VLOOKUP(E:E,'Old Report'!E:L,8,FALSE)),"")</f>
        <v/>
      </c>
      <c r="M292" s="5" t="str">
        <f t="shared" si="23"/>
        <v/>
      </c>
      <c r="N292" s="5" t="str">
        <f t="shared" si="24"/>
        <v/>
      </c>
    </row>
    <row r="293" spans="1:14" x14ac:dyDescent="0.25">
      <c r="A293" s="5">
        <v>292</v>
      </c>
      <c r="B293" s="5">
        <f t="shared" si="21"/>
        <v>0</v>
      </c>
      <c r="C293" s="5" t="str">
        <f t="shared" si="20"/>
        <v/>
      </c>
      <c r="D293" s="5" t="str">
        <f>IFERROR(IF(F293&lt;&gt;"",F293,VLOOKUP(MAX(C$2:C293),A$2:F293,2,FALSE)),"")</f>
        <v/>
      </c>
      <c r="E293" s="5" t="str">
        <f t="shared" si="22"/>
        <v/>
      </c>
      <c r="K293" t="str">
        <f>IFERROR(IF(VLOOKUP(E:E,'Old Report'!E:J,6,FALSE)="","",VLOOKUP(E:E,'Old Report'!E:J,6,FALSE)),"")</f>
        <v/>
      </c>
      <c r="L293" t="str">
        <f>IFERROR(IF(VLOOKUP(E:E,'Old Report'!E:L,8,FALSE)="","",VLOOKUP(E:E,'Old Report'!E:L,8,FALSE)),"")</f>
        <v/>
      </c>
      <c r="M293" s="5" t="str">
        <f t="shared" si="23"/>
        <v/>
      </c>
      <c r="N293" s="5" t="str">
        <f t="shared" si="24"/>
        <v/>
      </c>
    </row>
    <row r="294" spans="1:14" x14ac:dyDescent="0.25">
      <c r="A294" s="5">
        <v>293</v>
      </c>
      <c r="B294" s="5">
        <f t="shared" si="21"/>
        <v>0</v>
      </c>
      <c r="C294" s="5" t="str">
        <f t="shared" si="20"/>
        <v/>
      </c>
      <c r="D294" s="5" t="str">
        <f>IFERROR(IF(F294&lt;&gt;"",F294,VLOOKUP(MAX(C$2:C294),A$2:F294,2,FALSE)),"")</f>
        <v/>
      </c>
      <c r="E294" s="5" t="str">
        <f t="shared" si="22"/>
        <v/>
      </c>
      <c r="K294" t="str">
        <f>IFERROR(IF(VLOOKUP(E:E,'Old Report'!E:J,6,FALSE)="","",VLOOKUP(E:E,'Old Report'!E:J,6,FALSE)),"")</f>
        <v/>
      </c>
      <c r="L294" t="str">
        <f>IFERROR(IF(VLOOKUP(E:E,'Old Report'!E:L,8,FALSE)="","",VLOOKUP(E:E,'Old Report'!E:L,8,FALSE)),"")</f>
        <v/>
      </c>
      <c r="M294" s="5" t="str">
        <f t="shared" si="23"/>
        <v/>
      </c>
      <c r="N294" s="5" t="str">
        <f t="shared" si="24"/>
        <v/>
      </c>
    </row>
    <row r="295" spans="1:14" x14ac:dyDescent="0.25">
      <c r="A295" s="5">
        <v>294</v>
      </c>
      <c r="B295" s="5">
        <f t="shared" si="21"/>
        <v>0</v>
      </c>
      <c r="C295" s="5" t="str">
        <f t="shared" si="20"/>
        <v/>
      </c>
      <c r="D295" s="5" t="str">
        <f>IFERROR(IF(F295&lt;&gt;"",F295,VLOOKUP(MAX(C$2:C295),A$2:F295,2,FALSE)),"")</f>
        <v/>
      </c>
      <c r="E295" s="5" t="str">
        <f t="shared" si="22"/>
        <v/>
      </c>
      <c r="K295" t="str">
        <f>IFERROR(IF(VLOOKUP(E:E,'Old Report'!E:J,6,FALSE)="","",VLOOKUP(E:E,'Old Report'!E:J,6,FALSE)),"")</f>
        <v/>
      </c>
      <c r="L295" t="str">
        <f>IFERROR(IF(VLOOKUP(E:E,'Old Report'!E:L,8,FALSE)="","",VLOOKUP(E:E,'Old Report'!E:L,8,FALSE)),"")</f>
        <v/>
      </c>
      <c r="M295" s="5" t="str">
        <f t="shared" si="23"/>
        <v/>
      </c>
      <c r="N295" s="5" t="str">
        <f t="shared" si="24"/>
        <v/>
      </c>
    </row>
    <row r="296" spans="1:14" x14ac:dyDescent="0.25">
      <c r="A296" s="5">
        <v>295</v>
      </c>
      <c r="B296" s="5">
        <f t="shared" si="21"/>
        <v>0</v>
      </c>
      <c r="C296" s="5" t="str">
        <f t="shared" si="20"/>
        <v/>
      </c>
      <c r="D296" s="5" t="str">
        <f>IFERROR(IF(F296&lt;&gt;"",F296,VLOOKUP(MAX(C$2:C296),A$2:F296,2,FALSE)),"")</f>
        <v/>
      </c>
      <c r="E296" s="5" t="str">
        <f t="shared" si="22"/>
        <v/>
      </c>
      <c r="K296" t="str">
        <f>IFERROR(IF(VLOOKUP(E:E,'Old Report'!E:J,6,FALSE)="","",VLOOKUP(E:E,'Old Report'!E:J,6,FALSE)),"")</f>
        <v/>
      </c>
      <c r="L296" t="str">
        <f>IFERROR(IF(VLOOKUP(E:E,'Old Report'!E:L,8,FALSE)="","",VLOOKUP(E:E,'Old Report'!E:L,8,FALSE)),"")</f>
        <v/>
      </c>
      <c r="M296" s="5" t="str">
        <f t="shared" si="23"/>
        <v/>
      </c>
      <c r="N296" s="5" t="str">
        <f t="shared" si="24"/>
        <v/>
      </c>
    </row>
    <row r="297" spans="1:14" x14ac:dyDescent="0.25">
      <c r="A297" s="5">
        <v>296</v>
      </c>
      <c r="B297" s="5">
        <f t="shared" si="21"/>
        <v>0</v>
      </c>
      <c r="C297" s="5" t="str">
        <f t="shared" si="20"/>
        <v/>
      </c>
      <c r="D297" s="5" t="str">
        <f>IFERROR(IF(F297&lt;&gt;"",F297,VLOOKUP(MAX(C$2:C297),A$2:F297,2,FALSE)),"")</f>
        <v/>
      </c>
      <c r="E297" s="5" t="str">
        <f t="shared" si="22"/>
        <v/>
      </c>
      <c r="K297" t="str">
        <f>IFERROR(IF(VLOOKUP(E:E,'Old Report'!E:J,6,FALSE)="","",VLOOKUP(E:E,'Old Report'!E:J,6,FALSE)),"")</f>
        <v/>
      </c>
      <c r="L297" t="str">
        <f>IFERROR(IF(VLOOKUP(E:E,'Old Report'!E:L,8,FALSE)="","",VLOOKUP(E:E,'Old Report'!E:L,8,FALSE)),"")</f>
        <v/>
      </c>
      <c r="M297" s="5" t="str">
        <f t="shared" si="23"/>
        <v/>
      </c>
      <c r="N297" s="5" t="str">
        <f t="shared" si="24"/>
        <v/>
      </c>
    </row>
    <row r="298" spans="1:14" x14ac:dyDescent="0.25">
      <c r="A298" s="5">
        <v>297</v>
      </c>
      <c r="B298" s="5">
        <f t="shared" si="21"/>
        <v>0</v>
      </c>
      <c r="C298" s="5" t="str">
        <f t="shared" si="20"/>
        <v/>
      </c>
      <c r="D298" s="5" t="str">
        <f>IFERROR(IF(F298&lt;&gt;"",F298,VLOOKUP(MAX(C$2:C298),A$2:F298,2,FALSE)),"")</f>
        <v/>
      </c>
      <c r="E298" s="5" t="str">
        <f t="shared" si="22"/>
        <v/>
      </c>
      <c r="K298" t="str">
        <f>IFERROR(IF(VLOOKUP(E:E,'Old Report'!E:J,6,FALSE)="","",VLOOKUP(E:E,'Old Report'!E:J,6,FALSE)),"")</f>
        <v/>
      </c>
      <c r="L298" t="str">
        <f>IFERROR(IF(VLOOKUP(E:E,'Old Report'!E:L,8,FALSE)="","",VLOOKUP(E:E,'Old Report'!E:L,8,FALSE)),"")</f>
        <v/>
      </c>
      <c r="M298" s="5" t="str">
        <f t="shared" si="23"/>
        <v/>
      </c>
      <c r="N298" s="5" t="str">
        <f t="shared" si="24"/>
        <v/>
      </c>
    </row>
    <row r="299" spans="1:14" x14ac:dyDescent="0.25">
      <c r="A299" s="5">
        <v>298</v>
      </c>
      <c r="B299" s="5">
        <f t="shared" si="21"/>
        <v>0</v>
      </c>
      <c r="C299" s="5" t="str">
        <f t="shared" si="20"/>
        <v/>
      </c>
      <c r="D299" s="5" t="str">
        <f>IFERROR(IF(F299&lt;&gt;"",F299,VLOOKUP(MAX(C$2:C299),A$2:F299,2,FALSE)),"")</f>
        <v/>
      </c>
      <c r="E299" s="5" t="str">
        <f t="shared" si="22"/>
        <v/>
      </c>
      <c r="K299" t="str">
        <f>IFERROR(IF(VLOOKUP(E:E,'Old Report'!E:J,6,FALSE)="","",VLOOKUP(E:E,'Old Report'!E:J,6,FALSE)),"")</f>
        <v/>
      </c>
      <c r="L299" t="str">
        <f>IFERROR(IF(VLOOKUP(E:E,'Old Report'!E:L,8,FALSE)="","",VLOOKUP(E:E,'Old Report'!E:L,8,FALSE)),"")</f>
        <v/>
      </c>
      <c r="M299" s="5" t="str">
        <f t="shared" si="23"/>
        <v/>
      </c>
      <c r="N299" s="5" t="str">
        <f t="shared" si="24"/>
        <v/>
      </c>
    </row>
    <row r="300" spans="1:14" x14ac:dyDescent="0.25">
      <c r="A300" s="5">
        <v>299</v>
      </c>
      <c r="B300" s="5">
        <f t="shared" si="21"/>
        <v>0</v>
      </c>
      <c r="C300" s="5" t="str">
        <f t="shared" si="20"/>
        <v/>
      </c>
      <c r="D300" s="5" t="str">
        <f>IFERROR(IF(F300&lt;&gt;"",F300,VLOOKUP(MAX(C$2:C300),A$2:F300,2,FALSE)),"")</f>
        <v/>
      </c>
      <c r="E300" s="5" t="str">
        <f t="shared" si="22"/>
        <v/>
      </c>
      <c r="K300" t="str">
        <f>IFERROR(IF(VLOOKUP(E:E,'Old Report'!E:J,6,FALSE)="","",VLOOKUP(E:E,'Old Report'!E:J,6,FALSE)),"")</f>
        <v/>
      </c>
      <c r="L300" t="str">
        <f>IFERROR(IF(VLOOKUP(E:E,'Old Report'!E:L,8,FALSE)="","",VLOOKUP(E:E,'Old Report'!E:L,8,FALSE)),"")</f>
        <v/>
      </c>
      <c r="M300" s="5" t="str">
        <f t="shared" si="23"/>
        <v/>
      </c>
      <c r="N300" s="5" t="str">
        <f t="shared" si="24"/>
        <v/>
      </c>
    </row>
    <row r="301" spans="1:14" x14ac:dyDescent="0.25">
      <c r="A301" s="5">
        <v>300</v>
      </c>
      <c r="B301" s="5">
        <f t="shared" si="21"/>
        <v>0</v>
      </c>
      <c r="C301" s="5" t="str">
        <f t="shared" si="20"/>
        <v/>
      </c>
      <c r="D301" s="5" t="str">
        <f>IFERROR(IF(F301&lt;&gt;"",F301,VLOOKUP(MAX(C$2:C301),A$2:F301,2,FALSE)),"")</f>
        <v/>
      </c>
      <c r="E301" s="5" t="str">
        <f t="shared" si="22"/>
        <v/>
      </c>
      <c r="K301" t="str">
        <f>IFERROR(IF(VLOOKUP(E:E,'Old Report'!E:J,6,FALSE)="","",VLOOKUP(E:E,'Old Report'!E:J,6,FALSE)),"")</f>
        <v/>
      </c>
      <c r="L301" t="str">
        <f>IFERROR(IF(VLOOKUP(E:E,'Old Report'!E:L,8,FALSE)="","",VLOOKUP(E:E,'Old Report'!E:L,8,FALSE)),"")</f>
        <v/>
      </c>
      <c r="M301" s="5" t="str">
        <f t="shared" si="23"/>
        <v/>
      </c>
      <c r="N301" s="5" t="str">
        <f t="shared" si="24"/>
        <v/>
      </c>
    </row>
    <row r="302" spans="1:14" x14ac:dyDescent="0.25">
      <c r="A302" s="5">
        <v>301</v>
      </c>
      <c r="B302" s="5">
        <f t="shared" si="21"/>
        <v>0</v>
      </c>
      <c r="C302" s="5" t="str">
        <f t="shared" si="20"/>
        <v/>
      </c>
      <c r="D302" s="5" t="str">
        <f>IFERROR(IF(F302&lt;&gt;"",F302,VLOOKUP(MAX(C$2:C302),A$2:F302,2,FALSE)),"")</f>
        <v/>
      </c>
      <c r="E302" s="5" t="str">
        <f t="shared" si="22"/>
        <v/>
      </c>
      <c r="K302" t="str">
        <f>IFERROR(IF(VLOOKUP(E:E,'Old Report'!E:J,6,FALSE)="","",VLOOKUP(E:E,'Old Report'!E:J,6,FALSE)),"")</f>
        <v/>
      </c>
      <c r="L302" t="str">
        <f>IFERROR(IF(VLOOKUP(E:E,'Old Report'!E:L,8,FALSE)="","",VLOOKUP(E:E,'Old Report'!E:L,8,FALSE)),"")</f>
        <v/>
      </c>
      <c r="M302" s="5" t="str">
        <f t="shared" si="23"/>
        <v/>
      </c>
      <c r="N302" s="5" t="str">
        <f t="shared" si="24"/>
        <v/>
      </c>
    </row>
    <row r="303" spans="1:14" x14ac:dyDescent="0.25">
      <c r="A303" s="5">
        <v>302</v>
      </c>
      <c r="B303" s="5">
        <f t="shared" si="21"/>
        <v>0</v>
      </c>
      <c r="C303" s="5" t="str">
        <f t="shared" si="20"/>
        <v/>
      </c>
      <c r="D303" s="5" t="str">
        <f>IFERROR(IF(F303&lt;&gt;"",F303,VLOOKUP(MAX(C$2:C303),A$2:F303,2,FALSE)),"")</f>
        <v/>
      </c>
      <c r="E303" s="5" t="str">
        <f t="shared" si="22"/>
        <v/>
      </c>
      <c r="K303" t="str">
        <f>IFERROR(IF(VLOOKUP(E:E,'Old Report'!E:J,6,FALSE)="","",VLOOKUP(E:E,'Old Report'!E:J,6,FALSE)),"")</f>
        <v/>
      </c>
      <c r="L303" t="str">
        <f>IFERROR(IF(VLOOKUP(E:E,'Old Report'!E:L,8,FALSE)="","",VLOOKUP(E:E,'Old Report'!E:L,8,FALSE)),"")</f>
        <v/>
      </c>
      <c r="M303" s="5" t="str">
        <f t="shared" si="23"/>
        <v/>
      </c>
      <c r="N303" s="5" t="str">
        <f t="shared" si="24"/>
        <v/>
      </c>
    </row>
    <row r="304" spans="1:14" x14ac:dyDescent="0.25">
      <c r="A304" s="5">
        <v>303</v>
      </c>
      <c r="B304" s="5">
        <f t="shared" si="21"/>
        <v>0</v>
      </c>
      <c r="C304" s="5" t="str">
        <f t="shared" si="20"/>
        <v/>
      </c>
      <c r="D304" s="5" t="str">
        <f>IFERROR(IF(F304&lt;&gt;"",F304,VLOOKUP(MAX(C$2:C304),A$2:F304,2,FALSE)),"")</f>
        <v/>
      </c>
      <c r="E304" s="5" t="str">
        <f t="shared" si="22"/>
        <v/>
      </c>
      <c r="K304" t="str">
        <f>IFERROR(IF(VLOOKUP(E:E,'Old Report'!E:J,6,FALSE)="","",VLOOKUP(E:E,'Old Report'!E:J,6,FALSE)),"")</f>
        <v/>
      </c>
      <c r="L304" t="str">
        <f>IFERROR(IF(VLOOKUP(E:E,'Old Report'!E:L,8,FALSE)="","",VLOOKUP(E:E,'Old Report'!E:L,8,FALSE)),"")</f>
        <v/>
      </c>
      <c r="M304" s="5" t="str">
        <f t="shared" si="23"/>
        <v/>
      </c>
      <c r="N304" s="5" t="str">
        <f t="shared" si="24"/>
        <v/>
      </c>
    </row>
    <row r="305" spans="1:14" x14ac:dyDescent="0.25">
      <c r="A305" s="5">
        <v>304</v>
      </c>
      <c r="B305" s="5">
        <f t="shared" si="21"/>
        <v>0</v>
      </c>
      <c r="C305" s="5" t="str">
        <f t="shared" si="20"/>
        <v/>
      </c>
      <c r="D305" s="5" t="str">
        <f>IFERROR(IF(F305&lt;&gt;"",F305,VLOOKUP(MAX(C$2:C305),A$2:F305,2,FALSE)),"")</f>
        <v/>
      </c>
      <c r="E305" s="5" t="str">
        <f t="shared" si="22"/>
        <v/>
      </c>
      <c r="K305" t="str">
        <f>IFERROR(IF(VLOOKUP(E:E,'Old Report'!E:J,6,FALSE)="","",VLOOKUP(E:E,'Old Report'!E:J,6,FALSE)),"")</f>
        <v/>
      </c>
      <c r="L305" t="str">
        <f>IFERROR(IF(VLOOKUP(E:E,'Old Report'!E:L,8,FALSE)="","",VLOOKUP(E:E,'Old Report'!E:L,8,FALSE)),"")</f>
        <v/>
      </c>
      <c r="M305" s="5" t="str">
        <f t="shared" si="23"/>
        <v/>
      </c>
      <c r="N305" s="5" t="str">
        <f t="shared" si="24"/>
        <v/>
      </c>
    </row>
    <row r="306" spans="1:14" x14ac:dyDescent="0.25">
      <c r="A306" s="5">
        <v>305</v>
      </c>
      <c r="B306" s="5">
        <f t="shared" si="21"/>
        <v>0</v>
      </c>
      <c r="C306" s="5" t="str">
        <f t="shared" si="20"/>
        <v/>
      </c>
      <c r="D306" s="5" t="str">
        <f>IFERROR(IF(F306&lt;&gt;"",F306,VLOOKUP(MAX(C$2:C306),A$2:F306,2,FALSE)),"")</f>
        <v/>
      </c>
      <c r="E306" s="5" t="str">
        <f t="shared" si="22"/>
        <v/>
      </c>
      <c r="K306" t="str">
        <f>IFERROR(IF(VLOOKUP(E:E,'Old Report'!E:J,6,FALSE)="","",VLOOKUP(E:E,'Old Report'!E:J,6,FALSE)),"")</f>
        <v/>
      </c>
      <c r="L306" t="str">
        <f>IFERROR(IF(VLOOKUP(E:E,'Old Report'!E:L,8,FALSE)="","",VLOOKUP(E:E,'Old Report'!E:L,8,FALSE)),"")</f>
        <v/>
      </c>
      <c r="M306" s="5" t="str">
        <f t="shared" si="23"/>
        <v/>
      </c>
      <c r="N306" s="5" t="str">
        <f t="shared" si="24"/>
        <v/>
      </c>
    </row>
    <row r="307" spans="1:14" x14ac:dyDescent="0.25">
      <c r="A307" s="5">
        <v>306</v>
      </c>
      <c r="B307" s="5">
        <f t="shared" si="21"/>
        <v>0</v>
      </c>
      <c r="C307" s="5" t="str">
        <f t="shared" si="20"/>
        <v/>
      </c>
      <c r="D307" s="5" t="str">
        <f>IFERROR(IF(F307&lt;&gt;"",F307,VLOOKUP(MAX(C$2:C307),A$2:F307,2,FALSE)),"")</f>
        <v/>
      </c>
      <c r="E307" s="5" t="str">
        <f t="shared" si="22"/>
        <v/>
      </c>
      <c r="K307" t="str">
        <f>IFERROR(IF(VLOOKUP(E:E,'Old Report'!E:J,6,FALSE)="","",VLOOKUP(E:E,'Old Report'!E:J,6,FALSE)),"")</f>
        <v/>
      </c>
      <c r="L307" t="str">
        <f>IFERROR(IF(VLOOKUP(E:E,'Old Report'!E:L,8,FALSE)="","",VLOOKUP(E:E,'Old Report'!E:L,8,FALSE)),"")</f>
        <v/>
      </c>
      <c r="M307" s="5" t="str">
        <f t="shared" si="23"/>
        <v/>
      </c>
      <c r="N307" s="5" t="str">
        <f t="shared" si="24"/>
        <v/>
      </c>
    </row>
    <row r="308" spans="1:14" x14ac:dyDescent="0.25">
      <c r="A308" s="5">
        <v>307</v>
      </c>
      <c r="B308" s="5">
        <f t="shared" si="21"/>
        <v>0</v>
      </c>
      <c r="C308" s="5" t="str">
        <f t="shared" si="20"/>
        <v/>
      </c>
      <c r="D308" s="5" t="str">
        <f>IFERROR(IF(F308&lt;&gt;"",F308,VLOOKUP(MAX(C$2:C308),A$2:F308,2,FALSE)),"")</f>
        <v/>
      </c>
      <c r="E308" s="5" t="str">
        <f t="shared" si="22"/>
        <v/>
      </c>
      <c r="K308" t="str">
        <f>IFERROR(IF(VLOOKUP(E:E,'Old Report'!E:J,6,FALSE)="","",VLOOKUP(E:E,'Old Report'!E:J,6,FALSE)),"")</f>
        <v/>
      </c>
      <c r="L308" t="str">
        <f>IFERROR(IF(VLOOKUP(E:E,'Old Report'!E:L,8,FALSE)="","",VLOOKUP(E:E,'Old Report'!E:L,8,FALSE)),"")</f>
        <v/>
      </c>
      <c r="M308" s="5" t="str">
        <f t="shared" si="23"/>
        <v/>
      </c>
      <c r="N308" s="5" t="str">
        <f t="shared" si="24"/>
        <v/>
      </c>
    </row>
    <row r="309" spans="1:14" x14ac:dyDescent="0.25">
      <c r="A309" s="5">
        <v>308</v>
      </c>
      <c r="B309" s="5">
        <f t="shared" si="21"/>
        <v>0</v>
      </c>
      <c r="C309" s="5" t="str">
        <f t="shared" si="20"/>
        <v/>
      </c>
      <c r="D309" s="5" t="str">
        <f>IFERROR(IF(F309&lt;&gt;"",F309,VLOOKUP(MAX(C$2:C309),A$2:F309,2,FALSE)),"")</f>
        <v/>
      </c>
      <c r="E309" s="5" t="str">
        <f t="shared" si="22"/>
        <v/>
      </c>
      <c r="K309" t="str">
        <f>IFERROR(IF(VLOOKUP(E:E,'Old Report'!E:J,6,FALSE)="","",VLOOKUP(E:E,'Old Report'!E:J,6,FALSE)),"")</f>
        <v/>
      </c>
      <c r="L309" t="str">
        <f>IFERROR(IF(VLOOKUP(E:E,'Old Report'!E:L,8,FALSE)="","",VLOOKUP(E:E,'Old Report'!E:L,8,FALSE)),"")</f>
        <v/>
      </c>
      <c r="M309" s="5" t="str">
        <f t="shared" si="23"/>
        <v/>
      </c>
      <c r="N309" s="5" t="str">
        <f t="shared" si="24"/>
        <v/>
      </c>
    </row>
    <row r="310" spans="1:14" x14ac:dyDescent="0.25">
      <c r="A310" s="5">
        <v>309</v>
      </c>
      <c r="B310" s="5">
        <f t="shared" si="21"/>
        <v>0</v>
      </c>
      <c r="C310" s="5" t="str">
        <f t="shared" si="20"/>
        <v/>
      </c>
      <c r="D310" s="5" t="str">
        <f>IFERROR(IF(F310&lt;&gt;"",F310,VLOOKUP(MAX(C$2:C310),A$2:F310,2,FALSE)),"")</f>
        <v/>
      </c>
      <c r="E310" s="5" t="str">
        <f t="shared" si="22"/>
        <v/>
      </c>
      <c r="K310" t="str">
        <f>IFERROR(IF(VLOOKUP(E:E,'Old Report'!E:J,6,FALSE)="","",VLOOKUP(E:E,'Old Report'!E:J,6,FALSE)),"")</f>
        <v/>
      </c>
      <c r="L310" t="str">
        <f>IFERROR(IF(VLOOKUP(E:E,'Old Report'!E:L,8,FALSE)="","",VLOOKUP(E:E,'Old Report'!E:L,8,FALSE)),"")</f>
        <v/>
      </c>
      <c r="M310" s="5" t="str">
        <f t="shared" si="23"/>
        <v/>
      </c>
      <c r="N310" s="5" t="str">
        <f t="shared" si="24"/>
        <v/>
      </c>
    </row>
    <row r="311" spans="1:14" x14ac:dyDescent="0.25">
      <c r="A311" s="5">
        <v>310</v>
      </c>
      <c r="B311" s="5">
        <f t="shared" si="21"/>
        <v>0</v>
      </c>
      <c r="C311" s="5" t="str">
        <f t="shared" si="20"/>
        <v/>
      </c>
      <c r="D311" s="5" t="str">
        <f>IFERROR(IF(F311&lt;&gt;"",F311,VLOOKUP(MAX(C$2:C311),A$2:F311,2,FALSE)),"")</f>
        <v/>
      </c>
      <c r="E311" s="5" t="str">
        <f t="shared" si="22"/>
        <v/>
      </c>
      <c r="K311" t="str">
        <f>IFERROR(IF(VLOOKUP(E:E,'Old Report'!E:J,6,FALSE)="","",VLOOKUP(E:E,'Old Report'!E:J,6,FALSE)),"")</f>
        <v/>
      </c>
      <c r="L311" t="str">
        <f>IFERROR(IF(VLOOKUP(E:E,'Old Report'!E:L,8,FALSE)="","",VLOOKUP(E:E,'Old Report'!E:L,8,FALSE)),"")</f>
        <v/>
      </c>
      <c r="M311" s="5" t="str">
        <f t="shared" si="23"/>
        <v/>
      </c>
      <c r="N311" s="5" t="str">
        <f t="shared" si="24"/>
        <v/>
      </c>
    </row>
    <row r="312" spans="1:14" x14ac:dyDescent="0.25">
      <c r="A312" s="5">
        <v>311</v>
      </c>
      <c r="B312" s="5">
        <f t="shared" si="21"/>
        <v>0</v>
      </c>
      <c r="C312" s="5" t="str">
        <f t="shared" si="20"/>
        <v/>
      </c>
      <c r="D312" s="5" t="str">
        <f>IFERROR(IF(F312&lt;&gt;"",F312,VLOOKUP(MAX(C$2:C312),A$2:F312,2,FALSE)),"")</f>
        <v/>
      </c>
      <c r="E312" s="5" t="str">
        <f t="shared" si="22"/>
        <v/>
      </c>
      <c r="K312" t="str">
        <f>IFERROR(IF(VLOOKUP(E:E,'Old Report'!E:J,6,FALSE)="","",VLOOKUP(E:E,'Old Report'!E:J,6,FALSE)),"")</f>
        <v/>
      </c>
      <c r="L312" t="str">
        <f>IFERROR(IF(VLOOKUP(E:E,'Old Report'!E:L,8,FALSE)="","",VLOOKUP(E:E,'Old Report'!E:L,8,FALSE)),"")</f>
        <v/>
      </c>
      <c r="M312" s="5" t="str">
        <f t="shared" si="23"/>
        <v/>
      </c>
      <c r="N312" s="5" t="str">
        <f t="shared" si="24"/>
        <v/>
      </c>
    </row>
    <row r="313" spans="1:14" x14ac:dyDescent="0.25">
      <c r="A313" s="5">
        <v>312</v>
      </c>
      <c r="B313" s="5">
        <f t="shared" si="21"/>
        <v>0</v>
      </c>
      <c r="C313" s="5" t="str">
        <f t="shared" si="20"/>
        <v/>
      </c>
      <c r="D313" s="5" t="str">
        <f>IFERROR(IF(F313&lt;&gt;"",F313,VLOOKUP(MAX(C$2:C313),A$2:F313,2,FALSE)),"")</f>
        <v/>
      </c>
      <c r="E313" s="5" t="str">
        <f t="shared" si="22"/>
        <v/>
      </c>
      <c r="K313" t="str">
        <f>IFERROR(IF(VLOOKUP(E:E,'Old Report'!E:J,6,FALSE)="","",VLOOKUP(E:E,'Old Report'!E:J,6,FALSE)),"")</f>
        <v/>
      </c>
      <c r="L313" t="str">
        <f>IFERROR(IF(VLOOKUP(E:E,'Old Report'!E:L,8,FALSE)="","",VLOOKUP(E:E,'Old Report'!E:L,8,FALSE)),"")</f>
        <v/>
      </c>
      <c r="M313" s="5" t="str">
        <f t="shared" si="23"/>
        <v/>
      </c>
      <c r="N313" s="5" t="str">
        <f t="shared" si="24"/>
        <v/>
      </c>
    </row>
    <row r="314" spans="1:14" x14ac:dyDescent="0.25">
      <c r="A314" s="5">
        <v>313</v>
      </c>
      <c r="B314" s="5">
        <f t="shared" si="21"/>
        <v>0</v>
      </c>
      <c r="C314" s="5" t="str">
        <f t="shared" si="20"/>
        <v/>
      </c>
      <c r="D314" s="5" t="str">
        <f>IFERROR(IF(F314&lt;&gt;"",F314,VLOOKUP(MAX(C$2:C314),A$2:F314,2,FALSE)),"")</f>
        <v/>
      </c>
      <c r="E314" s="5" t="str">
        <f t="shared" si="22"/>
        <v/>
      </c>
      <c r="K314" t="str">
        <f>IFERROR(IF(VLOOKUP(E:E,'Old Report'!E:J,6,FALSE)="","",VLOOKUP(E:E,'Old Report'!E:J,6,FALSE)),"")</f>
        <v/>
      </c>
      <c r="L314" t="str">
        <f>IFERROR(IF(VLOOKUP(E:E,'Old Report'!E:L,8,FALSE)="","",VLOOKUP(E:E,'Old Report'!E:L,8,FALSE)),"")</f>
        <v/>
      </c>
      <c r="M314" s="5" t="str">
        <f t="shared" si="23"/>
        <v/>
      </c>
      <c r="N314" s="5" t="str">
        <f t="shared" si="24"/>
        <v/>
      </c>
    </row>
    <row r="315" spans="1:14" x14ac:dyDescent="0.25">
      <c r="A315" s="5">
        <v>314</v>
      </c>
      <c r="B315" s="5">
        <f t="shared" si="21"/>
        <v>0</v>
      </c>
      <c r="C315" s="5" t="str">
        <f t="shared" si="20"/>
        <v/>
      </c>
      <c r="D315" s="5" t="str">
        <f>IFERROR(IF(F315&lt;&gt;"",F315,VLOOKUP(MAX(C$2:C315),A$2:F315,2,FALSE)),"")</f>
        <v/>
      </c>
      <c r="E315" s="5" t="str">
        <f t="shared" si="22"/>
        <v/>
      </c>
      <c r="K315" t="str">
        <f>IFERROR(IF(VLOOKUP(E:E,'Old Report'!E:J,6,FALSE)="","",VLOOKUP(E:E,'Old Report'!E:J,6,FALSE)),"")</f>
        <v/>
      </c>
      <c r="L315" t="str">
        <f>IFERROR(IF(VLOOKUP(E:E,'Old Report'!E:L,8,FALSE)="","",VLOOKUP(E:E,'Old Report'!E:L,8,FALSE)),"")</f>
        <v/>
      </c>
      <c r="M315" s="5" t="str">
        <f t="shared" si="23"/>
        <v/>
      </c>
      <c r="N315" s="5" t="str">
        <f t="shared" si="24"/>
        <v/>
      </c>
    </row>
    <row r="316" spans="1:14" x14ac:dyDescent="0.25">
      <c r="A316" s="5">
        <v>315</v>
      </c>
      <c r="B316" s="5">
        <f t="shared" si="21"/>
        <v>0</v>
      </c>
      <c r="C316" s="5" t="str">
        <f t="shared" si="20"/>
        <v/>
      </c>
      <c r="D316" s="5" t="str">
        <f>IFERROR(IF(F316&lt;&gt;"",F316,VLOOKUP(MAX(C$2:C316),A$2:F316,2,FALSE)),"")</f>
        <v/>
      </c>
      <c r="E316" s="5" t="str">
        <f t="shared" si="22"/>
        <v/>
      </c>
      <c r="K316" t="str">
        <f>IFERROR(IF(VLOOKUP(E:E,'Old Report'!E:J,6,FALSE)="","",VLOOKUP(E:E,'Old Report'!E:J,6,FALSE)),"")</f>
        <v/>
      </c>
      <c r="L316" t="str">
        <f>IFERROR(IF(VLOOKUP(E:E,'Old Report'!E:L,8,FALSE)="","",VLOOKUP(E:E,'Old Report'!E:L,8,FALSE)),"")</f>
        <v/>
      </c>
      <c r="M316" s="5" t="str">
        <f t="shared" si="23"/>
        <v/>
      </c>
      <c r="N316" s="5" t="str">
        <f t="shared" si="24"/>
        <v/>
      </c>
    </row>
    <row r="317" spans="1:14" x14ac:dyDescent="0.25">
      <c r="A317" s="5">
        <v>316</v>
      </c>
      <c r="B317" s="5">
        <f t="shared" si="21"/>
        <v>0</v>
      </c>
      <c r="C317" s="5" t="str">
        <f t="shared" si="20"/>
        <v/>
      </c>
      <c r="D317" s="5" t="str">
        <f>IFERROR(IF(F317&lt;&gt;"",F317,VLOOKUP(MAX(C$2:C317),A$2:F317,2,FALSE)),"")</f>
        <v/>
      </c>
      <c r="E317" s="5" t="str">
        <f t="shared" si="22"/>
        <v/>
      </c>
      <c r="K317" t="str">
        <f>IFERROR(IF(VLOOKUP(E:E,'Old Report'!E:J,6,FALSE)="","",VLOOKUP(E:E,'Old Report'!E:J,6,FALSE)),"")</f>
        <v/>
      </c>
      <c r="L317" t="str">
        <f>IFERROR(IF(VLOOKUP(E:E,'Old Report'!E:L,8,FALSE)="","",VLOOKUP(E:E,'Old Report'!E:L,8,FALSE)),"")</f>
        <v/>
      </c>
      <c r="M317" s="5" t="str">
        <f t="shared" si="23"/>
        <v/>
      </c>
      <c r="N317" s="5" t="str">
        <f t="shared" si="24"/>
        <v/>
      </c>
    </row>
    <row r="318" spans="1:14" x14ac:dyDescent="0.25">
      <c r="A318" s="5">
        <v>317</v>
      </c>
      <c r="B318" s="5">
        <f t="shared" si="21"/>
        <v>0</v>
      </c>
      <c r="C318" s="5" t="str">
        <f t="shared" si="20"/>
        <v/>
      </c>
      <c r="D318" s="5" t="str">
        <f>IFERROR(IF(F318&lt;&gt;"",F318,VLOOKUP(MAX(C$2:C318),A$2:F318,2,FALSE)),"")</f>
        <v/>
      </c>
      <c r="E318" s="5" t="str">
        <f t="shared" si="22"/>
        <v/>
      </c>
      <c r="K318" t="str">
        <f>IFERROR(IF(VLOOKUP(E:E,'Old Report'!E:J,6,FALSE)="","",VLOOKUP(E:E,'Old Report'!E:J,6,FALSE)),"")</f>
        <v/>
      </c>
      <c r="L318" t="str">
        <f>IFERROR(IF(VLOOKUP(E:E,'Old Report'!E:L,8,FALSE)="","",VLOOKUP(E:E,'Old Report'!E:L,8,FALSE)),"")</f>
        <v/>
      </c>
      <c r="M318" s="5" t="str">
        <f t="shared" si="23"/>
        <v/>
      </c>
      <c r="N318" s="5" t="str">
        <f t="shared" si="24"/>
        <v/>
      </c>
    </row>
    <row r="319" spans="1:14" x14ac:dyDescent="0.25">
      <c r="A319" s="5">
        <v>318</v>
      </c>
      <c r="B319" s="5">
        <f t="shared" si="21"/>
        <v>0</v>
      </c>
      <c r="C319" s="5" t="str">
        <f t="shared" si="20"/>
        <v/>
      </c>
      <c r="D319" s="5" t="str">
        <f>IFERROR(IF(F319&lt;&gt;"",F319,VLOOKUP(MAX(C$2:C319),A$2:F319,2,FALSE)),"")</f>
        <v/>
      </c>
      <c r="E319" s="5" t="str">
        <f t="shared" si="22"/>
        <v/>
      </c>
      <c r="K319" t="str">
        <f>IFERROR(IF(VLOOKUP(E:E,'Old Report'!E:J,6,FALSE)="","",VLOOKUP(E:E,'Old Report'!E:J,6,FALSE)),"")</f>
        <v/>
      </c>
      <c r="L319" t="str">
        <f>IFERROR(IF(VLOOKUP(E:E,'Old Report'!E:L,8,FALSE)="","",VLOOKUP(E:E,'Old Report'!E:L,8,FALSE)),"")</f>
        <v/>
      </c>
      <c r="M319" s="5" t="str">
        <f t="shared" si="23"/>
        <v/>
      </c>
      <c r="N319" s="5" t="str">
        <f t="shared" si="24"/>
        <v/>
      </c>
    </row>
    <row r="320" spans="1:14" x14ac:dyDescent="0.25">
      <c r="A320" s="5">
        <v>319</v>
      </c>
      <c r="B320" s="5">
        <f t="shared" si="21"/>
        <v>0</v>
      </c>
      <c r="C320" s="5" t="str">
        <f t="shared" si="20"/>
        <v/>
      </c>
      <c r="D320" s="5" t="str">
        <f>IFERROR(IF(F320&lt;&gt;"",F320,VLOOKUP(MAX(C$2:C320),A$2:F320,2,FALSE)),"")</f>
        <v/>
      </c>
      <c r="E320" s="5" t="str">
        <f t="shared" si="22"/>
        <v/>
      </c>
      <c r="K320" t="str">
        <f>IFERROR(IF(VLOOKUP(E:E,'Old Report'!E:J,6,FALSE)="","",VLOOKUP(E:E,'Old Report'!E:J,6,FALSE)),"")</f>
        <v/>
      </c>
      <c r="L320" t="str">
        <f>IFERROR(IF(VLOOKUP(E:E,'Old Report'!E:L,8,FALSE)="","",VLOOKUP(E:E,'Old Report'!E:L,8,FALSE)),"")</f>
        <v/>
      </c>
      <c r="M320" s="5" t="str">
        <f t="shared" si="23"/>
        <v/>
      </c>
      <c r="N320" s="5" t="str">
        <f t="shared" si="24"/>
        <v/>
      </c>
    </row>
    <row r="321" spans="1:14" x14ac:dyDescent="0.25">
      <c r="A321" s="5">
        <v>320</v>
      </c>
      <c r="B321" s="5">
        <f t="shared" si="21"/>
        <v>0</v>
      </c>
      <c r="C321" s="5" t="str">
        <f t="shared" si="20"/>
        <v/>
      </c>
      <c r="D321" s="5" t="str">
        <f>IFERROR(IF(F321&lt;&gt;"",F321,VLOOKUP(MAX(C$2:C321),A$2:F321,2,FALSE)),"")</f>
        <v/>
      </c>
      <c r="E321" s="5" t="str">
        <f t="shared" si="22"/>
        <v/>
      </c>
      <c r="K321" t="str">
        <f>IFERROR(IF(VLOOKUP(E:E,'Old Report'!E:J,6,FALSE)="","",VLOOKUP(E:E,'Old Report'!E:J,6,FALSE)),"")</f>
        <v/>
      </c>
      <c r="L321" t="str">
        <f>IFERROR(IF(VLOOKUP(E:E,'Old Report'!E:L,8,FALSE)="","",VLOOKUP(E:E,'Old Report'!E:L,8,FALSE)),"")</f>
        <v/>
      </c>
      <c r="M321" s="5" t="str">
        <f t="shared" si="23"/>
        <v/>
      </c>
      <c r="N321" s="5" t="str">
        <f t="shared" si="24"/>
        <v/>
      </c>
    </row>
    <row r="322" spans="1:14" x14ac:dyDescent="0.25">
      <c r="A322" s="5">
        <v>321</v>
      </c>
      <c r="B322" s="5">
        <f t="shared" si="21"/>
        <v>0</v>
      </c>
      <c r="C322" s="5" t="str">
        <f t="shared" ref="C322:C385" si="25">IF(F322&lt;&gt;"",A322,"")</f>
        <v/>
      </c>
      <c r="D322" s="5" t="str">
        <f>IFERROR(IF(F322&lt;&gt;"",F322,VLOOKUP(MAX(C$2:C322),A$2:F322,2,FALSE)),"")</f>
        <v/>
      </c>
      <c r="E322" s="5" t="str">
        <f t="shared" si="22"/>
        <v/>
      </c>
      <c r="K322" t="str">
        <f>IFERROR(IF(VLOOKUP(E:E,'Old Report'!E:J,6,FALSE)="","",VLOOKUP(E:E,'Old Report'!E:J,6,FALSE)),"")</f>
        <v/>
      </c>
      <c r="L322" t="str">
        <f>IFERROR(IF(VLOOKUP(E:E,'Old Report'!E:L,8,FALSE)="","",VLOOKUP(E:E,'Old Report'!E:L,8,FALSE)),"")</f>
        <v/>
      </c>
      <c r="M322" s="5" t="str">
        <f t="shared" si="23"/>
        <v/>
      </c>
      <c r="N322" s="5" t="str">
        <f t="shared" si="24"/>
        <v/>
      </c>
    </row>
    <row r="323" spans="1:14" x14ac:dyDescent="0.25">
      <c r="A323" s="5">
        <v>322</v>
      </c>
      <c r="B323" s="5">
        <f t="shared" ref="B323:B386" si="26">IF(F324&lt;&gt;"",F324,F323)</f>
        <v>0</v>
      </c>
      <c r="C323" s="5" t="str">
        <f t="shared" si="25"/>
        <v/>
      </c>
      <c r="D323" s="5" t="str">
        <f>IFERROR(IF(F323&lt;&gt;"",F323,VLOOKUP(MAX(C$2:C323),A$2:F323,2,FALSE)),"")</f>
        <v/>
      </c>
      <c r="E323" s="5" t="str">
        <f t="shared" ref="E323:E386" si="27">IF(H323&lt;&gt;"",CONCATENATE(D323,".",H323),"")</f>
        <v/>
      </c>
      <c r="K323" t="str">
        <f>IFERROR(IF(VLOOKUP(E:E,'Old Report'!E:J,6,FALSE)="","",VLOOKUP(E:E,'Old Report'!E:J,6,FALSE)),"")</f>
        <v/>
      </c>
      <c r="L323" t="str">
        <f>IFERROR(IF(VLOOKUP(E:E,'Old Report'!E:L,8,FALSE)="","",VLOOKUP(E:E,'Old Report'!E:L,8,FALSE)),"")</f>
        <v/>
      </c>
      <c r="M323" s="5" t="str">
        <f t="shared" si="23"/>
        <v/>
      </c>
      <c r="N323" s="5" t="str">
        <f t="shared" si="24"/>
        <v/>
      </c>
    </row>
    <row r="324" spans="1:14" x14ac:dyDescent="0.25">
      <c r="A324" s="5">
        <v>323</v>
      </c>
      <c r="B324" s="5">
        <f t="shared" si="26"/>
        <v>0</v>
      </c>
      <c r="C324" s="5" t="str">
        <f t="shared" si="25"/>
        <v/>
      </c>
      <c r="D324" s="5" t="str">
        <f>IFERROR(IF(F324&lt;&gt;"",F324,VLOOKUP(MAX(C$2:C324),A$2:F324,2,FALSE)),"")</f>
        <v/>
      </c>
      <c r="E324" s="5" t="str">
        <f t="shared" si="27"/>
        <v/>
      </c>
      <c r="K324" t="str">
        <f>IFERROR(IF(VLOOKUP(E:E,'Old Report'!E:J,6,FALSE)="","",VLOOKUP(E:E,'Old Report'!E:J,6,FALSE)),"")</f>
        <v/>
      </c>
      <c r="L324" t="str">
        <f>IFERROR(IF(VLOOKUP(E:E,'Old Report'!E:L,8,FALSE)="","",VLOOKUP(E:E,'Old Report'!E:L,8,FALSE)),"")</f>
        <v/>
      </c>
      <c r="M324" s="5" t="str">
        <f t="shared" ref="M324:M387" si="28">IFERROR(L324,"")</f>
        <v/>
      </c>
      <c r="N324" s="5" t="str">
        <f t="shared" ref="N324:N387" si="29">IFERROR( IF(J324&lt;&gt;"",IF(K324 &lt;&gt; "",IF(J324 = K324,"No Change",IF(J324 &lt; K324,CONCATENATE("Issues reduced from ",K324," to ",J324),IF(J324&gt;K324,CONCATENATE("Issues increased from ",K324," to ",J324),""))),"New issue - needs to be checked"),""),"")</f>
        <v/>
      </c>
    </row>
    <row r="325" spans="1:14" x14ac:dyDescent="0.25">
      <c r="A325" s="5">
        <v>324</v>
      </c>
      <c r="B325" s="5">
        <f t="shared" si="26"/>
        <v>0</v>
      </c>
      <c r="C325" s="5" t="str">
        <f t="shared" si="25"/>
        <v/>
      </c>
      <c r="D325" s="5" t="str">
        <f>IFERROR(IF(F325&lt;&gt;"",F325,VLOOKUP(MAX(C$2:C325),A$2:F325,2,FALSE)),"")</f>
        <v/>
      </c>
      <c r="E325" s="5" t="str">
        <f t="shared" si="27"/>
        <v/>
      </c>
      <c r="K325" t="str">
        <f>IFERROR(IF(VLOOKUP(E:E,'Old Report'!E:J,6,FALSE)="","",VLOOKUP(E:E,'Old Report'!E:J,6,FALSE)),"")</f>
        <v/>
      </c>
      <c r="L325" t="str">
        <f>IFERROR(IF(VLOOKUP(E:E,'Old Report'!E:L,8,FALSE)="","",VLOOKUP(E:E,'Old Report'!E:L,8,FALSE)),"")</f>
        <v/>
      </c>
      <c r="M325" s="5" t="str">
        <f t="shared" si="28"/>
        <v/>
      </c>
      <c r="N325" s="5" t="str">
        <f t="shared" si="29"/>
        <v/>
      </c>
    </row>
    <row r="326" spans="1:14" x14ac:dyDescent="0.25">
      <c r="A326" s="5">
        <v>325</v>
      </c>
      <c r="B326" s="5">
        <f t="shared" si="26"/>
        <v>0</v>
      </c>
      <c r="C326" s="5" t="str">
        <f t="shared" si="25"/>
        <v/>
      </c>
      <c r="D326" s="5" t="str">
        <f>IFERROR(IF(F326&lt;&gt;"",F326,VLOOKUP(MAX(C$2:C326),A$2:F326,2,FALSE)),"")</f>
        <v/>
      </c>
      <c r="E326" s="5" t="str">
        <f t="shared" si="27"/>
        <v/>
      </c>
      <c r="K326" t="str">
        <f>IFERROR(IF(VLOOKUP(E:E,'Old Report'!E:J,6,FALSE)="","",VLOOKUP(E:E,'Old Report'!E:J,6,FALSE)),"")</f>
        <v/>
      </c>
      <c r="L326" t="str">
        <f>IFERROR(IF(VLOOKUP(E:E,'Old Report'!E:L,8,FALSE)="","",VLOOKUP(E:E,'Old Report'!E:L,8,FALSE)),"")</f>
        <v/>
      </c>
      <c r="M326" s="5" t="str">
        <f t="shared" si="28"/>
        <v/>
      </c>
      <c r="N326" s="5" t="str">
        <f t="shared" si="29"/>
        <v/>
      </c>
    </row>
    <row r="327" spans="1:14" x14ac:dyDescent="0.25">
      <c r="A327" s="5">
        <v>326</v>
      </c>
      <c r="B327" s="5">
        <f t="shared" si="26"/>
        <v>0</v>
      </c>
      <c r="C327" s="5" t="str">
        <f t="shared" si="25"/>
        <v/>
      </c>
      <c r="D327" s="5" t="str">
        <f>IFERROR(IF(F327&lt;&gt;"",F327,VLOOKUP(MAX(C$2:C327),A$2:F327,2,FALSE)),"")</f>
        <v/>
      </c>
      <c r="E327" s="5" t="str">
        <f t="shared" si="27"/>
        <v/>
      </c>
      <c r="K327" t="str">
        <f>IFERROR(IF(VLOOKUP(E:E,'Old Report'!E:J,6,FALSE)="","",VLOOKUP(E:E,'Old Report'!E:J,6,FALSE)),"")</f>
        <v/>
      </c>
      <c r="L327" t="str">
        <f>IFERROR(IF(VLOOKUP(E:E,'Old Report'!E:L,8,FALSE)="","",VLOOKUP(E:E,'Old Report'!E:L,8,FALSE)),"")</f>
        <v/>
      </c>
      <c r="M327" s="5" t="str">
        <f t="shared" si="28"/>
        <v/>
      </c>
      <c r="N327" s="5" t="str">
        <f t="shared" si="29"/>
        <v/>
      </c>
    </row>
    <row r="328" spans="1:14" x14ac:dyDescent="0.25">
      <c r="A328" s="5">
        <v>327</v>
      </c>
      <c r="B328" s="5">
        <f t="shared" si="26"/>
        <v>0</v>
      </c>
      <c r="C328" s="5" t="str">
        <f t="shared" si="25"/>
        <v/>
      </c>
      <c r="D328" s="5" t="str">
        <f>IFERROR(IF(F328&lt;&gt;"",F328,VLOOKUP(MAX(C$2:C328),A$2:F328,2,FALSE)),"")</f>
        <v/>
      </c>
      <c r="E328" s="5" t="str">
        <f t="shared" si="27"/>
        <v/>
      </c>
      <c r="K328" t="str">
        <f>IFERROR(IF(VLOOKUP(E:E,'Old Report'!E:J,6,FALSE)="","",VLOOKUP(E:E,'Old Report'!E:J,6,FALSE)),"")</f>
        <v/>
      </c>
      <c r="L328" t="str">
        <f>IFERROR(IF(VLOOKUP(E:E,'Old Report'!E:L,8,FALSE)="","",VLOOKUP(E:E,'Old Report'!E:L,8,FALSE)),"")</f>
        <v/>
      </c>
      <c r="M328" s="5" t="str">
        <f t="shared" si="28"/>
        <v/>
      </c>
      <c r="N328" s="5" t="str">
        <f t="shared" si="29"/>
        <v/>
      </c>
    </row>
    <row r="329" spans="1:14" x14ac:dyDescent="0.25">
      <c r="A329" s="5">
        <v>328</v>
      </c>
      <c r="B329" s="5">
        <f t="shared" si="26"/>
        <v>0</v>
      </c>
      <c r="C329" s="5" t="str">
        <f t="shared" si="25"/>
        <v/>
      </c>
      <c r="D329" s="5" t="str">
        <f>IFERROR(IF(F329&lt;&gt;"",F329,VLOOKUP(MAX(C$2:C329),A$2:F329,2,FALSE)),"")</f>
        <v/>
      </c>
      <c r="E329" s="5" t="str">
        <f t="shared" si="27"/>
        <v/>
      </c>
      <c r="K329" t="str">
        <f>IFERROR(IF(VLOOKUP(E:E,'Old Report'!E:J,6,FALSE)="","",VLOOKUP(E:E,'Old Report'!E:J,6,FALSE)),"")</f>
        <v/>
      </c>
      <c r="L329" t="str">
        <f>IFERROR(IF(VLOOKUP(E:E,'Old Report'!E:L,8,FALSE)="","",VLOOKUP(E:E,'Old Report'!E:L,8,FALSE)),"")</f>
        <v/>
      </c>
      <c r="M329" s="5" t="str">
        <f t="shared" si="28"/>
        <v/>
      </c>
      <c r="N329" s="5" t="str">
        <f t="shared" si="29"/>
        <v/>
      </c>
    </row>
    <row r="330" spans="1:14" x14ac:dyDescent="0.25">
      <c r="A330" s="5">
        <v>329</v>
      </c>
      <c r="B330" s="5">
        <f t="shared" si="26"/>
        <v>0</v>
      </c>
      <c r="C330" s="5" t="str">
        <f t="shared" si="25"/>
        <v/>
      </c>
      <c r="D330" s="5" t="str">
        <f>IFERROR(IF(F330&lt;&gt;"",F330,VLOOKUP(MAX(C$2:C330),A$2:F330,2,FALSE)),"")</f>
        <v/>
      </c>
      <c r="E330" s="5" t="str">
        <f t="shared" si="27"/>
        <v/>
      </c>
      <c r="K330" t="str">
        <f>IFERROR(IF(VLOOKUP(E:E,'Old Report'!E:J,6,FALSE)="","",VLOOKUP(E:E,'Old Report'!E:J,6,FALSE)),"")</f>
        <v/>
      </c>
      <c r="L330" t="str">
        <f>IFERROR(IF(VLOOKUP(E:E,'Old Report'!E:L,8,FALSE)="","",VLOOKUP(E:E,'Old Report'!E:L,8,FALSE)),"")</f>
        <v/>
      </c>
      <c r="M330" s="5" t="str">
        <f t="shared" si="28"/>
        <v/>
      </c>
      <c r="N330" s="5" t="str">
        <f t="shared" si="29"/>
        <v/>
      </c>
    </row>
    <row r="331" spans="1:14" x14ac:dyDescent="0.25">
      <c r="A331" s="5">
        <v>330</v>
      </c>
      <c r="B331" s="5">
        <f t="shared" si="26"/>
        <v>0</v>
      </c>
      <c r="C331" s="5" t="str">
        <f t="shared" si="25"/>
        <v/>
      </c>
      <c r="D331" s="5" t="str">
        <f>IFERROR(IF(F331&lt;&gt;"",F331,VLOOKUP(MAX(C$2:C331),A$2:F331,2,FALSE)),"")</f>
        <v/>
      </c>
      <c r="E331" s="5" t="str">
        <f t="shared" si="27"/>
        <v/>
      </c>
      <c r="K331" t="str">
        <f>IFERROR(IF(VLOOKUP(E:E,'Old Report'!E:J,6,FALSE)="","",VLOOKUP(E:E,'Old Report'!E:J,6,FALSE)),"")</f>
        <v/>
      </c>
      <c r="L331" t="str">
        <f>IFERROR(IF(VLOOKUP(E:E,'Old Report'!E:L,8,FALSE)="","",VLOOKUP(E:E,'Old Report'!E:L,8,FALSE)),"")</f>
        <v/>
      </c>
      <c r="M331" s="5" t="str">
        <f t="shared" si="28"/>
        <v/>
      </c>
      <c r="N331" s="5" t="str">
        <f t="shared" si="29"/>
        <v/>
      </c>
    </row>
    <row r="332" spans="1:14" x14ac:dyDescent="0.25">
      <c r="A332" s="5">
        <v>331</v>
      </c>
      <c r="B332" s="5">
        <f t="shared" si="26"/>
        <v>0</v>
      </c>
      <c r="C332" s="5" t="str">
        <f t="shared" si="25"/>
        <v/>
      </c>
      <c r="D332" s="5" t="str">
        <f>IFERROR(IF(F332&lt;&gt;"",F332,VLOOKUP(MAX(C$2:C332),A$2:F332,2,FALSE)),"")</f>
        <v/>
      </c>
      <c r="E332" s="5" t="str">
        <f t="shared" si="27"/>
        <v/>
      </c>
      <c r="K332" t="str">
        <f>IFERROR(IF(VLOOKUP(E:E,'Old Report'!E:J,6,FALSE)="","",VLOOKUP(E:E,'Old Report'!E:J,6,FALSE)),"")</f>
        <v/>
      </c>
      <c r="L332" t="str">
        <f>IFERROR(IF(VLOOKUP(E:E,'Old Report'!E:L,8,FALSE)="","",VLOOKUP(E:E,'Old Report'!E:L,8,FALSE)),"")</f>
        <v/>
      </c>
      <c r="M332" s="5" t="str">
        <f t="shared" si="28"/>
        <v/>
      </c>
      <c r="N332" s="5" t="str">
        <f t="shared" si="29"/>
        <v/>
      </c>
    </row>
    <row r="333" spans="1:14" x14ac:dyDescent="0.25">
      <c r="A333" s="5">
        <v>332</v>
      </c>
      <c r="B333" s="5">
        <f t="shared" si="26"/>
        <v>0</v>
      </c>
      <c r="C333" s="5" t="str">
        <f t="shared" si="25"/>
        <v/>
      </c>
      <c r="D333" s="5" t="str">
        <f>IFERROR(IF(F333&lt;&gt;"",F333,VLOOKUP(MAX(C$2:C333),A$2:F333,2,FALSE)),"")</f>
        <v/>
      </c>
      <c r="E333" s="5" t="str">
        <f t="shared" si="27"/>
        <v/>
      </c>
      <c r="K333" t="str">
        <f>IFERROR(IF(VLOOKUP(E:E,'Old Report'!E:J,6,FALSE)="","",VLOOKUP(E:E,'Old Report'!E:J,6,FALSE)),"")</f>
        <v/>
      </c>
      <c r="L333" t="str">
        <f>IFERROR(IF(VLOOKUP(E:E,'Old Report'!E:L,8,FALSE)="","",VLOOKUP(E:E,'Old Report'!E:L,8,FALSE)),"")</f>
        <v/>
      </c>
      <c r="M333" s="5" t="str">
        <f t="shared" si="28"/>
        <v/>
      </c>
      <c r="N333" s="5" t="str">
        <f t="shared" si="29"/>
        <v/>
      </c>
    </row>
    <row r="334" spans="1:14" x14ac:dyDescent="0.25">
      <c r="A334" s="5">
        <v>333</v>
      </c>
      <c r="B334" s="5">
        <f t="shared" si="26"/>
        <v>0</v>
      </c>
      <c r="C334" s="5" t="str">
        <f t="shared" si="25"/>
        <v/>
      </c>
      <c r="D334" s="5" t="str">
        <f>IFERROR(IF(F334&lt;&gt;"",F334,VLOOKUP(MAX(C$2:C334),A$2:F334,2,FALSE)),"")</f>
        <v/>
      </c>
      <c r="E334" s="5" t="str">
        <f t="shared" si="27"/>
        <v/>
      </c>
      <c r="K334" t="str">
        <f>IFERROR(IF(VLOOKUP(E:E,'Old Report'!E:J,6,FALSE)="","",VLOOKUP(E:E,'Old Report'!E:J,6,FALSE)),"")</f>
        <v/>
      </c>
      <c r="L334" t="str">
        <f>IFERROR(IF(VLOOKUP(E:E,'Old Report'!E:L,8,FALSE)="","",VLOOKUP(E:E,'Old Report'!E:L,8,FALSE)),"")</f>
        <v/>
      </c>
      <c r="M334" s="5" t="str">
        <f t="shared" si="28"/>
        <v/>
      </c>
      <c r="N334" s="5" t="str">
        <f t="shared" si="29"/>
        <v/>
      </c>
    </row>
    <row r="335" spans="1:14" x14ac:dyDescent="0.25">
      <c r="A335" s="5">
        <v>334</v>
      </c>
      <c r="B335" s="5">
        <f t="shared" si="26"/>
        <v>0</v>
      </c>
      <c r="C335" s="5" t="str">
        <f t="shared" si="25"/>
        <v/>
      </c>
      <c r="D335" s="5" t="str">
        <f>IFERROR(IF(F335&lt;&gt;"",F335,VLOOKUP(MAX(C$2:C335),A$2:F335,2,FALSE)),"")</f>
        <v/>
      </c>
      <c r="E335" s="5" t="str">
        <f t="shared" si="27"/>
        <v/>
      </c>
      <c r="K335" t="str">
        <f>IFERROR(IF(VLOOKUP(E:E,'Old Report'!E:J,6,FALSE)="","",VLOOKUP(E:E,'Old Report'!E:J,6,FALSE)),"")</f>
        <v/>
      </c>
      <c r="L335" t="str">
        <f>IFERROR(IF(VLOOKUP(E:E,'Old Report'!E:L,8,FALSE)="","",VLOOKUP(E:E,'Old Report'!E:L,8,FALSE)),"")</f>
        <v/>
      </c>
      <c r="M335" s="5" t="str">
        <f t="shared" si="28"/>
        <v/>
      </c>
      <c r="N335" s="5" t="str">
        <f t="shared" si="29"/>
        <v/>
      </c>
    </row>
    <row r="336" spans="1:14" x14ac:dyDescent="0.25">
      <c r="A336" s="5">
        <v>335</v>
      </c>
      <c r="B336" s="5">
        <f t="shared" si="26"/>
        <v>0</v>
      </c>
      <c r="C336" s="5" t="str">
        <f t="shared" si="25"/>
        <v/>
      </c>
      <c r="D336" s="5" t="str">
        <f>IFERROR(IF(F336&lt;&gt;"",F336,VLOOKUP(MAX(C$2:C336),A$2:F336,2,FALSE)),"")</f>
        <v/>
      </c>
      <c r="E336" s="5" t="str">
        <f t="shared" si="27"/>
        <v/>
      </c>
      <c r="K336" t="str">
        <f>IFERROR(IF(VLOOKUP(E:E,'Old Report'!E:J,6,FALSE)="","",VLOOKUP(E:E,'Old Report'!E:J,6,FALSE)),"")</f>
        <v/>
      </c>
      <c r="L336" t="str">
        <f>IFERROR(IF(VLOOKUP(E:E,'Old Report'!E:L,8,FALSE)="","",VLOOKUP(E:E,'Old Report'!E:L,8,FALSE)),"")</f>
        <v/>
      </c>
      <c r="M336" s="5" t="str">
        <f t="shared" si="28"/>
        <v/>
      </c>
      <c r="N336" s="5" t="str">
        <f t="shared" si="29"/>
        <v/>
      </c>
    </row>
    <row r="337" spans="1:14" x14ac:dyDescent="0.25">
      <c r="A337" s="5">
        <v>336</v>
      </c>
      <c r="B337" s="5">
        <f t="shared" si="26"/>
        <v>0</v>
      </c>
      <c r="C337" s="5" t="str">
        <f t="shared" si="25"/>
        <v/>
      </c>
      <c r="D337" s="5" t="str">
        <f>IFERROR(IF(F337&lt;&gt;"",F337,VLOOKUP(MAX(C$2:C337),A$2:F337,2,FALSE)),"")</f>
        <v/>
      </c>
      <c r="E337" s="5" t="str">
        <f t="shared" si="27"/>
        <v/>
      </c>
      <c r="K337" t="str">
        <f>IFERROR(IF(VLOOKUP(E:E,'Old Report'!E:J,6,FALSE)="","",VLOOKUP(E:E,'Old Report'!E:J,6,FALSE)),"")</f>
        <v/>
      </c>
      <c r="L337" t="str">
        <f>IFERROR(IF(VLOOKUP(E:E,'Old Report'!E:L,8,FALSE)="","",VLOOKUP(E:E,'Old Report'!E:L,8,FALSE)),"")</f>
        <v/>
      </c>
      <c r="M337" s="5" t="str">
        <f t="shared" si="28"/>
        <v/>
      </c>
      <c r="N337" s="5" t="str">
        <f t="shared" si="29"/>
        <v/>
      </c>
    </row>
    <row r="338" spans="1:14" x14ac:dyDescent="0.25">
      <c r="A338" s="5">
        <v>337</v>
      </c>
      <c r="B338" s="5">
        <f t="shared" si="26"/>
        <v>0</v>
      </c>
      <c r="C338" s="5" t="str">
        <f t="shared" si="25"/>
        <v/>
      </c>
      <c r="D338" s="5" t="str">
        <f>IFERROR(IF(F338&lt;&gt;"",F338,VLOOKUP(MAX(C$2:C338),A$2:F338,2,FALSE)),"")</f>
        <v/>
      </c>
      <c r="E338" s="5" t="str">
        <f t="shared" si="27"/>
        <v/>
      </c>
      <c r="K338" t="str">
        <f>IFERROR(IF(VLOOKUP(E:E,'Old Report'!E:J,6,FALSE)="","",VLOOKUP(E:E,'Old Report'!E:J,6,FALSE)),"")</f>
        <v/>
      </c>
      <c r="L338" t="str">
        <f>IFERROR(IF(VLOOKUP(E:E,'Old Report'!E:L,8,FALSE)="","",VLOOKUP(E:E,'Old Report'!E:L,8,FALSE)),"")</f>
        <v/>
      </c>
      <c r="M338" s="5" t="str">
        <f t="shared" si="28"/>
        <v/>
      </c>
      <c r="N338" s="5" t="str">
        <f t="shared" si="29"/>
        <v/>
      </c>
    </row>
    <row r="339" spans="1:14" x14ac:dyDescent="0.25">
      <c r="A339" s="5">
        <v>338</v>
      </c>
      <c r="B339" s="5">
        <f t="shared" si="26"/>
        <v>0</v>
      </c>
      <c r="C339" s="5" t="str">
        <f t="shared" si="25"/>
        <v/>
      </c>
      <c r="D339" s="5" t="str">
        <f>IFERROR(IF(F339&lt;&gt;"",F339,VLOOKUP(MAX(C$2:C339),A$2:F339,2,FALSE)),"")</f>
        <v/>
      </c>
      <c r="E339" s="5" t="str">
        <f t="shared" si="27"/>
        <v/>
      </c>
      <c r="K339" t="str">
        <f>IFERROR(IF(VLOOKUP(E:E,'Old Report'!E:J,6,FALSE)="","",VLOOKUP(E:E,'Old Report'!E:J,6,FALSE)),"")</f>
        <v/>
      </c>
      <c r="L339" t="str">
        <f>IFERROR(IF(VLOOKUP(E:E,'Old Report'!E:L,8,FALSE)="","",VLOOKUP(E:E,'Old Report'!E:L,8,FALSE)),"")</f>
        <v/>
      </c>
      <c r="M339" s="5" t="str">
        <f t="shared" si="28"/>
        <v/>
      </c>
      <c r="N339" s="5" t="str">
        <f t="shared" si="29"/>
        <v/>
      </c>
    </row>
    <row r="340" spans="1:14" x14ac:dyDescent="0.25">
      <c r="A340" s="5">
        <v>339</v>
      </c>
      <c r="B340" s="5">
        <f t="shared" si="26"/>
        <v>0</v>
      </c>
      <c r="C340" s="5" t="str">
        <f t="shared" si="25"/>
        <v/>
      </c>
      <c r="D340" s="5" t="str">
        <f>IFERROR(IF(F340&lt;&gt;"",F340,VLOOKUP(MAX(C$2:C340),A$2:F340,2,FALSE)),"")</f>
        <v/>
      </c>
      <c r="E340" s="5" t="str">
        <f t="shared" si="27"/>
        <v/>
      </c>
      <c r="K340" t="str">
        <f>IFERROR(IF(VLOOKUP(E:E,'Old Report'!E:J,6,FALSE)="","",VLOOKUP(E:E,'Old Report'!E:J,6,FALSE)),"")</f>
        <v/>
      </c>
      <c r="L340" t="str">
        <f>IFERROR(IF(VLOOKUP(E:E,'Old Report'!E:L,8,FALSE)="","",VLOOKUP(E:E,'Old Report'!E:L,8,FALSE)),"")</f>
        <v/>
      </c>
      <c r="M340" s="5" t="str">
        <f t="shared" si="28"/>
        <v/>
      </c>
      <c r="N340" s="5" t="str">
        <f t="shared" si="29"/>
        <v/>
      </c>
    </row>
    <row r="341" spans="1:14" x14ac:dyDescent="0.25">
      <c r="A341" s="5">
        <v>340</v>
      </c>
      <c r="B341" s="5">
        <f t="shared" si="26"/>
        <v>0</v>
      </c>
      <c r="C341" s="5" t="str">
        <f t="shared" si="25"/>
        <v/>
      </c>
      <c r="D341" s="5" t="str">
        <f>IFERROR(IF(F341&lt;&gt;"",F341,VLOOKUP(MAX(C$2:C341),A$2:F341,2,FALSE)),"")</f>
        <v/>
      </c>
      <c r="E341" s="5" t="str">
        <f t="shared" si="27"/>
        <v/>
      </c>
      <c r="K341" t="str">
        <f>IFERROR(IF(VLOOKUP(E:E,'Old Report'!E:J,6,FALSE)="","",VLOOKUP(E:E,'Old Report'!E:J,6,FALSE)),"")</f>
        <v/>
      </c>
      <c r="L341" t="str">
        <f>IFERROR(IF(VLOOKUP(E:E,'Old Report'!E:L,8,FALSE)="","",VLOOKUP(E:E,'Old Report'!E:L,8,FALSE)),"")</f>
        <v/>
      </c>
      <c r="M341" s="5" t="str">
        <f t="shared" si="28"/>
        <v/>
      </c>
      <c r="N341" s="5" t="str">
        <f t="shared" si="29"/>
        <v/>
      </c>
    </row>
    <row r="342" spans="1:14" x14ac:dyDescent="0.25">
      <c r="A342" s="5">
        <v>341</v>
      </c>
      <c r="B342" s="5">
        <f t="shared" si="26"/>
        <v>0</v>
      </c>
      <c r="C342" s="5" t="str">
        <f t="shared" si="25"/>
        <v/>
      </c>
      <c r="D342" s="5" t="str">
        <f>IFERROR(IF(F342&lt;&gt;"",F342,VLOOKUP(MAX(C$2:C342),A$2:F342,2,FALSE)),"")</f>
        <v/>
      </c>
      <c r="E342" s="5" t="str">
        <f t="shared" si="27"/>
        <v/>
      </c>
      <c r="K342" t="str">
        <f>IFERROR(IF(VLOOKUP(E:E,'Old Report'!E:J,6,FALSE)="","",VLOOKUP(E:E,'Old Report'!E:J,6,FALSE)),"")</f>
        <v/>
      </c>
      <c r="L342" t="str">
        <f>IFERROR(IF(VLOOKUP(E:E,'Old Report'!E:L,8,FALSE)="","",VLOOKUP(E:E,'Old Report'!E:L,8,FALSE)),"")</f>
        <v/>
      </c>
      <c r="M342" s="5" t="str">
        <f t="shared" si="28"/>
        <v/>
      </c>
      <c r="N342" s="5" t="str">
        <f t="shared" si="29"/>
        <v/>
      </c>
    </row>
    <row r="343" spans="1:14" x14ac:dyDescent="0.25">
      <c r="A343" s="5">
        <v>342</v>
      </c>
      <c r="B343" s="5">
        <f t="shared" si="26"/>
        <v>0</v>
      </c>
      <c r="C343" s="5" t="str">
        <f t="shared" si="25"/>
        <v/>
      </c>
      <c r="D343" s="5" t="str">
        <f>IFERROR(IF(F343&lt;&gt;"",F343,VLOOKUP(MAX(C$2:C343),A$2:F343,2,FALSE)),"")</f>
        <v/>
      </c>
      <c r="E343" s="5" t="str">
        <f t="shared" si="27"/>
        <v/>
      </c>
      <c r="K343" t="str">
        <f>IFERROR(IF(VLOOKUP(E:E,'Old Report'!E:J,6,FALSE)="","",VLOOKUP(E:E,'Old Report'!E:J,6,FALSE)),"")</f>
        <v/>
      </c>
      <c r="L343" t="str">
        <f>IFERROR(IF(VLOOKUP(E:E,'Old Report'!E:L,8,FALSE)="","",VLOOKUP(E:E,'Old Report'!E:L,8,FALSE)),"")</f>
        <v/>
      </c>
      <c r="M343" s="5" t="str">
        <f t="shared" si="28"/>
        <v/>
      </c>
      <c r="N343" s="5" t="str">
        <f t="shared" si="29"/>
        <v/>
      </c>
    </row>
    <row r="344" spans="1:14" x14ac:dyDescent="0.25">
      <c r="A344" s="5">
        <v>343</v>
      </c>
      <c r="B344" s="5">
        <f t="shared" si="26"/>
        <v>0</v>
      </c>
      <c r="C344" s="5" t="str">
        <f t="shared" si="25"/>
        <v/>
      </c>
      <c r="D344" s="5" t="str">
        <f>IFERROR(IF(F344&lt;&gt;"",F344,VLOOKUP(MAX(C$2:C344),A$2:F344,2,FALSE)),"")</f>
        <v/>
      </c>
      <c r="E344" s="5" t="str">
        <f t="shared" si="27"/>
        <v/>
      </c>
      <c r="K344" t="str">
        <f>IFERROR(IF(VLOOKUP(E:E,'Old Report'!E:J,6,FALSE)="","",VLOOKUP(E:E,'Old Report'!E:J,6,FALSE)),"")</f>
        <v/>
      </c>
      <c r="L344" t="str">
        <f>IFERROR(IF(VLOOKUP(E:E,'Old Report'!E:L,8,FALSE)="","",VLOOKUP(E:E,'Old Report'!E:L,8,FALSE)),"")</f>
        <v/>
      </c>
      <c r="M344" s="5" t="str">
        <f t="shared" si="28"/>
        <v/>
      </c>
      <c r="N344" s="5" t="str">
        <f t="shared" si="29"/>
        <v/>
      </c>
    </row>
    <row r="345" spans="1:14" x14ac:dyDescent="0.25">
      <c r="A345" s="5">
        <v>344</v>
      </c>
      <c r="B345" s="5">
        <f t="shared" si="26"/>
        <v>0</v>
      </c>
      <c r="C345" s="5" t="str">
        <f t="shared" si="25"/>
        <v/>
      </c>
      <c r="D345" s="5" t="str">
        <f>IFERROR(IF(F345&lt;&gt;"",F345,VLOOKUP(MAX(C$2:C345),A$2:F345,2,FALSE)),"")</f>
        <v/>
      </c>
      <c r="E345" s="5" t="str">
        <f t="shared" si="27"/>
        <v/>
      </c>
      <c r="K345" t="str">
        <f>IFERROR(IF(VLOOKUP(E:E,'Old Report'!E:J,6,FALSE)="","",VLOOKUP(E:E,'Old Report'!E:J,6,FALSE)),"")</f>
        <v/>
      </c>
      <c r="L345" t="str">
        <f>IFERROR(IF(VLOOKUP(E:E,'Old Report'!E:L,8,FALSE)="","",VLOOKUP(E:E,'Old Report'!E:L,8,FALSE)),"")</f>
        <v/>
      </c>
      <c r="M345" s="5" t="str">
        <f t="shared" si="28"/>
        <v/>
      </c>
      <c r="N345" s="5" t="str">
        <f t="shared" si="29"/>
        <v/>
      </c>
    </row>
    <row r="346" spans="1:14" x14ac:dyDescent="0.25">
      <c r="A346" s="5">
        <v>345</v>
      </c>
      <c r="B346" s="5">
        <f t="shared" si="26"/>
        <v>0</v>
      </c>
      <c r="C346" s="5" t="str">
        <f t="shared" si="25"/>
        <v/>
      </c>
      <c r="D346" s="5" t="str">
        <f>IFERROR(IF(F346&lt;&gt;"",F346,VLOOKUP(MAX(C$2:C346),A$2:F346,2,FALSE)),"")</f>
        <v/>
      </c>
      <c r="E346" s="5" t="str">
        <f t="shared" si="27"/>
        <v/>
      </c>
      <c r="K346" t="str">
        <f>IFERROR(IF(VLOOKUP(E:E,'Old Report'!E:J,6,FALSE)="","",VLOOKUP(E:E,'Old Report'!E:J,6,FALSE)),"")</f>
        <v/>
      </c>
      <c r="L346" t="str">
        <f>IFERROR(IF(VLOOKUP(E:E,'Old Report'!E:L,8,FALSE)="","",VLOOKUP(E:E,'Old Report'!E:L,8,FALSE)),"")</f>
        <v/>
      </c>
      <c r="M346" s="5" t="str">
        <f t="shared" si="28"/>
        <v/>
      </c>
      <c r="N346" s="5" t="str">
        <f t="shared" si="29"/>
        <v/>
      </c>
    </row>
    <row r="347" spans="1:14" x14ac:dyDescent="0.25">
      <c r="A347" s="5">
        <v>346</v>
      </c>
      <c r="B347" s="5">
        <f t="shared" si="26"/>
        <v>0</v>
      </c>
      <c r="C347" s="5" t="str">
        <f t="shared" si="25"/>
        <v/>
      </c>
      <c r="D347" s="5" t="str">
        <f>IFERROR(IF(F347&lt;&gt;"",F347,VLOOKUP(MAX(C$2:C347),A$2:F347,2,FALSE)),"")</f>
        <v/>
      </c>
      <c r="E347" s="5" t="str">
        <f t="shared" si="27"/>
        <v/>
      </c>
      <c r="K347" t="str">
        <f>IFERROR(IF(VLOOKUP(E:E,'Old Report'!E:J,6,FALSE)="","",VLOOKUP(E:E,'Old Report'!E:J,6,FALSE)),"")</f>
        <v/>
      </c>
      <c r="L347" t="str">
        <f>IFERROR(IF(VLOOKUP(E:E,'Old Report'!E:L,8,FALSE)="","",VLOOKUP(E:E,'Old Report'!E:L,8,FALSE)),"")</f>
        <v/>
      </c>
      <c r="M347" s="5" t="str">
        <f t="shared" si="28"/>
        <v/>
      </c>
      <c r="N347" s="5" t="str">
        <f t="shared" si="29"/>
        <v/>
      </c>
    </row>
    <row r="348" spans="1:14" x14ac:dyDescent="0.25">
      <c r="A348" s="5">
        <v>347</v>
      </c>
      <c r="B348" s="5">
        <f t="shared" si="26"/>
        <v>0</v>
      </c>
      <c r="C348" s="5" t="str">
        <f t="shared" si="25"/>
        <v/>
      </c>
      <c r="D348" s="5" t="str">
        <f>IFERROR(IF(F348&lt;&gt;"",F348,VLOOKUP(MAX(C$2:C348),A$2:F348,2,FALSE)),"")</f>
        <v/>
      </c>
      <c r="E348" s="5" t="str">
        <f t="shared" si="27"/>
        <v/>
      </c>
      <c r="K348" t="str">
        <f>IFERROR(IF(VLOOKUP(E:E,'Old Report'!E:J,6,FALSE)="","",VLOOKUP(E:E,'Old Report'!E:J,6,FALSE)),"")</f>
        <v/>
      </c>
      <c r="L348" t="str">
        <f>IFERROR(IF(VLOOKUP(E:E,'Old Report'!E:L,8,FALSE)="","",VLOOKUP(E:E,'Old Report'!E:L,8,FALSE)),"")</f>
        <v/>
      </c>
      <c r="M348" s="5" t="str">
        <f t="shared" si="28"/>
        <v/>
      </c>
      <c r="N348" s="5" t="str">
        <f t="shared" si="29"/>
        <v/>
      </c>
    </row>
    <row r="349" spans="1:14" x14ac:dyDescent="0.25">
      <c r="A349" s="5">
        <v>348</v>
      </c>
      <c r="B349" s="5">
        <f t="shared" si="26"/>
        <v>0</v>
      </c>
      <c r="C349" s="5" t="str">
        <f t="shared" si="25"/>
        <v/>
      </c>
      <c r="D349" s="5" t="str">
        <f>IFERROR(IF(F349&lt;&gt;"",F349,VLOOKUP(MAX(C$2:C349),A$2:F349,2,FALSE)),"")</f>
        <v/>
      </c>
      <c r="E349" s="5" t="str">
        <f t="shared" si="27"/>
        <v/>
      </c>
      <c r="K349" t="str">
        <f>IFERROR(IF(VLOOKUP(E:E,'Old Report'!E:J,6,FALSE)="","",VLOOKUP(E:E,'Old Report'!E:J,6,FALSE)),"")</f>
        <v/>
      </c>
      <c r="L349" t="str">
        <f>IFERROR(IF(VLOOKUP(E:E,'Old Report'!E:L,8,FALSE)="","",VLOOKUP(E:E,'Old Report'!E:L,8,FALSE)),"")</f>
        <v/>
      </c>
      <c r="M349" s="5" t="str">
        <f t="shared" si="28"/>
        <v/>
      </c>
      <c r="N349" s="5" t="str">
        <f t="shared" si="29"/>
        <v/>
      </c>
    </row>
    <row r="350" spans="1:14" x14ac:dyDescent="0.25">
      <c r="A350" s="5">
        <v>349</v>
      </c>
      <c r="B350" s="5">
        <f t="shared" si="26"/>
        <v>0</v>
      </c>
      <c r="C350" s="5" t="str">
        <f t="shared" si="25"/>
        <v/>
      </c>
      <c r="D350" s="5" t="str">
        <f>IFERROR(IF(F350&lt;&gt;"",F350,VLOOKUP(MAX(C$2:C350),A$2:F350,2,FALSE)),"")</f>
        <v/>
      </c>
      <c r="E350" s="5" t="str">
        <f t="shared" si="27"/>
        <v/>
      </c>
      <c r="K350" t="str">
        <f>IFERROR(IF(VLOOKUP(E:E,'Old Report'!E:J,6,FALSE)="","",VLOOKUP(E:E,'Old Report'!E:J,6,FALSE)),"")</f>
        <v/>
      </c>
      <c r="L350" t="str">
        <f>IFERROR(IF(VLOOKUP(E:E,'Old Report'!E:L,8,FALSE)="","",VLOOKUP(E:E,'Old Report'!E:L,8,FALSE)),"")</f>
        <v/>
      </c>
      <c r="M350" s="5" t="str">
        <f t="shared" si="28"/>
        <v/>
      </c>
      <c r="N350" s="5" t="str">
        <f t="shared" si="29"/>
        <v/>
      </c>
    </row>
    <row r="351" spans="1:14" x14ac:dyDescent="0.25">
      <c r="A351" s="5">
        <v>350</v>
      </c>
      <c r="B351" s="5">
        <f t="shared" si="26"/>
        <v>0</v>
      </c>
      <c r="C351" s="5" t="str">
        <f t="shared" si="25"/>
        <v/>
      </c>
      <c r="D351" s="5" t="str">
        <f>IFERROR(IF(F351&lt;&gt;"",F351,VLOOKUP(MAX(C$2:C351),A$2:F351,2,FALSE)),"")</f>
        <v/>
      </c>
      <c r="E351" s="5" t="str">
        <f t="shared" si="27"/>
        <v/>
      </c>
      <c r="K351" t="str">
        <f>IFERROR(IF(VLOOKUP(E:E,'Old Report'!E:J,6,FALSE)="","",VLOOKUP(E:E,'Old Report'!E:J,6,FALSE)),"")</f>
        <v/>
      </c>
      <c r="L351" t="str">
        <f>IFERROR(IF(VLOOKUP(E:E,'Old Report'!E:L,8,FALSE)="","",VLOOKUP(E:E,'Old Report'!E:L,8,FALSE)),"")</f>
        <v/>
      </c>
      <c r="M351" s="5" t="str">
        <f t="shared" si="28"/>
        <v/>
      </c>
      <c r="N351" s="5" t="str">
        <f t="shared" si="29"/>
        <v/>
      </c>
    </row>
    <row r="352" spans="1:14" x14ac:dyDescent="0.25">
      <c r="A352" s="5">
        <v>351</v>
      </c>
      <c r="B352" s="5">
        <f t="shared" si="26"/>
        <v>0</v>
      </c>
      <c r="C352" s="5" t="str">
        <f t="shared" si="25"/>
        <v/>
      </c>
      <c r="D352" s="5" t="str">
        <f>IFERROR(IF(F352&lt;&gt;"",F352,VLOOKUP(MAX(C$2:C352),A$2:F352,2,FALSE)),"")</f>
        <v/>
      </c>
      <c r="E352" s="5" t="str">
        <f t="shared" si="27"/>
        <v/>
      </c>
      <c r="K352" t="str">
        <f>IFERROR(IF(VLOOKUP(E:E,'Old Report'!E:J,6,FALSE)="","",VLOOKUP(E:E,'Old Report'!E:J,6,FALSE)),"")</f>
        <v/>
      </c>
      <c r="L352" t="str">
        <f>IFERROR(IF(VLOOKUP(E:E,'Old Report'!E:L,8,FALSE)="","",VLOOKUP(E:E,'Old Report'!E:L,8,FALSE)),"")</f>
        <v/>
      </c>
      <c r="M352" s="5" t="str">
        <f t="shared" si="28"/>
        <v/>
      </c>
      <c r="N352" s="5" t="str">
        <f t="shared" si="29"/>
        <v/>
      </c>
    </row>
    <row r="353" spans="1:14" x14ac:dyDescent="0.25">
      <c r="A353" s="5">
        <v>352</v>
      </c>
      <c r="B353" s="5">
        <f t="shared" si="26"/>
        <v>0</v>
      </c>
      <c r="C353" s="5" t="str">
        <f t="shared" si="25"/>
        <v/>
      </c>
      <c r="D353" s="5" t="str">
        <f>IFERROR(IF(F353&lt;&gt;"",F353,VLOOKUP(MAX(C$2:C353),A$2:F353,2,FALSE)),"")</f>
        <v/>
      </c>
      <c r="E353" s="5" t="str">
        <f t="shared" si="27"/>
        <v/>
      </c>
      <c r="K353" t="str">
        <f>IFERROR(IF(VLOOKUP(E:E,'Old Report'!E:J,6,FALSE)="","",VLOOKUP(E:E,'Old Report'!E:J,6,FALSE)),"")</f>
        <v/>
      </c>
      <c r="L353" t="str">
        <f>IFERROR(IF(VLOOKUP(E:E,'Old Report'!E:L,8,FALSE)="","",VLOOKUP(E:E,'Old Report'!E:L,8,FALSE)),"")</f>
        <v/>
      </c>
      <c r="M353" s="5" t="str">
        <f t="shared" si="28"/>
        <v/>
      </c>
      <c r="N353" s="5" t="str">
        <f t="shared" si="29"/>
        <v/>
      </c>
    </row>
    <row r="354" spans="1:14" x14ac:dyDescent="0.25">
      <c r="A354" s="5">
        <v>353</v>
      </c>
      <c r="B354" s="5">
        <f t="shared" si="26"/>
        <v>0</v>
      </c>
      <c r="C354" s="5" t="str">
        <f t="shared" si="25"/>
        <v/>
      </c>
      <c r="D354" s="5" t="str">
        <f>IFERROR(IF(F354&lt;&gt;"",F354,VLOOKUP(MAX(C$2:C354),A$2:F354,2,FALSE)),"")</f>
        <v/>
      </c>
      <c r="E354" s="5" t="str">
        <f t="shared" si="27"/>
        <v/>
      </c>
      <c r="K354" t="str">
        <f>IFERROR(IF(VLOOKUP(E:E,'Old Report'!E:J,6,FALSE)="","",VLOOKUP(E:E,'Old Report'!E:J,6,FALSE)),"")</f>
        <v/>
      </c>
      <c r="L354" t="str">
        <f>IFERROR(IF(VLOOKUP(E:E,'Old Report'!E:L,8,FALSE)="","",VLOOKUP(E:E,'Old Report'!E:L,8,FALSE)),"")</f>
        <v/>
      </c>
      <c r="M354" s="5" t="str">
        <f t="shared" si="28"/>
        <v/>
      </c>
      <c r="N354" s="5" t="str">
        <f t="shared" si="29"/>
        <v/>
      </c>
    </row>
    <row r="355" spans="1:14" x14ac:dyDescent="0.25">
      <c r="A355" s="5">
        <v>354</v>
      </c>
      <c r="B355" s="5">
        <f t="shared" si="26"/>
        <v>0</v>
      </c>
      <c r="C355" s="5" t="str">
        <f t="shared" si="25"/>
        <v/>
      </c>
      <c r="D355" s="5" t="str">
        <f>IFERROR(IF(F355&lt;&gt;"",F355,VLOOKUP(MAX(C$2:C355),A$2:F355,2,FALSE)),"")</f>
        <v/>
      </c>
      <c r="E355" s="5" t="str">
        <f t="shared" si="27"/>
        <v/>
      </c>
      <c r="K355" t="str">
        <f>IFERROR(IF(VLOOKUP(E:E,'Old Report'!E:J,6,FALSE)="","",VLOOKUP(E:E,'Old Report'!E:J,6,FALSE)),"")</f>
        <v/>
      </c>
      <c r="L355" t="str">
        <f>IFERROR(IF(VLOOKUP(E:E,'Old Report'!E:L,8,FALSE)="","",VLOOKUP(E:E,'Old Report'!E:L,8,FALSE)),"")</f>
        <v/>
      </c>
      <c r="M355" s="5" t="str">
        <f t="shared" si="28"/>
        <v/>
      </c>
      <c r="N355" s="5" t="str">
        <f t="shared" si="29"/>
        <v/>
      </c>
    </row>
    <row r="356" spans="1:14" x14ac:dyDescent="0.25">
      <c r="A356" s="5">
        <v>355</v>
      </c>
      <c r="B356" s="5">
        <f t="shared" si="26"/>
        <v>0</v>
      </c>
      <c r="C356" s="5" t="str">
        <f t="shared" si="25"/>
        <v/>
      </c>
      <c r="D356" s="5" t="str">
        <f>IFERROR(IF(F356&lt;&gt;"",F356,VLOOKUP(MAX(C$2:C356),A$2:F356,2,FALSE)),"")</f>
        <v/>
      </c>
      <c r="E356" s="5" t="str">
        <f t="shared" si="27"/>
        <v/>
      </c>
      <c r="K356" t="str">
        <f>IFERROR(IF(VLOOKUP(E:E,'Old Report'!E:J,6,FALSE)="","",VLOOKUP(E:E,'Old Report'!E:J,6,FALSE)),"")</f>
        <v/>
      </c>
      <c r="L356" t="str">
        <f>IFERROR(IF(VLOOKUP(E:E,'Old Report'!E:L,8,FALSE)="","",VLOOKUP(E:E,'Old Report'!E:L,8,FALSE)),"")</f>
        <v/>
      </c>
      <c r="M356" s="5" t="str">
        <f t="shared" si="28"/>
        <v/>
      </c>
      <c r="N356" s="5" t="str">
        <f t="shared" si="29"/>
        <v/>
      </c>
    </row>
    <row r="357" spans="1:14" x14ac:dyDescent="0.25">
      <c r="A357" s="5">
        <v>356</v>
      </c>
      <c r="B357" s="5">
        <f t="shared" si="26"/>
        <v>0</v>
      </c>
      <c r="C357" s="5" t="str">
        <f t="shared" si="25"/>
        <v/>
      </c>
      <c r="D357" s="5" t="str">
        <f>IFERROR(IF(F357&lt;&gt;"",F357,VLOOKUP(MAX(C$2:C357),A$2:F357,2,FALSE)),"")</f>
        <v/>
      </c>
      <c r="E357" s="5" t="str">
        <f t="shared" si="27"/>
        <v/>
      </c>
      <c r="K357" t="str">
        <f>IFERROR(IF(VLOOKUP(E:E,'Old Report'!E:J,6,FALSE)="","",VLOOKUP(E:E,'Old Report'!E:J,6,FALSE)),"")</f>
        <v/>
      </c>
      <c r="L357" t="str">
        <f>IFERROR(IF(VLOOKUP(E:E,'Old Report'!E:L,8,FALSE)="","",VLOOKUP(E:E,'Old Report'!E:L,8,FALSE)),"")</f>
        <v/>
      </c>
      <c r="M357" s="5" t="str">
        <f t="shared" si="28"/>
        <v/>
      </c>
      <c r="N357" s="5" t="str">
        <f t="shared" si="29"/>
        <v/>
      </c>
    </row>
    <row r="358" spans="1:14" x14ac:dyDescent="0.25">
      <c r="A358" s="5">
        <v>357</v>
      </c>
      <c r="B358" s="5">
        <f t="shared" si="26"/>
        <v>0</v>
      </c>
      <c r="C358" s="5" t="str">
        <f t="shared" si="25"/>
        <v/>
      </c>
      <c r="D358" s="5" t="str">
        <f>IFERROR(IF(F358&lt;&gt;"",F358,VLOOKUP(MAX(C$2:C358),A$2:F358,2,FALSE)),"")</f>
        <v/>
      </c>
      <c r="E358" s="5" t="str">
        <f t="shared" si="27"/>
        <v/>
      </c>
      <c r="K358" t="str">
        <f>IFERROR(IF(VLOOKUP(E:E,'Old Report'!E:J,6,FALSE)="","",VLOOKUP(E:E,'Old Report'!E:J,6,FALSE)),"")</f>
        <v/>
      </c>
      <c r="L358" t="str">
        <f>IFERROR(IF(VLOOKUP(E:E,'Old Report'!E:L,8,FALSE)="","",VLOOKUP(E:E,'Old Report'!E:L,8,FALSE)),"")</f>
        <v/>
      </c>
      <c r="M358" s="5" t="str">
        <f t="shared" si="28"/>
        <v/>
      </c>
      <c r="N358" s="5" t="str">
        <f t="shared" si="29"/>
        <v/>
      </c>
    </row>
    <row r="359" spans="1:14" x14ac:dyDescent="0.25">
      <c r="A359" s="5">
        <v>358</v>
      </c>
      <c r="B359" s="5">
        <f t="shared" si="26"/>
        <v>0</v>
      </c>
      <c r="C359" s="5" t="str">
        <f t="shared" si="25"/>
        <v/>
      </c>
      <c r="D359" s="5" t="str">
        <f>IFERROR(IF(F359&lt;&gt;"",F359,VLOOKUP(MAX(C$2:C359),A$2:F359,2,FALSE)),"")</f>
        <v/>
      </c>
      <c r="E359" s="5" t="str">
        <f t="shared" si="27"/>
        <v/>
      </c>
      <c r="K359" t="str">
        <f>IFERROR(IF(VLOOKUP(E:E,'Old Report'!E:J,6,FALSE)="","",VLOOKUP(E:E,'Old Report'!E:J,6,FALSE)),"")</f>
        <v/>
      </c>
      <c r="L359" t="str">
        <f>IFERROR(IF(VLOOKUP(E:E,'Old Report'!E:L,8,FALSE)="","",VLOOKUP(E:E,'Old Report'!E:L,8,FALSE)),"")</f>
        <v/>
      </c>
      <c r="M359" s="5" t="str">
        <f t="shared" si="28"/>
        <v/>
      </c>
      <c r="N359" s="5" t="str">
        <f t="shared" si="29"/>
        <v/>
      </c>
    </row>
    <row r="360" spans="1:14" x14ac:dyDescent="0.25">
      <c r="A360" s="5">
        <v>359</v>
      </c>
      <c r="B360" s="5">
        <f t="shared" si="26"/>
        <v>0</v>
      </c>
      <c r="C360" s="5" t="str">
        <f t="shared" si="25"/>
        <v/>
      </c>
      <c r="D360" s="5" t="str">
        <f>IFERROR(IF(F360&lt;&gt;"",F360,VLOOKUP(MAX(C$2:C360),A$2:F360,2,FALSE)),"")</f>
        <v/>
      </c>
      <c r="E360" s="5" t="str">
        <f t="shared" si="27"/>
        <v/>
      </c>
      <c r="K360" t="str">
        <f>IFERROR(IF(VLOOKUP(E:E,'Old Report'!E:J,6,FALSE)="","",VLOOKUP(E:E,'Old Report'!E:J,6,FALSE)),"")</f>
        <v/>
      </c>
      <c r="L360" t="str">
        <f>IFERROR(IF(VLOOKUP(E:E,'Old Report'!E:L,8,FALSE)="","",VLOOKUP(E:E,'Old Report'!E:L,8,FALSE)),"")</f>
        <v/>
      </c>
      <c r="M360" s="5" t="str">
        <f t="shared" si="28"/>
        <v/>
      </c>
      <c r="N360" s="5" t="str">
        <f t="shared" si="29"/>
        <v/>
      </c>
    </row>
    <row r="361" spans="1:14" x14ac:dyDescent="0.25">
      <c r="A361" s="5">
        <v>360</v>
      </c>
      <c r="B361" s="5">
        <f t="shared" si="26"/>
        <v>0</v>
      </c>
      <c r="C361" s="5" t="str">
        <f t="shared" si="25"/>
        <v/>
      </c>
      <c r="D361" s="5" t="str">
        <f>IFERROR(IF(F361&lt;&gt;"",F361,VLOOKUP(MAX(C$2:C361),A$2:F361,2,FALSE)),"")</f>
        <v/>
      </c>
      <c r="E361" s="5" t="str">
        <f t="shared" si="27"/>
        <v/>
      </c>
      <c r="K361" t="str">
        <f>IFERROR(IF(VLOOKUP(E:E,'Old Report'!E:J,6,FALSE)="","",VLOOKUP(E:E,'Old Report'!E:J,6,FALSE)),"")</f>
        <v/>
      </c>
      <c r="L361" t="str">
        <f>IFERROR(IF(VLOOKUP(E:E,'Old Report'!E:L,8,FALSE)="","",VLOOKUP(E:E,'Old Report'!E:L,8,FALSE)),"")</f>
        <v/>
      </c>
      <c r="M361" s="5" t="str">
        <f t="shared" si="28"/>
        <v/>
      </c>
      <c r="N361" s="5" t="str">
        <f t="shared" si="29"/>
        <v/>
      </c>
    </row>
    <row r="362" spans="1:14" x14ac:dyDescent="0.25">
      <c r="A362" s="5">
        <v>361</v>
      </c>
      <c r="B362" s="5">
        <f t="shared" si="26"/>
        <v>0</v>
      </c>
      <c r="C362" s="5" t="str">
        <f t="shared" si="25"/>
        <v/>
      </c>
      <c r="D362" s="5" t="str">
        <f>IFERROR(IF(F362&lt;&gt;"",F362,VLOOKUP(MAX(C$2:C362),A$2:F362,2,FALSE)),"")</f>
        <v/>
      </c>
      <c r="E362" s="5" t="str">
        <f t="shared" si="27"/>
        <v/>
      </c>
      <c r="K362" t="str">
        <f>IFERROR(IF(VLOOKUP(E:E,'Old Report'!E:J,6,FALSE)="","",VLOOKUP(E:E,'Old Report'!E:J,6,FALSE)),"")</f>
        <v/>
      </c>
      <c r="L362" t="str">
        <f>IFERROR(IF(VLOOKUP(E:E,'Old Report'!E:L,8,FALSE)="","",VLOOKUP(E:E,'Old Report'!E:L,8,FALSE)),"")</f>
        <v/>
      </c>
      <c r="M362" s="5" t="str">
        <f t="shared" si="28"/>
        <v/>
      </c>
      <c r="N362" s="5" t="str">
        <f t="shared" si="29"/>
        <v/>
      </c>
    </row>
    <row r="363" spans="1:14" x14ac:dyDescent="0.25">
      <c r="A363" s="5">
        <v>362</v>
      </c>
      <c r="B363" s="5">
        <f t="shared" si="26"/>
        <v>0</v>
      </c>
      <c r="C363" s="5" t="str">
        <f t="shared" si="25"/>
        <v/>
      </c>
      <c r="D363" s="5" t="str">
        <f>IFERROR(IF(F363&lt;&gt;"",F363,VLOOKUP(MAX(C$2:C363),A$2:F363,2,FALSE)),"")</f>
        <v/>
      </c>
      <c r="E363" s="5" t="str">
        <f t="shared" si="27"/>
        <v/>
      </c>
      <c r="K363" t="str">
        <f>IFERROR(IF(VLOOKUP(E:E,'Old Report'!E:J,6,FALSE)="","",VLOOKUP(E:E,'Old Report'!E:J,6,FALSE)),"")</f>
        <v/>
      </c>
      <c r="L363" t="str">
        <f>IFERROR(IF(VLOOKUP(E:E,'Old Report'!E:L,8,FALSE)="","",VLOOKUP(E:E,'Old Report'!E:L,8,FALSE)),"")</f>
        <v/>
      </c>
      <c r="M363" s="5" t="str">
        <f t="shared" si="28"/>
        <v/>
      </c>
      <c r="N363" s="5" t="str">
        <f t="shared" si="29"/>
        <v/>
      </c>
    </row>
    <row r="364" spans="1:14" x14ac:dyDescent="0.25">
      <c r="A364" s="5">
        <v>363</v>
      </c>
      <c r="B364" s="5">
        <f t="shared" si="26"/>
        <v>0</v>
      </c>
      <c r="C364" s="5" t="str">
        <f t="shared" si="25"/>
        <v/>
      </c>
      <c r="D364" s="5" t="str">
        <f>IFERROR(IF(F364&lt;&gt;"",F364,VLOOKUP(MAX(C$2:C364),A$2:F364,2,FALSE)),"")</f>
        <v/>
      </c>
      <c r="E364" s="5" t="str">
        <f t="shared" si="27"/>
        <v/>
      </c>
      <c r="K364" t="str">
        <f>IFERROR(IF(VLOOKUP(E:E,'Old Report'!E:J,6,FALSE)="","",VLOOKUP(E:E,'Old Report'!E:J,6,FALSE)),"")</f>
        <v/>
      </c>
      <c r="L364" t="str">
        <f>IFERROR(IF(VLOOKUP(E:E,'Old Report'!E:L,8,FALSE)="","",VLOOKUP(E:E,'Old Report'!E:L,8,FALSE)),"")</f>
        <v/>
      </c>
      <c r="M364" s="5" t="str">
        <f t="shared" si="28"/>
        <v/>
      </c>
      <c r="N364" s="5" t="str">
        <f t="shared" si="29"/>
        <v/>
      </c>
    </row>
    <row r="365" spans="1:14" x14ac:dyDescent="0.25">
      <c r="A365" s="5">
        <v>364</v>
      </c>
      <c r="B365" s="5">
        <f t="shared" si="26"/>
        <v>0</v>
      </c>
      <c r="C365" s="5" t="str">
        <f t="shared" si="25"/>
        <v/>
      </c>
      <c r="D365" s="5" t="str">
        <f>IFERROR(IF(F365&lt;&gt;"",F365,VLOOKUP(MAX(C$2:C365),A$2:F365,2,FALSE)),"")</f>
        <v/>
      </c>
      <c r="E365" s="5" t="str">
        <f t="shared" si="27"/>
        <v/>
      </c>
      <c r="K365" t="str">
        <f>IFERROR(IF(VLOOKUP(E:E,'Old Report'!E:J,6,FALSE)="","",VLOOKUP(E:E,'Old Report'!E:J,6,FALSE)),"")</f>
        <v/>
      </c>
      <c r="L365" t="str">
        <f>IFERROR(IF(VLOOKUP(E:E,'Old Report'!E:L,8,FALSE)="","",VLOOKUP(E:E,'Old Report'!E:L,8,FALSE)),"")</f>
        <v/>
      </c>
      <c r="M365" s="5" t="str">
        <f t="shared" si="28"/>
        <v/>
      </c>
      <c r="N365" s="5" t="str">
        <f t="shared" si="29"/>
        <v/>
      </c>
    </row>
    <row r="366" spans="1:14" x14ac:dyDescent="0.25">
      <c r="A366" s="5">
        <v>365</v>
      </c>
      <c r="B366" s="5">
        <f t="shared" si="26"/>
        <v>0</v>
      </c>
      <c r="C366" s="5" t="str">
        <f t="shared" si="25"/>
        <v/>
      </c>
      <c r="D366" s="5" t="str">
        <f>IFERROR(IF(F366&lt;&gt;"",F366,VLOOKUP(MAX(C$2:C366),A$2:F366,2,FALSE)),"")</f>
        <v/>
      </c>
      <c r="E366" s="5" t="str">
        <f t="shared" si="27"/>
        <v/>
      </c>
      <c r="K366" t="str">
        <f>IFERROR(IF(VLOOKUP(E:E,'Old Report'!E:J,6,FALSE)="","",VLOOKUP(E:E,'Old Report'!E:J,6,FALSE)),"")</f>
        <v/>
      </c>
      <c r="L366" t="str">
        <f>IFERROR(IF(VLOOKUP(E:E,'Old Report'!E:L,8,FALSE)="","",VLOOKUP(E:E,'Old Report'!E:L,8,FALSE)),"")</f>
        <v/>
      </c>
      <c r="M366" s="5" t="str">
        <f t="shared" si="28"/>
        <v/>
      </c>
      <c r="N366" s="5" t="str">
        <f t="shared" si="29"/>
        <v/>
      </c>
    </row>
    <row r="367" spans="1:14" x14ac:dyDescent="0.25">
      <c r="A367" s="5">
        <v>366</v>
      </c>
      <c r="B367" s="5">
        <f t="shared" si="26"/>
        <v>0</v>
      </c>
      <c r="C367" s="5" t="str">
        <f t="shared" si="25"/>
        <v/>
      </c>
      <c r="D367" s="5" t="str">
        <f>IFERROR(IF(F367&lt;&gt;"",F367,VLOOKUP(MAX(C$2:C367),A$2:F367,2,FALSE)),"")</f>
        <v/>
      </c>
      <c r="E367" s="5" t="str">
        <f t="shared" si="27"/>
        <v/>
      </c>
      <c r="K367" t="str">
        <f>IFERROR(IF(VLOOKUP(E:E,'Old Report'!E:J,6,FALSE)="","",VLOOKUP(E:E,'Old Report'!E:J,6,FALSE)),"")</f>
        <v/>
      </c>
      <c r="L367" t="str">
        <f>IFERROR(IF(VLOOKUP(E:E,'Old Report'!E:L,8,FALSE)="","",VLOOKUP(E:E,'Old Report'!E:L,8,FALSE)),"")</f>
        <v/>
      </c>
      <c r="M367" s="5" t="str">
        <f t="shared" si="28"/>
        <v/>
      </c>
      <c r="N367" s="5" t="str">
        <f t="shared" si="29"/>
        <v/>
      </c>
    </row>
    <row r="368" spans="1:14" x14ac:dyDescent="0.25">
      <c r="A368" s="5">
        <v>367</v>
      </c>
      <c r="B368" s="5">
        <f t="shared" si="26"/>
        <v>0</v>
      </c>
      <c r="C368" s="5" t="str">
        <f t="shared" si="25"/>
        <v/>
      </c>
      <c r="D368" s="5" t="str">
        <f>IFERROR(IF(F368&lt;&gt;"",F368,VLOOKUP(MAX(C$2:C368),A$2:F368,2,FALSE)),"")</f>
        <v/>
      </c>
      <c r="E368" s="5" t="str">
        <f t="shared" si="27"/>
        <v/>
      </c>
      <c r="K368" t="str">
        <f>IFERROR(IF(VLOOKUP(E:E,'Old Report'!E:J,6,FALSE)="","",VLOOKUP(E:E,'Old Report'!E:J,6,FALSE)),"")</f>
        <v/>
      </c>
      <c r="L368" t="str">
        <f>IFERROR(IF(VLOOKUP(E:E,'Old Report'!E:L,8,FALSE)="","",VLOOKUP(E:E,'Old Report'!E:L,8,FALSE)),"")</f>
        <v/>
      </c>
      <c r="M368" s="5" t="str">
        <f t="shared" si="28"/>
        <v/>
      </c>
      <c r="N368" s="5" t="str">
        <f t="shared" si="29"/>
        <v/>
      </c>
    </row>
    <row r="369" spans="1:14" x14ac:dyDescent="0.25">
      <c r="A369" s="5">
        <v>368</v>
      </c>
      <c r="B369" s="5">
        <f t="shared" si="26"/>
        <v>0</v>
      </c>
      <c r="C369" s="5" t="str">
        <f t="shared" si="25"/>
        <v/>
      </c>
      <c r="D369" s="5" t="str">
        <f>IFERROR(IF(F369&lt;&gt;"",F369,VLOOKUP(MAX(C$2:C369),A$2:F369,2,FALSE)),"")</f>
        <v/>
      </c>
      <c r="E369" s="5" t="str">
        <f t="shared" si="27"/>
        <v/>
      </c>
      <c r="K369" t="str">
        <f>IFERROR(IF(VLOOKUP(E:E,'Old Report'!E:J,6,FALSE)="","",VLOOKUP(E:E,'Old Report'!E:J,6,FALSE)),"")</f>
        <v/>
      </c>
      <c r="L369" t="str">
        <f>IFERROR(IF(VLOOKUP(E:E,'Old Report'!E:L,8,FALSE)="","",VLOOKUP(E:E,'Old Report'!E:L,8,FALSE)),"")</f>
        <v/>
      </c>
      <c r="M369" s="5" t="str">
        <f t="shared" si="28"/>
        <v/>
      </c>
      <c r="N369" s="5" t="str">
        <f t="shared" si="29"/>
        <v/>
      </c>
    </row>
    <row r="370" spans="1:14" x14ac:dyDescent="0.25">
      <c r="A370" s="5">
        <v>369</v>
      </c>
      <c r="B370" s="5">
        <f t="shared" si="26"/>
        <v>0</v>
      </c>
      <c r="C370" s="5" t="str">
        <f t="shared" si="25"/>
        <v/>
      </c>
      <c r="D370" s="5" t="str">
        <f>IFERROR(IF(F370&lt;&gt;"",F370,VLOOKUP(MAX(C$2:C370),A$2:F370,2,FALSE)),"")</f>
        <v/>
      </c>
      <c r="E370" s="5" t="str">
        <f t="shared" si="27"/>
        <v/>
      </c>
      <c r="K370" t="str">
        <f>IFERROR(IF(VLOOKUP(E:E,'Old Report'!E:J,6,FALSE)="","",VLOOKUP(E:E,'Old Report'!E:J,6,FALSE)),"")</f>
        <v/>
      </c>
      <c r="L370" t="str">
        <f>IFERROR(IF(VLOOKUP(E:E,'Old Report'!E:L,8,FALSE)="","",VLOOKUP(E:E,'Old Report'!E:L,8,FALSE)),"")</f>
        <v/>
      </c>
      <c r="M370" s="5" t="str">
        <f t="shared" si="28"/>
        <v/>
      </c>
      <c r="N370" s="5" t="str">
        <f t="shared" si="29"/>
        <v/>
      </c>
    </row>
    <row r="371" spans="1:14" x14ac:dyDescent="0.25">
      <c r="A371" s="5">
        <v>370</v>
      </c>
      <c r="B371" s="5">
        <f t="shared" si="26"/>
        <v>0</v>
      </c>
      <c r="C371" s="5" t="str">
        <f t="shared" si="25"/>
        <v/>
      </c>
      <c r="D371" s="5" t="str">
        <f>IFERROR(IF(F371&lt;&gt;"",F371,VLOOKUP(MAX(C$2:C371),A$2:F371,2,FALSE)),"")</f>
        <v/>
      </c>
      <c r="E371" s="5" t="str">
        <f t="shared" si="27"/>
        <v/>
      </c>
      <c r="K371" t="str">
        <f>IFERROR(IF(VLOOKUP(E:E,'Old Report'!E:J,6,FALSE)="","",VLOOKUP(E:E,'Old Report'!E:J,6,FALSE)),"")</f>
        <v/>
      </c>
      <c r="L371" t="str">
        <f>IFERROR(IF(VLOOKUP(E:E,'Old Report'!E:L,8,FALSE)="","",VLOOKUP(E:E,'Old Report'!E:L,8,FALSE)),"")</f>
        <v/>
      </c>
      <c r="M371" s="5" t="str">
        <f t="shared" si="28"/>
        <v/>
      </c>
      <c r="N371" s="5" t="str">
        <f t="shared" si="29"/>
        <v/>
      </c>
    </row>
    <row r="372" spans="1:14" x14ac:dyDescent="0.25">
      <c r="A372" s="5">
        <v>371</v>
      </c>
      <c r="B372" s="5">
        <f t="shared" si="26"/>
        <v>0</v>
      </c>
      <c r="C372" s="5" t="str">
        <f t="shared" si="25"/>
        <v/>
      </c>
      <c r="D372" s="5" t="str">
        <f>IFERROR(IF(F372&lt;&gt;"",F372,VLOOKUP(MAX(C$2:C372),A$2:F372,2,FALSE)),"")</f>
        <v/>
      </c>
      <c r="E372" s="5" t="str">
        <f t="shared" si="27"/>
        <v/>
      </c>
      <c r="K372" t="str">
        <f>IFERROR(IF(VLOOKUP(E:E,'Old Report'!E:J,6,FALSE)="","",VLOOKUP(E:E,'Old Report'!E:J,6,FALSE)),"")</f>
        <v/>
      </c>
      <c r="L372" t="str">
        <f>IFERROR(IF(VLOOKUP(E:E,'Old Report'!E:L,8,FALSE)="","",VLOOKUP(E:E,'Old Report'!E:L,8,FALSE)),"")</f>
        <v/>
      </c>
      <c r="M372" s="5" t="str">
        <f t="shared" si="28"/>
        <v/>
      </c>
      <c r="N372" s="5" t="str">
        <f t="shared" si="29"/>
        <v/>
      </c>
    </row>
    <row r="373" spans="1:14" x14ac:dyDescent="0.25">
      <c r="A373" s="5">
        <v>372</v>
      </c>
      <c r="B373" s="5">
        <f t="shared" si="26"/>
        <v>0</v>
      </c>
      <c r="C373" s="5" t="str">
        <f t="shared" si="25"/>
        <v/>
      </c>
      <c r="D373" s="5" t="str">
        <f>IFERROR(IF(F373&lt;&gt;"",F373,VLOOKUP(MAX(C$2:C373),A$2:F373,2,FALSE)),"")</f>
        <v/>
      </c>
      <c r="E373" s="5" t="str">
        <f t="shared" si="27"/>
        <v/>
      </c>
      <c r="K373" t="str">
        <f>IFERROR(IF(VLOOKUP(E:E,'Old Report'!E:J,6,FALSE)="","",VLOOKUP(E:E,'Old Report'!E:J,6,FALSE)),"")</f>
        <v/>
      </c>
      <c r="L373" t="str">
        <f>IFERROR(IF(VLOOKUP(E:E,'Old Report'!E:L,8,FALSE)="","",VLOOKUP(E:E,'Old Report'!E:L,8,FALSE)),"")</f>
        <v/>
      </c>
      <c r="M373" s="5" t="str">
        <f t="shared" si="28"/>
        <v/>
      </c>
      <c r="N373" s="5" t="str">
        <f t="shared" si="29"/>
        <v/>
      </c>
    </row>
    <row r="374" spans="1:14" x14ac:dyDescent="0.25">
      <c r="A374" s="5">
        <v>373</v>
      </c>
      <c r="B374" s="5">
        <f t="shared" si="26"/>
        <v>0</v>
      </c>
      <c r="C374" s="5" t="str">
        <f t="shared" si="25"/>
        <v/>
      </c>
      <c r="D374" s="5" t="str">
        <f>IFERROR(IF(F374&lt;&gt;"",F374,VLOOKUP(MAX(C$2:C374),A$2:F374,2,FALSE)),"")</f>
        <v/>
      </c>
      <c r="E374" s="5" t="str">
        <f t="shared" si="27"/>
        <v/>
      </c>
      <c r="K374" t="str">
        <f>IFERROR(IF(VLOOKUP(E:E,'Old Report'!E:J,6,FALSE)="","",VLOOKUP(E:E,'Old Report'!E:J,6,FALSE)),"")</f>
        <v/>
      </c>
      <c r="L374" t="str">
        <f>IFERROR(IF(VLOOKUP(E:E,'Old Report'!E:L,8,FALSE)="","",VLOOKUP(E:E,'Old Report'!E:L,8,FALSE)),"")</f>
        <v/>
      </c>
      <c r="M374" s="5" t="str">
        <f t="shared" si="28"/>
        <v/>
      </c>
      <c r="N374" s="5" t="str">
        <f t="shared" si="29"/>
        <v/>
      </c>
    </row>
    <row r="375" spans="1:14" x14ac:dyDescent="0.25">
      <c r="A375" s="5">
        <v>374</v>
      </c>
      <c r="B375" s="5">
        <f t="shared" si="26"/>
        <v>0</v>
      </c>
      <c r="C375" s="5" t="str">
        <f t="shared" si="25"/>
        <v/>
      </c>
      <c r="D375" s="5" t="str">
        <f>IFERROR(IF(F375&lt;&gt;"",F375,VLOOKUP(MAX(C$2:C375),A$2:F375,2,FALSE)),"")</f>
        <v/>
      </c>
      <c r="E375" s="5" t="str">
        <f t="shared" si="27"/>
        <v/>
      </c>
      <c r="K375" t="str">
        <f>IFERROR(IF(VLOOKUP(E:E,'Old Report'!E:J,6,FALSE)="","",VLOOKUP(E:E,'Old Report'!E:J,6,FALSE)),"")</f>
        <v/>
      </c>
      <c r="L375" t="str">
        <f>IFERROR(IF(VLOOKUP(E:E,'Old Report'!E:L,8,FALSE)="","",VLOOKUP(E:E,'Old Report'!E:L,8,FALSE)),"")</f>
        <v/>
      </c>
      <c r="M375" s="5" t="str">
        <f t="shared" si="28"/>
        <v/>
      </c>
      <c r="N375" s="5" t="str">
        <f t="shared" si="29"/>
        <v/>
      </c>
    </row>
    <row r="376" spans="1:14" x14ac:dyDescent="0.25">
      <c r="A376" s="5">
        <v>375</v>
      </c>
      <c r="B376" s="5">
        <f t="shared" si="26"/>
        <v>0</v>
      </c>
      <c r="C376" s="5" t="str">
        <f t="shared" si="25"/>
        <v/>
      </c>
      <c r="D376" s="5" t="str">
        <f>IFERROR(IF(F376&lt;&gt;"",F376,VLOOKUP(MAX(C$2:C376),A$2:F376,2,FALSE)),"")</f>
        <v/>
      </c>
      <c r="E376" s="5" t="str">
        <f t="shared" si="27"/>
        <v/>
      </c>
      <c r="K376" t="str">
        <f>IFERROR(IF(VLOOKUP(E:E,'Old Report'!E:J,6,FALSE)="","",VLOOKUP(E:E,'Old Report'!E:J,6,FALSE)),"")</f>
        <v/>
      </c>
      <c r="L376" t="str">
        <f>IFERROR(IF(VLOOKUP(E:E,'Old Report'!E:L,8,FALSE)="","",VLOOKUP(E:E,'Old Report'!E:L,8,FALSE)),"")</f>
        <v/>
      </c>
      <c r="M376" s="5" t="str">
        <f t="shared" si="28"/>
        <v/>
      </c>
      <c r="N376" s="5" t="str">
        <f t="shared" si="29"/>
        <v/>
      </c>
    </row>
    <row r="377" spans="1:14" x14ac:dyDescent="0.25">
      <c r="A377" s="5">
        <v>376</v>
      </c>
      <c r="B377" s="5">
        <f t="shared" si="26"/>
        <v>0</v>
      </c>
      <c r="C377" s="5" t="str">
        <f t="shared" si="25"/>
        <v/>
      </c>
      <c r="D377" s="5" t="str">
        <f>IFERROR(IF(F377&lt;&gt;"",F377,VLOOKUP(MAX(C$2:C377),A$2:F377,2,FALSE)),"")</f>
        <v/>
      </c>
      <c r="E377" s="5" t="str">
        <f t="shared" si="27"/>
        <v/>
      </c>
      <c r="K377" t="str">
        <f>IFERROR(IF(VLOOKUP(E:E,'Old Report'!E:J,6,FALSE)="","",VLOOKUP(E:E,'Old Report'!E:J,6,FALSE)),"")</f>
        <v/>
      </c>
      <c r="L377" t="str">
        <f>IFERROR(IF(VLOOKUP(E:E,'Old Report'!E:L,8,FALSE)="","",VLOOKUP(E:E,'Old Report'!E:L,8,FALSE)),"")</f>
        <v/>
      </c>
      <c r="M377" s="5" t="str">
        <f t="shared" si="28"/>
        <v/>
      </c>
      <c r="N377" s="5" t="str">
        <f t="shared" si="29"/>
        <v/>
      </c>
    </row>
    <row r="378" spans="1:14" x14ac:dyDescent="0.25">
      <c r="A378" s="5">
        <v>377</v>
      </c>
      <c r="B378" s="5">
        <f t="shared" si="26"/>
        <v>0</v>
      </c>
      <c r="C378" s="5" t="str">
        <f t="shared" si="25"/>
        <v/>
      </c>
      <c r="D378" s="5" t="str">
        <f>IFERROR(IF(F378&lt;&gt;"",F378,VLOOKUP(MAX(C$2:C378),A$2:F378,2,FALSE)),"")</f>
        <v/>
      </c>
      <c r="E378" s="5" t="str">
        <f t="shared" si="27"/>
        <v/>
      </c>
      <c r="K378" t="str">
        <f>IFERROR(IF(VLOOKUP(E:E,'Old Report'!E:J,6,FALSE)="","",VLOOKUP(E:E,'Old Report'!E:J,6,FALSE)),"")</f>
        <v/>
      </c>
      <c r="L378" t="str">
        <f>IFERROR(IF(VLOOKUP(E:E,'Old Report'!E:L,8,FALSE)="","",VLOOKUP(E:E,'Old Report'!E:L,8,FALSE)),"")</f>
        <v/>
      </c>
      <c r="M378" s="5" t="str">
        <f t="shared" si="28"/>
        <v/>
      </c>
      <c r="N378" s="5" t="str">
        <f t="shared" si="29"/>
        <v/>
      </c>
    </row>
    <row r="379" spans="1:14" x14ac:dyDescent="0.25">
      <c r="A379" s="5">
        <v>378</v>
      </c>
      <c r="B379" s="5">
        <f t="shared" si="26"/>
        <v>0</v>
      </c>
      <c r="C379" s="5" t="str">
        <f t="shared" si="25"/>
        <v/>
      </c>
      <c r="D379" s="5" t="str">
        <f>IFERROR(IF(F379&lt;&gt;"",F379,VLOOKUP(MAX(C$2:C379),A$2:F379,2,FALSE)),"")</f>
        <v/>
      </c>
      <c r="E379" s="5" t="str">
        <f t="shared" si="27"/>
        <v/>
      </c>
      <c r="K379" t="str">
        <f>IFERROR(IF(VLOOKUP(E:E,'Old Report'!E:J,6,FALSE)="","",VLOOKUP(E:E,'Old Report'!E:J,6,FALSE)),"")</f>
        <v/>
      </c>
      <c r="L379" t="str">
        <f>IFERROR(IF(VLOOKUP(E:E,'Old Report'!E:L,8,FALSE)="","",VLOOKUP(E:E,'Old Report'!E:L,8,FALSE)),"")</f>
        <v/>
      </c>
      <c r="M379" s="5" t="str">
        <f t="shared" si="28"/>
        <v/>
      </c>
      <c r="N379" s="5" t="str">
        <f t="shared" si="29"/>
        <v/>
      </c>
    </row>
    <row r="380" spans="1:14" x14ac:dyDescent="0.25">
      <c r="A380" s="5">
        <v>379</v>
      </c>
      <c r="B380" s="5">
        <f t="shared" si="26"/>
        <v>0</v>
      </c>
      <c r="C380" s="5" t="str">
        <f t="shared" si="25"/>
        <v/>
      </c>
      <c r="D380" s="5" t="str">
        <f>IFERROR(IF(F380&lt;&gt;"",F380,VLOOKUP(MAX(C$2:C380),A$2:F380,2,FALSE)),"")</f>
        <v/>
      </c>
      <c r="E380" s="5" t="str">
        <f t="shared" si="27"/>
        <v/>
      </c>
      <c r="K380" t="str">
        <f>IFERROR(IF(VLOOKUP(E:E,'Old Report'!E:J,6,FALSE)="","",VLOOKUP(E:E,'Old Report'!E:J,6,FALSE)),"")</f>
        <v/>
      </c>
      <c r="L380" t="str">
        <f>IFERROR(IF(VLOOKUP(E:E,'Old Report'!E:L,8,FALSE)="","",VLOOKUP(E:E,'Old Report'!E:L,8,FALSE)),"")</f>
        <v/>
      </c>
      <c r="M380" s="5" t="str">
        <f t="shared" si="28"/>
        <v/>
      </c>
      <c r="N380" s="5" t="str">
        <f t="shared" si="29"/>
        <v/>
      </c>
    </row>
    <row r="381" spans="1:14" x14ac:dyDescent="0.25">
      <c r="A381" s="5">
        <v>380</v>
      </c>
      <c r="B381" s="5">
        <f t="shared" si="26"/>
        <v>0</v>
      </c>
      <c r="C381" s="5" t="str">
        <f t="shared" si="25"/>
        <v/>
      </c>
      <c r="D381" s="5" t="str">
        <f>IFERROR(IF(F381&lt;&gt;"",F381,VLOOKUP(MAX(C$2:C381),A$2:F381,2,FALSE)),"")</f>
        <v/>
      </c>
      <c r="E381" s="5" t="str">
        <f t="shared" si="27"/>
        <v/>
      </c>
      <c r="K381" t="str">
        <f>IFERROR(IF(VLOOKUP(E:E,'Old Report'!E:J,6,FALSE)="","",VLOOKUP(E:E,'Old Report'!E:J,6,FALSE)),"")</f>
        <v/>
      </c>
      <c r="L381" t="str">
        <f>IFERROR(IF(VLOOKUP(E:E,'Old Report'!E:L,8,FALSE)="","",VLOOKUP(E:E,'Old Report'!E:L,8,FALSE)),"")</f>
        <v/>
      </c>
      <c r="M381" s="5" t="str">
        <f t="shared" si="28"/>
        <v/>
      </c>
      <c r="N381" s="5" t="str">
        <f t="shared" si="29"/>
        <v/>
      </c>
    </row>
    <row r="382" spans="1:14" x14ac:dyDescent="0.25">
      <c r="A382" s="5">
        <v>381</v>
      </c>
      <c r="B382" s="5">
        <f t="shared" si="26"/>
        <v>0</v>
      </c>
      <c r="C382" s="5" t="str">
        <f t="shared" si="25"/>
        <v/>
      </c>
      <c r="D382" s="5" t="str">
        <f>IFERROR(IF(F382&lt;&gt;"",F382,VLOOKUP(MAX(C$2:C382),A$2:F382,2,FALSE)),"")</f>
        <v/>
      </c>
      <c r="E382" s="5" t="str">
        <f t="shared" si="27"/>
        <v/>
      </c>
      <c r="K382" t="str">
        <f>IFERROR(IF(VLOOKUP(E:E,'Old Report'!E:J,6,FALSE)="","",VLOOKUP(E:E,'Old Report'!E:J,6,FALSE)),"")</f>
        <v/>
      </c>
      <c r="L382" t="str">
        <f>IFERROR(IF(VLOOKUP(E:E,'Old Report'!E:L,8,FALSE)="","",VLOOKUP(E:E,'Old Report'!E:L,8,FALSE)),"")</f>
        <v/>
      </c>
      <c r="M382" s="5" t="str">
        <f t="shared" si="28"/>
        <v/>
      </c>
      <c r="N382" s="5" t="str">
        <f t="shared" si="29"/>
        <v/>
      </c>
    </row>
    <row r="383" spans="1:14" x14ac:dyDescent="0.25">
      <c r="A383" s="5">
        <v>382</v>
      </c>
      <c r="B383" s="5">
        <f t="shared" si="26"/>
        <v>0</v>
      </c>
      <c r="C383" s="5" t="str">
        <f t="shared" si="25"/>
        <v/>
      </c>
      <c r="D383" s="5" t="str">
        <f>IFERROR(IF(F383&lt;&gt;"",F383,VLOOKUP(MAX(C$2:C383),A$2:F383,2,FALSE)),"")</f>
        <v/>
      </c>
      <c r="E383" s="5" t="str">
        <f t="shared" si="27"/>
        <v/>
      </c>
      <c r="K383" t="str">
        <f>IFERROR(IF(VLOOKUP(E:E,'Old Report'!E:J,6,FALSE)="","",VLOOKUP(E:E,'Old Report'!E:J,6,FALSE)),"")</f>
        <v/>
      </c>
      <c r="L383" t="str">
        <f>IFERROR(IF(VLOOKUP(E:E,'Old Report'!E:L,8,FALSE)="","",VLOOKUP(E:E,'Old Report'!E:L,8,FALSE)),"")</f>
        <v/>
      </c>
      <c r="M383" s="5" t="str">
        <f t="shared" si="28"/>
        <v/>
      </c>
      <c r="N383" s="5" t="str">
        <f t="shared" si="29"/>
        <v/>
      </c>
    </row>
    <row r="384" spans="1:14" x14ac:dyDescent="0.25">
      <c r="A384" s="5">
        <v>383</v>
      </c>
      <c r="B384" s="5">
        <f t="shared" si="26"/>
        <v>0</v>
      </c>
      <c r="C384" s="5" t="str">
        <f t="shared" si="25"/>
        <v/>
      </c>
      <c r="D384" s="5" t="str">
        <f>IFERROR(IF(F384&lt;&gt;"",F384,VLOOKUP(MAX(C$2:C384),A$2:F384,2,FALSE)),"")</f>
        <v/>
      </c>
      <c r="E384" s="5" t="str">
        <f t="shared" si="27"/>
        <v/>
      </c>
      <c r="K384" t="str">
        <f>IFERROR(IF(VLOOKUP(E:E,'Old Report'!E:J,6,FALSE)="","",VLOOKUP(E:E,'Old Report'!E:J,6,FALSE)),"")</f>
        <v/>
      </c>
      <c r="L384" t="str">
        <f>IFERROR(IF(VLOOKUP(E:E,'Old Report'!E:L,8,FALSE)="","",VLOOKUP(E:E,'Old Report'!E:L,8,FALSE)),"")</f>
        <v/>
      </c>
      <c r="M384" s="5" t="str">
        <f t="shared" si="28"/>
        <v/>
      </c>
      <c r="N384" s="5" t="str">
        <f t="shared" si="29"/>
        <v/>
      </c>
    </row>
    <row r="385" spans="1:14" x14ac:dyDescent="0.25">
      <c r="A385" s="5">
        <v>384</v>
      </c>
      <c r="B385" s="5">
        <f t="shared" si="26"/>
        <v>0</v>
      </c>
      <c r="C385" s="5" t="str">
        <f t="shared" si="25"/>
        <v/>
      </c>
      <c r="D385" s="5" t="str">
        <f>IFERROR(IF(F385&lt;&gt;"",F385,VLOOKUP(MAX(C$2:C385),A$2:F385,2,FALSE)),"")</f>
        <v/>
      </c>
      <c r="E385" s="5" t="str">
        <f t="shared" si="27"/>
        <v/>
      </c>
      <c r="K385" t="str">
        <f>IFERROR(IF(VLOOKUP(E:E,'Old Report'!E:J,6,FALSE)="","",VLOOKUP(E:E,'Old Report'!E:J,6,FALSE)),"")</f>
        <v/>
      </c>
      <c r="L385" t="str">
        <f>IFERROR(IF(VLOOKUP(E:E,'Old Report'!E:L,8,FALSE)="","",VLOOKUP(E:E,'Old Report'!E:L,8,FALSE)),"")</f>
        <v/>
      </c>
      <c r="M385" s="5" t="str">
        <f t="shared" si="28"/>
        <v/>
      </c>
      <c r="N385" s="5" t="str">
        <f t="shared" si="29"/>
        <v/>
      </c>
    </row>
    <row r="386" spans="1:14" x14ac:dyDescent="0.25">
      <c r="A386" s="5">
        <v>385</v>
      </c>
      <c r="B386" s="5">
        <f t="shared" si="26"/>
        <v>0</v>
      </c>
      <c r="C386" s="5" t="str">
        <f t="shared" ref="C386:C449" si="30">IF(F386&lt;&gt;"",A386,"")</f>
        <v/>
      </c>
      <c r="D386" s="5" t="str">
        <f>IFERROR(IF(F386&lt;&gt;"",F386,VLOOKUP(MAX(C$2:C386),A$2:F386,2,FALSE)),"")</f>
        <v/>
      </c>
      <c r="E386" s="5" t="str">
        <f t="shared" si="27"/>
        <v/>
      </c>
      <c r="K386" t="str">
        <f>IFERROR(IF(VLOOKUP(E:E,'Old Report'!E:J,6,FALSE)="","",VLOOKUP(E:E,'Old Report'!E:J,6,FALSE)),"")</f>
        <v/>
      </c>
      <c r="L386" t="str">
        <f>IFERROR(IF(VLOOKUP(E:E,'Old Report'!E:L,8,FALSE)="","",VLOOKUP(E:E,'Old Report'!E:L,8,FALSE)),"")</f>
        <v/>
      </c>
      <c r="M386" s="5" t="str">
        <f t="shared" si="28"/>
        <v/>
      </c>
      <c r="N386" s="5" t="str">
        <f t="shared" si="29"/>
        <v/>
      </c>
    </row>
    <row r="387" spans="1:14" x14ac:dyDescent="0.25">
      <c r="A387" s="5">
        <v>386</v>
      </c>
      <c r="B387" s="5">
        <f t="shared" ref="B387:B450" si="31">IF(F388&lt;&gt;"",F388,F387)</f>
        <v>0</v>
      </c>
      <c r="C387" s="5" t="str">
        <f t="shared" si="30"/>
        <v/>
      </c>
      <c r="D387" s="5" t="str">
        <f>IFERROR(IF(F387&lt;&gt;"",F387,VLOOKUP(MAX(C$2:C387),A$2:F387,2,FALSE)),"")</f>
        <v/>
      </c>
      <c r="E387" s="5" t="str">
        <f t="shared" ref="E387:E450" si="32">IF(H387&lt;&gt;"",CONCATENATE(D387,".",H387),"")</f>
        <v/>
      </c>
      <c r="K387" t="str">
        <f>IFERROR(IF(VLOOKUP(E:E,'Old Report'!E:J,6,FALSE)="","",VLOOKUP(E:E,'Old Report'!E:J,6,FALSE)),"")</f>
        <v/>
      </c>
      <c r="L387" t="str">
        <f>IFERROR(IF(VLOOKUP(E:E,'Old Report'!E:L,8,FALSE)="","",VLOOKUP(E:E,'Old Report'!E:L,8,FALSE)),"")</f>
        <v/>
      </c>
      <c r="M387" s="5" t="str">
        <f t="shared" si="28"/>
        <v/>
      </c>
      <c r="N387" s="5" t="str">
        <f t="shared" si="29"/>
        <v/>
      </c>
    </row>
    <row r="388" spans="1:14" x14ac:dyDescent="0.25">
      <c r="A388" s="5">
        <v>387</v>
      </c>
      <c r="B388" s="5">
        <f t="shared" si="31"/>
        <v>0</v>
      </c>
      <c r="C388" s="5" t="str">
        <f t="shared" si="30"/>
        <v/>
      </c>
      <c r="D388" s="5" t="str">
        <f>IFERROR(IF(F388&lt;&gt;"",F388,VLOOKUP(MAX(C$2:C388),A$2:F388,2,FALSE)),"")</f>
        <v/>
      </c>
      <c r="E388" s="5" t="str">
        <f t="shared" si="32"/>
        <v/>
      </c>
      <c r="K388" t="str">
        <f>IFERROR(IF(VLOOKUP(E:E,'Old Report'!E:J,6,FALSE)="","",VLOOKUP(E:E,'Old Report'!E:J,6,FALSE)),"")</f>
        <v/>
      </c>
      <c r="L388" t="str">
        <f>IFERROR(IF(VLOOKUP(E:E,'Old Report'!E:L,8,FALSE)="","",VLOOKUP(E:E,'Old Report'!E:L,8,FALSE)),"")</f>
        <v/>
      </c>
      <c r="M388" s="5" t="str">
        <f t="shared" ref="M388:M451" si="33">IFERROR(L388,"")</f>
        <v/>
      </c>
      <c r="N388" s="5" t="str">
        <f t="shared" ref="N388:N451" si="34">IFERROR( IF(J388&lt;&gt;"",IF(K388 &lt;&gt; "",IF(J388 = K388,"No Change",IF(J388 &lt; K388,CONCATENATE("Issues reduced from ",K388," to ",J388),IF(J388&gt;K388,CONCATENATE("Issues increased from ",K388," to ",J388),""))),"New issue - needs to be checked"),""),"")</f>
        <v/>
      </c>
    </row>
    <row r="389" spans="1:14" x14ac:dyDescent="0.25">
      <c r="A389" s="5">
        <v>388</v>
      </c>
      <c r="B389" s="5">
        <f t="shared" si="31"/>
        <v>0</v>
      </c>
      <c r="C389" s="5" t="str">
        <f t="shared" si="30"/>
        <v/>
      </c>
      <c r="D389" s="5" t="str">
        <f>IFERROR(IF(F389&lt;&gt;"",F389,VLOOKUP(MAX(C$2:C389),A$2:F389,2,FALSE)),"")</f>
        <v/>
      </c>
      <c r="E389" s="5" t="str">
        <f t="shared" si="32"/>
        <v/>
      </c>
      <c r="K389" t="str">
        <f>IFERROR(IF(VLOOKUP(E:E,'Old Report'!E:J,6,FALSE)="","",VLOOKUP(E:E,'Old Report'!E:J,6,FALSE)),"")</f>
        <v/>
      </c>
      <c r="L389" t="str">
        <f>IFERROR(IF(VLOOKUP(E:E,'Old Report'!E:L,8,FALSE)="","",VLOOKUP(E:E,'Old Report'!E:L,8,FALSE)),"")</f>
        <v/>
      </c>
      <c r="M389" s="5" t="str">
        <f t="shared" si="33"/>
        <v/>
      </c>
      <c r="N389" s="5" t="str">
        <f t="shared" si="34"/>
        <v/>
      </c>
    </row>
    <row r="390" spans="1:14" x14ac:dyDescent="0.25">
      <c r="A390" s="5">
        <v>389</v>
      </c>
      <c r="B390" s="5">
        <f t="shared" si="31"/>
        <v>0</v>
      </c>
      <c r="C390" s="5" t="str">
        <f t="shared" si="30"/>
        <v/>
      </c>
      <c r="D390" s="5" t="str">
        <f>IFERROR(IF(F390&lt;&gt;"",F390,VLOOKUP(MAX(C$2:C390),A$2:F390,2,FALSE)),"")</f>
        <v/>
      </c>
      <c r="E390" s="5" t="str">
        <f t="shared" si="32"/>
        <v/>
      </c>
      <c r="K390" t="str">
        <f>IFERROR(IF(VLOOKUP(E:E,'Old Report'!E:J,6,FALSE)="","",VLOOKUP(E:E,'Old Report'!E:J,6,FALSE)),"")</f>
        <v/>
      </c>
      <c r="L390" t="str">
        <f>IFERROR(IF(VLOOKUP(E:E,'Old Report'!E:L,8,FALSE)="","",VLOOKUP(E:E,'Old Report'!E:L,8,FALSE)),"")</f>
        <v/>
      </c>
      <c r="M390" s="5" t="str">
        <f t="shared" si="33"/>
        <v/>
      </c>
      <c r="N390" s="5" t="str">
        <f t="shared" si="34"/>
        <v/>
      </c>
    </row>
    <row r="391" spans="1:14" x14ac:dyDescent="0.25">
      <c r="A391" s="5">
        <v>390</v>
      </c>
      <c r="B391" s="5">
        <f t="shared" si="31"/>
        <v>0</v>
      </c>
      <c r="C391" s="5" t="str">
        <f t="shared" si="30"/>
        <v/>
      </c>
      <c r="D391" s="5" t="str">
        <f>IFERROR(IF(F391&lt;&gt;"",F391,VLOOKUP(MAX(C$2:C391),A$2:F391,2,FALSE)),"")</f>
        <v/>
      </c>
      <c r="E391" s="5" t="str">
        <f t="shared" si="32"/>
        <v/>
      </c>
      <c r="K391" t="str">
        <f>IFERROR(IF(VLOOKUP(E:E,'Old Report'!E:J,6,FALSE)="","",VLOOKUP(E:E,'Old Report'!E:J,6,FALSE)),"")</f>
        <v/>
      </c>
      <c r="L391" t="str">
        <f>IFERROR(IF(VLOOKUP(E:E,'Old Report'!E:L,8,FALSE)="","",VLOOKUP(E:E,'Old Report'!E:L,8,FALSE)),"")</f>
        <v/>
      </c>
      <c r="M391" s="5" t="str">
        <f t="shared" si="33"/>
        <v/>
      </c>
      <c r="N391" s="5" t="str">
        <f t="shared" si="34"/>
        <v/>
      </c>
    </row>
    <row r="392" spans="1:14" x14ac:dyDescent="0.25">
      <c r="A392" s="5">
        <v>391</v>
      </c>
      <c r="B392" s="5">
        <f t="shared" si="31"/>
        <v>0</v>
      </c>
      <c r="C392" s="5" t="str">
        <f t="shared" si="30"/>
        <v/>
      </c>
      <c r="D392" s="5" t="str">
        <f>IFERROR(IF(F392&lt;&gt;"",F392,VLOOKUP(MAX(C$2:C392),A$2:F392,2,FALSE)),"")</f>
        <v/>
      </c>
      <c r="E392" s="5" t="str">
        <f t="shared" si="32"/>
        <v/>
      </c>
      <c r="K392" t="str">
        <f>IFERROR(IF(VLOOKUP(E:E,'Old Report'!E:J,6,FALSE)="","",VLOOKUP(E:E,'Old Report'!E:J,6,FALSE)),"")</f>
        <v/>
      </c>
      <c r="L392" t="str">
        <f>IFERROR(IF(VLOOKUP(E:E,'Old Report'!E:L,8,FALSE)="","",VLOOKUP(E:E,'Old Report'!E:L,8,FALSE)),"")</f>
        <v/>
      </c>
      <c r="M392" s="5" t="str">
        <f t="shared" si="33"/>
        <v/>
      </c>
      <c r="N392" s="5" t="str">
        <f t="shared" si="34"/>
        <v/>
      </c>
    </row>
    <row r="393" spans="1:14" x14ac:dyDescent="0.25">
      <c r="A393" s="5">
        <v>392</v>
      </c>
      <c r="B393" s="5">
        <f t="shared" si="31"/>
        <v>0</v>
      </c>
      <c r="C393" s="5" t="str">
        <f t="shared" si="30"/>
        <v/>
      </c>
      <c r="D393" s="5" t="str">
        <f>IFERROR(IF(F393&lt;&gt;"",F393,VLOOKUP(MAX(C$2:C393),A$2:F393,2,FALSE)),"")</f>
        <v/>
      </c>
      <c r="E393" s="5" t="str">
        <f t="shared" si="32"/>
        <v/>
      </c>
      <c r="K393" t="str">
        <f>IFERROR(IF(VLOOKUP(E:E,'Old Report'!E:J,6,FALSE)="","",VLOOKUP(E:E,'Old Report'!E:J,6,FALSE)),"")</f>
        <v/>
      </c>
      <c r="L393" t="str">
        <f>IFERROR(IF(VLOOKUP(E:E,'Old Report'!E:L,8,FALSE)="","",VLOOKUP(E:E,'Old Report'!E:L,8,FALSE)),"")</f>
        <v/>
      </c>
      <c r="M393" s="5" t="str">
        <f t="shared" si="33"/>
        <v/>
      </c>
      <c r="N393" s="5" t="str">
        <f t="shared" si="34"/>
        <v/>
      </c>
    </row>
    <row r="394" spans="1:14" x14ac:dyDescent="0.25">
      <c r="A394" s="5">
        <v>393</v>
      </c>
      <c r="B394" s="5">
        <f t="shared" si="31"/>
        <v>0</v>
      </c>
      <c r="C394" s="5" t="str">
        <f t="shared" si="30"/>
        <v/>
      </c>
      <c r="D394" s="5" t="str">
        <f>IFERROR(IF(F394&lt;&gt;"",F394,VLOOKUP(MAX(C$2:C394),A$2:F394,2,FALSE)),"")</f>
        <v/>
      </c>
      <c r="E394" s="5" t="str">
        <f t="shared" si="32"/>
        <v/>
      </c>
      <c r="K394" t="str">
        <f>IFERROR(IF(VLOOKUP(E:E,'Old Report'!E:J,6,FALSE)="","",VLOOKUP(E:E,'Old Report'!E:J,6,FALSE)),"")</f>
        <v/>
      </c>
      <c r="L394" t="str">
        <f>IFERROR(IF(VLOOKUP(E:E,'Old Report'!E:L,8,FALSE)="","",VLOOKUP(E:E,'Old Report'!E:L,8,FALSE)),"")</f>
        <v/>
      </c>
      <c r="M394" s="5" t="str">
        <f t="shared" si="33"/>
        <v/>
      </c>
      <c r="N394" s="5" t="str">
        <f t="shared" si="34"/>
        <v/>
      </c>
    </row>
    <row r="395" spans="1:14" x14ac:dyDescent="0.25">
      <c r="A395" s="5">
        <v>394</v>
      </c>
      <c r="B395" s="5">
        <f t="shared" si="31"/>
        <v>0</v>
      </c>
      <c r="C395" s="5" t="str">
        <f t="shared" si="30"/>
        <v/>
      </c>
      <c r="D395" s="5" t="str">
        <f>IFERROR(IF(F395&lt;&gt;"",F395,VLOOKUP(MAX(C$2:C395),A$2:F395,2,FALSE)),"")</f>
        <v/>
      </c>
      <c r="E395" s="5" t="str">
        <f t="shared" si="32"/>
        <v/>
      </c>
      <c r="K395" t="str">
        <f>IFERROR(IF(VLOOKUP(E:E,'Old Report'!E:J,6,FALSE)="","",VLOOKUP(E:E,'Old Report'!E:J,6,FALSE)),"")</f>
        <v/>
      </c>
      <c r="L395" t="str">
        <f>IFERROR(IF(VLOOKUP(E:E,'Old Report'!E:L,8,FALSE)="","",VLOOKUP(E:E,'Old Report'!E:L,8,FALSE)),"")</f>
        <v/>
      </c>
      <c r="M395" s="5" t="str">
        <f t="shared" si="33"/>
        <v/>
      </c>
      <c r="N395" s="5" t="str">
        <f t="shared" si="34"/>
        <v/>
      </c>
    </row>
    <row r="396" spans="1:14" x14ac:dyDescent="0.25">
      <c r="A396" s="5">
        <v>395</v>
      </c>
      <c r="B396" s="5">
        <f t="shared" si="31"/>
        <v>0</v>
      </c>
      <c r="C396" s="5" t="str">
        <f t="shared" si="30"/>
        <v/>
      </c>
      <c r="D396" s="5" t="str">
        <f>IFERROR(IF(F396&lt;&gt;"",F396,VLOOKUP(MAX(C$2:C396),A$2:F396,2,FALSE)),"")</f>
        <v/>
      </c>
      <c r="E396" s="5" t="str">
        <f t="shared" si="32"/>
        <v/>
      </c>
      <c r="K396" t="str">
        <f>IFERROR(IF(VLOOKUP(E:E,'Old Report'!E:J,6,FALSE)="","",VLOOKUP(E:E,'Old Report'!E:J,6,FALSE)),"")</f>
        <v/>
      </c>
      <c r="L396" t="str">
        <f>IFERROR(IF(VLOOKUP(E:E,'Old Report'!E:L,8,FALSE)="","",VLOOKUP(E:E,'Old Report'!E:L,8,FALSE)),"")</f>
        <v/>
      </c>
      <c r="M396" s="5" t="str">
        <f t="shared" si="33"/>
        <v/>
      </c>
      <c r="N396" s="5" t="str">
        <f t="shared" si="34"/>
        <v/>
      </c>
    </row>
    <row r="397" spans="1:14" x14ac:dyDescent="0.25">
      <c r="A397" s="5">
        <v>396</v>
      </c>
      <c r="B397" s="5">
        <f t="shared" si="31"/>
        <v>0</v>
      </c>
      <c r="C397" s="5" t="str">
        <f t="shared" si="30"/>
        <v/>
      </c>
      <c r="D397" s="5" t="str">
        <f>IFERROR(IF(F397&lt;&gt;"",F397,VLOOKUP(MAX(C$2:C397),A$2:F397,2,FALSE)),"")</f>
        <v/>
      </c>
      <c r="E397" s="5" t="str">
        <f t="shared" si="32"/>
        <v/>
      </c>
      <c r="K397" t="str">
        <f>IFERROR(IF(VLOOKUP(E:E,'Old Report'!E:J,6,FALSE)="","",VLOOKUP(E:E,'Old Report'!E:J,6,FALSE)),"")</f>
        <v/>
      </c>
      <c r="L397" t="str">
        <f>IFERROR(IF(VLOOKUP(E:E,'Old Report'!E:L,8,FALSE)="","",VLOOKUP(E:E,'Old Report'!E:L,8,FALSE)),"")</f>
        <v/>
      </c>
      <c r="M397" s="5" t="str">
        <f t="shared" si="33"/>
        <v/>
      </c>
      <c r="N397" s="5" t="str">
        <f t="shared" si="34"/>
        <v/>
      </c>
    </row>
    <row r="398" spans="1:14" x14ac:dyDescent="0.25">
      <c r="A398" s="5">
        <v>397</v>
      </c>
      <c r="B398" s="5">
        <f t="shared" si="31"/>
        <v>0</v>
      </c>
      <c r="C398" s="5" t="str">
        <f t="shared" si="30"/>
        <v/>
      </c>
      <c r="D398" s="5" t="str">
        <f>IFERROR(IF(F398&lt;&gt;"",F398,VLOOKUP(MAX(C$2:C398),A$2:F398,2,FALSE)),"")</f>
        <v/>
      </c>
      <c r="E398" s="5" t="str">
        <f t="shared" si="32"/>
        <v/>
      </c>
      <c r="K398" t="str">
        <f>IFERROR(IF(VLOOKUP(E:E,'Old Report'!E:J,6,FALSE)="","",VLOOKUP(E:E,'Old Report'!E:J,6,FALSE)),"")</f>
        <v/>
      </c>
      <c r="L398" t="str">
        <f>IFERROR(IF(VLOOKUP(E:E,'Old Report'!E:L,8,FALSE)="","",VLOOKUP(E:E,'Old Report'!E:L,8,FALSE)),"")</f>
        <v/>
      </c>
      <c r="M398" s="5" t="str">
        <f t="shared" si="33"/>
        <v/>
      </c>
      <c r="N398" s="5" t="str">
        <f t="shared" si="34"/>
        <v/>
      </c>
    </row>
    <row r="399" spans="1:14" x14ac:dyDescent="0.25">
      <c r="A399" s="5">
        <v>398</v>
      </c>
      <c r="B399" s="5">
        <f t="shared" si="31"/>
        <v>0</v>
      </c>
      <c r="C399" s="5" t="str">
        <f t="shared" si="30"/>
        <v/>
      </c>
      <c r="D399" s="5" t="str">
        <f>IFERROR(IF(F399&lt;&gt;"",F399,VLOOKUP(MAX(C$2:C399),A$2:F399,2,FALSE)),"")</f>
        <v/>
      </c>
      <c r="E399" s="5" t="str">
        <f t="shared" si="32"/>
        <v/>
      </c>
      <c r="K399" t="str">
        <f>IFERROR(IF(VLOOKUP(E:E,'Old Report'!E:J,6,FALSE)="","",VLOOKUP(E:E,'Old Report'!E:J,6,FALSE)),"")</f>
        <v/>
      </c>
      <c r="L399" t="str">
        <f>IFERROR(IF(VLOOKUP(E:E,'Old Report'!E:L,8,FALSE)="","",VLOOKUP(E:E,'Old Report'!E:L,8,FALSE)),"")</f>
        <v/>
      </c>
      <c r="M399" s="5" t="str">
        <f t="shared" si="33"/>
        <v/>
      </c>
      <c r="N399" s="5" t="str">
        <f t="shared" si="34"/>
        <v/>
      </c>
    </row>
    <row r="400" spans="1:14" x14ac:dyDescent="0.25">
      <c r="A400" s="5">
        <v>399</v>
      </c>
      <c r="B400" s="5">
        <f t="shared" si="31"/>
        <v>0</v>
      </c>
      <c r="C400" s="5" t="str">
        <f t="shared" si="30"/>
        <v/>
      </c>
      <c r="D400" s="5" t="str">
        <f>IFERROR(IF(F400&lt;&gt;"",F400,VLOOKUP(MAX(C$2:C400),A$2:F400,2,FALSE)),"")</f>
        <v/>
      </c>
      <c r="E400" s="5" t="str">
        <f t="shared" si="32"/>
        <v/>
      </c>
      <c r="K400" t="str">
        <f>IFERROR(IF(VLOOKUP(E:E,'Old Report'!E:J,6,FALSE)="","",VLOOKUP(E:E,'Old Report'!E:J,6,FALSE)),"")</f>
        <v/>
      </c>
      <c r="L400" t="str">
        <f>IFERROR(IF(VLOOKUP(E:E,'Old Report'!E:L,8,FALSE)="","",VLOOKUP(E:E,'Old Report'!E:L,8,FALSE)),"")</f>
        <v/>
      </c>
      <c r="M400" s="5" t="str">
        <f t="shared" si="33"/>
        <v/>
      </c>
      <c r="N400" s="5" t="str">
        <f t="shared" si="34"/>
        <v/>
      </c>
    </row>
    <row r="401" spans="1:14" x14ac:dyDescent="0.25">
      <c r="A401" s="5">
        <v>400</v>
      </c>
      <c r="B401" s="5">
        <f t="shared" si="31"/>
        <v>0</v>
      </c>
      <c r="C401" s="5" t="str">
        <f t="shared" si="30"/>
        <v/>
      </c>
      <c r="D401" s="5" t="str">
        <f>IFERROR(IF(F401&lt;&gt;"",F401,VLOOKUP(MAX(C$2:C401),A$2:F401,2,FALSE)),"")</f>
        <v/>
      </c>
      <c r="E401" s="5" t="str">
        <f t="shared" si="32"/>
        <v/>
      </c>
      <c r="K401" t="str">
        <f>IFERROR(IF(VLOOKUP(E:E,'Old Report'!E:J,6,FALSE)="","",VLOOKUP(E:E,'Old Report'!E:J,6,FALSE)),"")</f>
        <v/>
      </c>
      <c r="L401" t="str">
        <f>IFERROR(IF(VLOOKUP(E:E,'Old Report'!E:L,8,FALSE)="","",VLOOKUP(E:E,'Old Report'!E:L,8,FALSE)),"")</f>
        <v/>
      </c>
      <c r="M401" s="5" t="str">
        <f t="shared" si="33"/>
        <v/>
      </c>
      <c r="N401" s="5" t="str">
        <f t="shared" si="34"/>
        <v/>
      </c>
    </row>
    <row r="402" spans="1:14" x14ac:dyDescent="0.25">
      <c r="A402" s="5">
        <v>401</v>
      </c>
      <c r="B402" s="5">
        <f t="shared" si="31"/>
        <v>0</v>
      </c>
      <c r="C402" s="5" t="str">
        <f t="shared" si="30"/>
        <v/>
      </c>
      <c r="D402" s="5" t="str">
        <f>IFERROR(IF(F402&lt;&gt;"",F402,VLOOKUP(MAX(C$2:C402),A$2:F402,2,FALSE)),"")</f>
        <v/>
      </c>
      <c r="E402" s="5" t="str">
        <f t="shared" si="32"/>
        <v/>
      </c>
      <c r="K402" t="str">
        <f>IFERROR(IF(VLOOKUP(E:E,'Old Report'!E:J,6,FALSE)="","",VLOOKUP(E:E,'Old Report'!E:J,6,FALSE)),"")</f>
        <v/>
      </c>
      <c r="L402" t="str">
        <f>IFERROR(IF(VLOOKUP(E:E,'Old Report'!E:L,8,FALSE)="","",VLOOKUP(E:E,'Old Report'!E:L,8,FALSE)),"")</f>
        <v/>
      </c>
      <c r="M402" s="5" t="str">
        <f t="shared" si="33"/>
        <v/>
      </c>
      <c r="N402" s="5" t="str">
        <f t="shared" si="34"/>
        <v/>
      </c>
    </row>
    <row r="403" spans="1:14" x14ac:dyDescent="0.25">
      <c r="A403" s="5">
        <v>402</v>
      </c>
      <c r="B403" s="5">
        <f t="shared" si="31"/>
        <v>0</v>
      </c>
      <c r="C403" s="5" t="str">
        <f t="shared" si="30"/>
        <v/>
      </c>
      <c r="D403" s="5" t="str">
        <f>IFERROR(IF(F403&lt;&gt;"",F403,VLOOKUP(MAX(C$2:C403),A$2:F403,2,FALSE)),"")</f>
        <v/>
      </c>
      <c r="E403" s="5" t="str">
        <f t="shared" si="32"/>
        <v/>
      </c>
      <c r="K403" t="str">
        <f>IFERROR(IF(VLOOKUP(E:E,'Old Report'!E:J,6,FALSE)="","",VLOOKUP(E:E,'Old Report'!E:J,6,FALSE)),"")</f>
        <v/>
      </c>
      <c r="L403" t="str">
        <f>IFERROR(IF(VLOOKUP(E:E,'Old Report'!E:L,8,FALSE)="","",VLOOKUP(E:E,'Old Report'!E:L,8,FALSE)),"")</f>
        <v/>
      </c>
      <c r="M403" s="5" t="str">
        <f t="shared" si="33"/>
        <v/>
      </c>
      <c r="N403" s="5" t="str">
        <f t="shared" si="34"/>
        <v/>
      </c>
    </row>
    <row r="404" spans="1:14" x14ac:dyDescent="0.25">
      <c r="A404" s="5">
        <v>403</v>
      </c>
      <c r="B404" s="5">
        <f t="shared" si="31"/>
        <v>0</v>
      </c>
      <c r="C404" s="5" t="str">
        <f t="shared" si="30"/>
        <v/>
      </c>
      <c r="D404" s="5" t="str">
        <f>IFERROR(IF(F404&lt;&gt;"",F404,VLOOKUP(MAX(C$2:C404),A$2:F404,2,FALSE)),"")</f>
        <v/>
      </c>
      <c r="E404" s="5" t="str">
        <f t="shared" si="32"/>
        <v/>
      </c>
      <c r="K404" t="str">
        <f>IFERROR(IF(VLOOKUP(E:E,'Old Report'!E:J,6,FALSE)="","",VLOOKUP(E:E,'Old Report'!E:J,6,FALSE)),"")</f>
        <v/>
      </c>
      <c r="L404" t="str">
        <f>IFERROR(IF(VLOOKUP(E:E,'Old Report'!E:L,8,FALSE)="","",VLOOKUP(E:E,'Old Report'!E:L,8,FALSE)),"")</f>
        <v/>
      </c>
      <c r="M404" s="5" t="str">
        <f t="shared" si="33"/>
        <v/>
      </c>
      <c r="N404" s="5" t="str">
        <f t="shared" si="34"/>
        <v/>
      </c>
    </row>
    <row r="405" spans="1:14" x14ac:dyDescent="0.25">
      <c r="A405" s="5">
        <v>404</v>
      </c>
      <c r="B405" s="5">
        <f t="shared" si="31"/>
        <v>0</v>
      </c>
      <c r="C405" s="5" t="str">
        <f t="shared" si="30"/>
        <v/>
      </c>
      <c r="D405" s="5" t="str">
        <f>IFERROR(IF(F405&lt;&gt;"",F405,VLOOKUP(MAX(C$2:C405),A$2:F405,2,FALSE)),"")</f>
        <v/>
      </c>
      <c r="E405" s="5" t="str">
        <f t="shared" si="32"/>
        <v/>
      </c>
      <c r="K405" t="str">
        <f>IFERROR(IF(VLOOKUP(E:E,'Old Report'!E:J,6,FALSE)="","",VLOOKUP(E:E,'Old Report'!E:J,6,FALSE)),"")</f>
        <v/>
      </c>
      <c r="L405" t="str">
        <f>IFERROR(IF(VLOOKUP(E:E,'Old Report'!E:L,8,FALSE)="","",VLOOKUP(E:E,'Old Report'!E:L,8,FALSE)),"")</f>
        <v/>
      </c>
      <c r="M405" s="5" t="str">
        <f t="shared" si="33"/>
        <v/>
      </c>
      <c r="N405" s="5" t="str">
        <f t="shared" si="34"/>
        <v/>
      </c>
    </row>
    <row r="406" spans="1:14" x14ac:dyDescent="0.25">
      <c r="A406" s="5">
        <v>405</v>
      </c>
      <c r="B406" s="5">
        <f t="shared" si="31"/>
        <v>0</v>
      </c>
      <c r="C406" s="5" t="str">
        <f t="shared" si="30"/>
        <v/>
      </c>
      <c r="D406" s="5" t="str">
        <f>IFERROR(IF(F406&lt;&gt;"",F406,VLOOKUP(MAX(C$2:C406),A$2:F406,2,FALSE)),"")</f>
        <v/>
      </c>
      <c r="E406" s="5" t="str">
        <f t="shared" si="32"/>
        <v/>
      </c>
      <c r="K406" t="str">
        <f>IFERROR(IF(VLOOKUP(E:E,'Old Report'!E:J,6,FALSE)="","",VLOOKUP(E:E,'Old Report'!E:J,6,FALSE)),"")</f>
        <v/>
      </c>
      <c r="L406" t="str">
        <f>IFERROR(IF(VLOOKUP(E:E,'Old Report'!E:L,8,FALSE)="","",VLOOKUP(E:E,'Old Report'!E:L,8,FALSE)),"")</f>
        <v/>
      </c>
      <c r="M406" s="5" t="str">
        <f t="shared" si="33"/>
        <v/>
      </c>
      <c r="N406" s="5" t="str">
        <f t="shared" si="34"/>
        <v/>
      </c>
    </row>
    <row r="407" spans="1:14" x14ac:dyDescent="0.25">
      <c r="A407" s="5">
        <v>406</v>
      </c>
      <c r="B407" s="5">
        <f t="shared" si="31"/>
        <v>0</v>
      </c>
      <c r="C407" s="5" t="str">
        <f t="shared" si="30"/>
        <v/>
      </c>
      <c r="D407" s="5" t="str">
        <f>IFERROR(IF(F407&lt;&gt;"",F407,VLOOKUP(MAX(C$2:C407),A$2:F407,2,FALSE)),"")</f>
        <v/>
      </c>
      <c r="E407" s="5" t="str">
        <f t="shared" si="32"/>
        <v/>
      </c>
      <c r="K407" t="str">
        <f>IFERROR(IF(VLOOKUP(E:E,'Old Report'!E:J,6,FALSE)="","",VLOOKUP(E:E,'Old Report'!E:J,6,FALSE)),"")</f>
        <v/>
      </c>
      <c r="L407" t="str">
        <f>IFERROR(IF(VLOOKUP(E:E,'Old Report'!E:L,8,FALSE)="","",VLOOKUP(E:E,'Old Report'!E:L,8,FALSE)),"")</f>
        <v/>
      </c>
      <c r="M407" s="5" t="str">
        <f t="shared" si="33"/>
        <v/>
      </c>
      <c r="N407" s="5" t="str">
        <f t="shared" si="34"/>
        <v/>
      </c>
    </row>
    <row r="408" spans="1:14" x14ac:dyDescent="0.25">
      <c r="A408" s="5">
        <v>407</v>
      </c>
      <c r="B408" s="5">
        <f t="shared" si="31"/>
        <v>0</v>
      </c>
      <c r="C408" s="5" t="str">
        <f t="shared" si="30"/>
        <v/>
      </c>
      <c r="D408" s="5" t="str">
        <f>IFERROR(IF(F408&lt;&gt;"",F408,VLOOKUP(MAX(C$2:C408),A$2:F408,2,FALSE)),"")</f>
        <v/>
      </c>
      <c r="E408" s="5" t="str">
        <f t="shared" si="32"/>
        <v/>
      </c>
      <c r="K408" t="str">
        <f>IFERROR(IF(VLOOKUP(E:E,'Old Report'!E:J,6,FALSE)="","",VLOOKUP(E:E,'Old Report'!E:J,6,FALSE)),"")</f>
        <v/>
      </c>
      <c r="L408" t="str">
        <f>IFERROR(IF(VLOOKUP(E:E,'Old Report'!E:L,8,FALSE)="","",VLOOKUP(E:E,'Old Report'!E:L,8,FALSE)),"")</f>
        <v/>
      </c>
      <c r="M408" s="5" t="str">
        <f t="shared" si="33"/>
        <v/>
      </c>
      <c r="N408" s="5" t="str">
        <f t="shared" si="34"/>
        <v/>
      </c>
    </row>
    <row r="409" spans="1:14" x14ac:dyDescent="0.25">
      <c r="A409" s="5">
        <v>408</v>
      </c>
      <c r="B409" s="5">
        <f t="shared" si="31"/>
        <v>0</v>
      </c>
      <c r="C409" s="5" t="str">
        <f t="shared" si="30"/>
        <v/>
      </c>
      <c r="D409" s="5" t="str">
        <f>IFERROR(IF(F409&lt;&gt;"",F409,VLOOKUP(MAX(C$2:C409),A$2:F409,2,FALSE)),"")</f>
        <v/>
      </c>
      <c r="E409" s="5" t="str">
        <f t="shared" si="32"/>
        <v/>
      </c>
      <c r="K409" t="str">
        <f>IFERROR(IF(VLOOKUP(E:E,'Old Report'!E:J,6,FALSE)="","",VLOOKUP(E:E,'Old Report'!E:J,6,FALSE)),"")</f>
        <v/>
      </c>
      <c r="L409" t="str">
        <f>IFERROR(IF(VLOOKUP(E:E,'Old Report'!E:L,8,FALSE)="","",VLOOKUP(E:E,'Old Report'!E:L,8,FALSE)),"")</f>
        <v/>
      </c>
      <c r="M409" s="5" t="str">
        <f t="shared" si="33"/>
        <v/>
      </c>
      <c r="N409" s="5" t="str">
        <f t="shared" si="34"/>
        <v/>
      </c>
    </row>
    <row r="410" spans="1:14" x14ac:dyDescent="0.25">
      <c r="A410" s="5">
        <v>409</v>
      </c>
      <c r="B410" s="5">
        <f t="shared" si="31"/>
        <v>0</v>
      </c>
      <c r="C410" s="5" t="str">
        <f t="shared" si="30"/>
        <v/>
      </c>
      <c r="D410" s="5" t="str">
        <f>IFERROR(IF(F410&lt;&gt;"",F410,VLOOKUP(MAX(C$2:C410),A$2:F410,2,FALSE)),"")</f>
        <v/>
      </c>
      <c r="E410" s="5" t="str">
        <f t="shared" si="32"/>
        <v/>
      </c>
      <c r="K410" t="str">
        <f>IFERROR(IF(VLOOKUP(E:E,'Old Report'!E:J,6,FALSE)="","",VLOOKUP(E:E,'Old Report'!E:J,6,FALSE)),"")</f>
        <v/>
      </c>
      <c r="L410" t="str">
        <f>IFERROR(IF(VLOOKUP(E:E,'Old Report'!E:L,8,FALSE)="","",VLOOKUP(E:E,'Old Report'!E:L,8,FALSE)),"")</f>
        <v/>
      </c>
      <c r="M410" s="5" t="str">
        <f t="shared" si="33"/>
        <v/>
      </c>
      <c r="N410" s="5" t="str">
        <f t="shared" si="34"/>
        <v/>
      </c>
    </row>
    <row r="411" spans="1:14" x14ac:dyDescent="0.25">
      <c r="A411" s="5">
        <v>410</v>
      </c>
      <c r="B411" s="5">
        <f t="shared" si="31"/>
        <v>0</v>
      </c>
      <c r="C411" s="5" t="str">
        <f t="shared" si="30"/>
        <v/>
      </c>
      <c r="D411" s="5" t="str">
        <f>IFERROR(IF(F411&lt;&gt;"",F411,VLOOKUP(MAX(C$2:C411),A$2:F411,2,FALSE)),"")</f>
        <v/>
      </c>
      <c r="E411" s="5" t="str">
        <f t="shared" si="32"/>
        <v/>
      </c>
      <c r="K411" t="str">
        <f>IFERROR(IF(VLOOKUP(E:E,'Old Report'!E:J,6,FALSE)="","",VLOOKUP(E:E,'Old Report'!E:J,6,FALSE)),"")</f>
        <v/>
      </c>
      <c r="L411" t="str">
        <f>IFERROR(IF(VLOOKUP(E:E,'Old Report'!E:L,8,FALSE)="","",VLOOKUP(E:E,'Old Report'!E:L,8,FALSE)),"")</f>
        <v/>
      </c>
      <c r="M411" s="5" t="str">
        <f t="shared" si="33"/>
        <v/>
      </c>
      <c r="N411" s="5" t="str">
        <f t="shared" si="34"/>
        <v/>
      </c>
    </row>
    <row r="412" spans="1:14" x14ac:dyDescent="0.25">
      <c r="A412" s="5">
        <v>411</v>
      </c>
      <c r="B412" s="5">
        <f t="shared" si="31"/>
        <v>0</v>
      </c>
      <c r="C412" s="5" t="str">
        <f t="shared" si="30"/>
        <v/>
      </c>
      <c r="D412" s="5" t="str">
        <f>IFERROR(IF(F412&lt;&gt;"",F412,VLOOKUP(MAX(C$2:C412),A$2:F412,2,FALSE)),"")</f>
        <v/>
      </c>
      <c r="E412" s="5" t="str">
        <f t="shared" si="32"/>
        <v/>
      </c>
      <c r="K412" t="str">
        <f>IFERROR(IF(VLOOKUP(E:E,'Old Report'!E:J,6,FALSE)="","",VLOOKUP(E:E,'Old Report'!E:J,6,FALSE)),"")</f>
        <v/>
      </c>
      <c r="L412" t="str">
        <f>IFERROR(IF(VLOOKUP(E:E,'Old Report'!E:L,8,FALSE)="","",VLOOKUP(E:E,'Old Report'!E:L,8,FALSE)),"")</f>
        <v/>
      </c>
      <c r="M412" s="5" t="str">
        <f t="shared" si="33"/>
        <v/>
      </c>
      <c r="N412" s="5" t="str">
        <f t="shared" si="34"/>
        <v/>
      </c>
    </row>
    <row r="413" spans="1:14" x14ac:dyDescent="0.25">
      <c r="A413" s="5">
        <v>412</v>
      </c>
      <c r="B413" s="5">
        <f t="shared" si="31"/>
        <v>0</v>
      </c>
      <c r="C413" s="5" t="str">
        <f t="shared" si="30"/>
        <v/>
      </c>
      <c r="D413" s="5" t="str">
        <f>IFERROR(IF(F413&lt;&gt;"",F413,VLOOKUP(MAX(C$2:C413),A$2:F413,2,FALSE)),"")</f>
        <v/>
      </c>
      <c r="E413" s="5" t="str">
        <f t="shared" si="32"/>
        <v/>
      </c>
      <c r="K413" t="str">
        <f>IFERROR(IF(VLOOKUP(E:E,'Old Report'!E:J,6,FALSE)="","",VLOOKUP(E:E,'Old Report'!E:J,6,FALSE)),"")</f>
        <v/>
      </c>
      <c r="L413" t="str">
        <f>IFERROR(IF(VLOOKUP(E:E,'Old Report'!E:L,8,FALSE)="","",VLOOKUP(E:E,'Old Report'!E:L,8,FALSE)),"")</f>
        <v/>
      </c>
      <c r="M413" s="5" t="str">
        <f t="shared" si="33"/>
        <v/>
      </c>
      <c r="N413" s="5" t="str">
        <f t="shared" si="34"/>
        <v/>
      </c>
    </row>
    <row r="414" spans="1:14" x14ac:dyDescent="0.25">
      <c r="A414" s="5">
        <v>413</v>
      </c>
      <c r="B414" s="5">
        <f t="shared" si="31"/>
        <v>0</v>
      </c>
      <c r="C414" s="5" t="str">
        <f t="shared" si="30"/>
        <v/>
      </c>
      <c r="D414" s="5" t="str">
        <f>IFERROR(IF(F414&lt;&gt;"",F414,VLOOKUP(MAX(C$2:C414),A$2:F414,2,FALSE)),"")</f>
        <v/>
      </c>
      <c r="E414" s="5" t="str">
        <f t="shared" si="32"/>
        <v/>
      </c>
      <c r="K414" t="str">
        <f>IFERROR(IF(VLOOKUP(E:E,'Old Report'!E:J,6,FALSE)="","",VLOOKUP(E:E,'Old Report'!E:J,6,FALSE)),"")</f>
        <v/>
      </c>
      <c r="L414" t="str">
        <f>IFERROR(IF(VLOOKUP(E:E,'Old Report'!E:L,8,FALSE)="","",VLOOKUP(E:E,'Old Report'!E:L,8,FALSE)),"")</f>
        <v/>
      </c>
      <c r="M414" s="5" t="str">
        <f t="shared" si="33"/>
        <v/>
      </c>
      <c r="N414" s="5" t="str">
        <f t="shared" si="34"/>
        <v/>
      </c>
    </row>
    <row r="415" spans="1:14" x14ac:dyDescent="0.25">
      <c r="A415" s="5">
        <v>414</v>
      </c>
      <c r="B415" s="5">
        <f t="shared" si="31"/>
        <v>0</v>
      </c>
      <c r="C415" s="5" t="str">
        <f t="shared" si="30"/>
        <v/>
      </c>
      <c r="D415" s="5" t="str">
        <f>IFERROR(IF(F415&lt;&gt;"",F415,VLOOKUP(MAX(C$2:C415),A$2:F415,2,FALSE)),"")</f>
        <v/>
      </c>
      <c r="E415" s="5" t="str">
        <f t="shared" si="32"/>
        <v/>
      </c>
      <c r="K415" t="str">
        <f>IFERROR(IF(VLOOKUP(E:E,'Old Report'!E:J,6,FALSE)="","",VLOOKUP(E:E,'Old Report'!E:J,6,FALSE)),"")</f>
        <v/>
      </c>
      <c r="L415" t="str">
        <f>IFERROR(IF(VLOOKUP(E:E,'Old Report'!E:L,8,FALSE)="","",VLOOKUP(E:E,'Old Report'!E:L,8,FALSE)),"")</f>
        <v/>
      </c>
      <c r="M415" s="5" t="str">
        <f t="shared" si="33"/>
        <v/>
      </c>
      <c r="N415" s="5" t="str">
        <f t="shared" si="34"/>
        <v/>
      </c>
    </row>
    <row r="416" spans="1:14" x14ac:dyDescent="0.25">
      <c r="A416" s="5">
        <v>415</v>
      </c>
      <c r="B416" s="5">
        <f t="shared" si="31"/>
        <v>0</v>
      </c>
      <c r="C416" s="5" t="str">
        <f t="shared" si="30"/>
        <v/>
      </c>
      <c r="D416" s="5" t="str">
        <f>IFERROR(IF(F416&lt;&gt;"",F416,VLOOKUP(MAX(C$2:C416),A$2:F416,2,FALSE)),"")</f>
        <v/>
      </c>
      <c r="E416" s="5" t="str">
        <f t="shared" si="32"/>
        <v/>
      </c>
      <c r="K416" t="str">
        <f>IFERROR(IF(VLOOKUP(E:E,'Old Report'!E:J,6,FALSE)="","",VLOOKUP(E:E,'Old Report'!E:J,6,FALSE)),"")</f>
        <v/>
      </c>
      <c r="L416" t="str">
        <f>IFERROR(IF(VLOOKUP(E:E,'Old Report'!E:L,8,FALSE)="","",VLOOKUP(E:E,'Old Report'!E:L,8,FALSE)),"")</f>
        <v/>
      </c>
      <c r="M416" s="5" t="str">
        <f t="shared" si="33"/>
        <v/>
      </c>
      <c r="N416" s="5" t="str">
        <f t="shared" si="34"/>
        <v/>
      </c>
    </row>
    <row r="417" spans="1:14" x14ac:dyDescent="0.25">
      <c r="A417" s="5">
        <v>416</v>
      </c>
      <c r="B417" s="5">
        <f t="shared" si="31"/>
        <v>0</v>
      </c>
      <c r="C417" s="5" t="str">
        <f t="shared" si="30"/>
        <v/>
      </c>
      <c r="D417" s="5" t="str">
        <f>IFERROR(IF(F417&lt;&gt;"",F417,VLOOKUP(MAX(C$2:C417),A$2:F417,2,FALSE)),"")</f>
        <v/>
      </c>
      <c r="E417" s="5" t="str">
        <f t="shared" si="32"/>
        <v/>
      </c>
      <c r="K417" t="str">
        <f>IFERROR(IF(VLOOKUP(E:E,'Old Report'!E:J,6,FALSE)="","",VLOOKUP(E:E,'Old Report'!E:J,6,FALSE)),"")</f>
        <v/>
      </c>
      <c r="L417" t="str">
        <f>IFERROR(IF(VLOOKUP(E:E,'Old Report'!E:L,8,FALSE)="","",VLOOKUP(E:E,'Old Report'!E:L,8,FALSE)),"")</f>
        <v/>
      </c>
      <c r="M417" s="5" t="str">
        <f t="shared" si="33"/>
        <v/>
      </c>
      <c r="N417" s="5" t="str">
        <f t="shared" si="34"/>
        <v/>
      </c>
    </row>
    <row r="418" spans="1:14" x14ac:dyDescent="0.25">
      <c r="A418" s="5">
        <v>417</v>
      </c>
      <c r="B418" s="5">
        <f t="shared" si="31"/>
        <v>0</v>
      </c>
      <c r="C418" s="5" t="str">
        <f t="shared" si="30"/>
        <v/>
      </c>
      <c r="D418" s="5" t="str">
        <f>IFERROR(IF(F418&lt;&gt;"",F418,VLOOKUP(MAX(C$2:C418),A$2:F418,2,FALSE)),"")</f>
        <v/>
      </c>
      <c r="E418" s="5" t="str">
        <f t="shared" si="32"/>
        <v/>
      </c>
      <c r="K418" t="str">
        <f>IFERROR(IF(VLOOKUP(E:E,'Old Report'!E:J,6,FALSE)="","",VLOOKUP(E:E,'Old Report'!E:J,6,FALSE)),"")</f>
        <v/>
      </c>
      <c r="L418" t="str">
        <f>IFERROR(IF(VLOOKUP(E:E,'Old Report'!E:L,8,FALSE)="","",VLOOKUP(E:E,'Old Report'!E:L,8,FALSE)),"")</f>
        <v/>
      </c>
      <c r="M418" s="5" t="str">
        <f t="shared" si="33"/>
        <v/>
      </c>
      <c r="N418" s="5" t="str">
        <f t="shared" si="34"/>
        <v/>
      </c>
    </row>
    <row r="419" spans="1:14" x14ac:dyDescent="0.25">
      <c r="A419" s="5">
        <v>418</v>
      </c>
      <c r="B419" s="5">
        <f t="shared" si="31"/>
        <v>0</v>
      </c>
      <c r="C419" s="5" t="str">
        <f t="shared" si="30"/>
        <v/>
      </c>
      <c r="D419" s="5" t="str">
        <f>IFERROR(IF(F419&lt;&gt;"",F419,VLOOKUP(MAX(C$2:C419),A$2:F419,2,FALSE)),"")</f>
        <v/>
      </c>
      <c r="E419" s="5" t="str">
        <f t="shared" si="32"/>
        <v/>
      </c>
      <c r="K419" t="str">
        <f>IFERROR(IF(VLOOKUP(E:E,'Old Report'!E:J,6,FALSE)="","",VLOOKUP(E:E,'Old Report'!E:J,6,FALSE)),"")</f>
        <v/>
      </c>
      <c r="L419" t="str">
        <f>IFERROR(IF(VLOOKUP(E:E,'Old Report'!E:L,8,FALSE)="","",VLOOKUP(E:E,'Old Report'!E:L,8,FALSE)),"")</f>
        <v/>
      </c>
      <c r="M419" s="5" t="str">
        <f t="shared" si="33"/>
        <v/>
      </c>
      <c r="N419" s="5" t="str">
        <f t="shared" si="34"/>
        <v/>
      </c>
    </row>
    <row r="420" spans="1:14" x14ac:dyDescent="0.25">
      <c r="A420" s="5">
        <v>419</v>
      </c>
      <c r="B420" s="5">
        <f t="shared" si="31"/>
        <v>0</v>
      </c>
      <c r="C420" s="5" t="str">
        <f t="shared" si="30"/>
        <v/>
      </c>
      <c r="D420" s="5" t="str">
        <f>IFERROR(IF(F420&lt;&gt;"",F420,VLOOKUP(MAX(C$2:C420),A$2:F420,2,FALSE)),"")</f>
        <v/>
      </c>
      <c r="E420" s="5" t="str">
        <f t="shared" si="32"/>
        <v/>
      </c>
      <c r="K420" t="str">
        <f>IFERROR(IF(VLOOKUP(E:E,'Old Report'!E:J,6,FALSE)="","",VLOOKUP(E:E,'Old Report'!E:J,6,FALSE)),"")</f>
        <v/>
      </c>
      <c r="L420" t="str">
        <f>IFERROR(IF(VLOOKUP(E:E,'Old Report'!E:L,8,FALSE)="","",VLOOKUP(E:E,'Old Report'!E:L,8,FALSE)),"")</f>
        <v/>
      </c>
      <c r="M420" s="5" t="str">
        <f t="shared" si="33"/>
        <v/>
      </c>
      <c r="N420" s="5" t="str">
        <f t="shared" si="34"/>
        <v/>
      </c>
    </row>
    <row r="421" spans="1:14" x14ac:dyDescent="0.25">
      <c r="A421" s="5">
        <v>420</v>
      </c>
      <c r="B421" s="5">
        <f t="shared" si="31"/>
        <v>0</v>
      </c>
      <c r="C421" s="5" t="str">
        <f t="shared" si="30"/>
        <v/>
      </c>
      <c r="D421" s="5" t="str">
        <f>IFERROR(IF(F421&lt;&gt;"",F421,VLOOKUP(MAX(C$2:C421),A$2:F421,2,FALSE)),"")</f>
        <v/>
      </c>
      <c r="E421" s="5" t="str">
        <f t="shared" si="32"/>
        <v/>
      </c>
      <c r="K421" t="str">
        <f>IFERROR(IF(VLOOKUP(E:E,'Old Report'!E:J,6,FALSE)="","",VLOOKUP(E:E,'Old Report'!E:J,6,FALSE)),"")</f>
        <v/>
      </c>
      <c r="L421" t="str">
        <f>IFERROR(IF(VLOOKUP(E:E,'Old Report'!E:L,8,FALSE)="","",VLOOKUP(E:E,'Old Report'!E:L,8,FALSE)),"")</f>
        <v/>
      </c>
      <c r="M421" s="5" t="str">
        <f t="shared" si="33"/>
        <v/>
      </c>
      <c r="N421" s="5" t="str">
        <f t="shared" si="34"/>
        <v/>
      </c>
    </row>
    <row r="422" spans="1:14" x14ac:dyDescent="0.25">
      <c r="A422" s="5">
        <v>421</v>
      </c>
      <c r="B422" s="5">
        <f t="shared" si="31"/>
        <v>0</v>
      </c>
      <c r="C422" s="5" t="str">
        <f t="shared" si="30"/>
        <v/>
      </c>
      <c r="D422" s="5" t="str">
        <f>IFERROR(IF(F422&lt;&gt;"",F422,VLOOKUP(MAX(C$2:C422),A$2:F422,2,FALSE)),"")</f>
        <v/>
      </c>
      <c r="E422" s="5" t="str">
        <f t="shared" si="32"/>
        <v/>
      </c>
      <c r="K422" t="str">
        <f>IFERROR(IF(VLOOKUP(E:E,'Old Report'!E:J,6,FALSE)="","",VLOOKUP(E:E,'Old Report'!E:J,6,FALSE)),"")</f>
        <v/>
      </c>
      <c r="L422" t="str">
        <f>IFERROR(IF(VLOOKUP(E:E,'Old Report'!E:L,8,FALSE)="","",VLOOKUP(E:E,'Old Report'!E:L,8,FALSE)),"")</f>
        <v/>
      </c>
      <c r="M422" s="5" t="str">
        <f t="shared" si="33"/>
        <v/>
      </c>
      <c r="N422" s="5" t="str">
        <f t="shared" si="34"/>
        <v/>
      </c>
    </row>
    <row r="423" spans="1:14" x14ac:dyDescent="0.25">
      <c r="A423" s="5">
        <v>422</v>
      </c>
      <c r="B423" s="5">
        <f t="shared" si="31"/>
        <v>0</v>
      </c>
      <c r="C423" s="5" t="str">
        <f t="shared" si="30"/>
        <v/>
      </c>
      <c r="D423" s="5" t="str">
        <f>IFERROR(IF(F423&lt;&gt;"",F423,VLOOKUP(MAX(C$2:C423),A$2:F423,2,FALSE)),"")</f>
        <v/>
      </c>
      <c r="E423" s="5" t="str">
        <f t="shared" si="32"/>
        <v/>
      </c>
      <c r="K423" t="str">
        <f>IFERROR(IF(VLOOKUP(E:E,'Old Report'!E:J,6,FALSE)="","",VLOOKUP(E:E,'Old Report'!E:J,6,FALSE)),"")</f>
        <v/>
      </c>
      <c r="L423" t="str">
        <f>IFERROR(IF(VLOOKUP(E:E,'Old Report'!E:L,8,FALSE)="","",VLOOKUP(E:E,'Old Report'!E:L,8,FALSE)),"")</f>
        <v/>
      </c>
      <c r="M423" s="5" t="str">
        <f t="shared" si="33"/>
        <v/>
      </c>
      <c r="N423" s="5" t="str">
        <f t="shared" si="34"/>
        <v/>
      </c>
    </row>
    <row r="424" spans="1:14" x14ac:dyDescent="0.25">
      <c r="A424" s="5">
        <v>423</v>
      </c>
      <c r="B424" s="5">
        <f t="shared" si="31"/>
        <v>0</v>
      </c>
      <c r="C424" s="5" t="str">
        <f t="shared" si="30"/>
        <v/>
      </c>
      <c r="D424" s="5" t="str">
        <f>IFERROR(IF(F424&lt;&gt;"",F424,VLOOKUP(MAX(C$2:C424),A$2:F424,2,FALSE)),"")</f>
        <v/>
      </c>
      <c r="E424" s="5" t="str">
        <f t="shared" si="32"/>
        <v/>
      </c>
      <c r="K424" t="str">
        <f>IFERROR(IF(VLOOKUP(E:E,'Old Report'!E:J,6,FALSE)="","",VLOOKUP(E:E,'Old Report'!E:J,6,FALSE)),"")</f>
        <v/>
      </c>
      <c r="L424" t="str">
        <f>IFERROR(IF(VLOOKUP(E:E,'Old Report'!E:L,8,FALSE)="","",VLOOKUP(E:E,'Old Report'!E:L,8,FALSE)),"")</f>
        <v/>
      </c>
      <c r="M424" s="5" t="str">
        <f t="shared" si="33"/>
        <v/>
      </c>
      <c r="N424" s="5" t="str">
        <f t="shared" si="34"/>
        <v/>
      </c>
    </row>
    <row r="425" spans="1:14" x14ac:dyDescent="0.25">
      <c r="A425" s="5">
        <v>424</v>
      </c>
      <c r="B425" s="5">
        <f t="shared" si="31"/>
        <v>0</v>
      </c>
      <c r="C425" s="5" t="str">
        <f t="shared" si="30"/>
        <v/>
      </c>
      <c r="D425" s="5" t="str">
        <f>IFERROR(IF(F425&lt;&gt;"",F425,VLOOKUP(MAX(C$2:C425),A$2:F425,2,FALSE)),"")</f>
        <v/>
      </c>
      <c r="E425" s="5" t="str">
        <f t="shared" si="32"/>
        <v/>
      </c>
      <c r="K425" t="str">
        <f>IFERROR(IF(VLOOKUP(E:E,'Old Report'!E:J,6,FALSE)="","",VLOOKUP(E:E,'Old Report'!E:J,6,FALSE)),"")</f>
        <v/>
      </c>
      <c r="L425" t="str">
        <f>IFERROR(IF(VLOOKUP(E:E,'Old Report'!E:L,8,FALSE)="","",VLOOKUP(E:E,'Old Report'!E:L,8,FALSE)),"")</f>
        <v/>
      </c>
      <c r="M425" s="5" t="str">
        <f t="shared" si="33"/>
        <v/>
      </c>
      <c r="N425" s="5" t="str">
        <f t="shared" si="34"/>
        <v/>
      </c>
    </row>
    <row r="426" spans="1:14" x14ac:dyDescent="0.25">
      <c r="A426" s="5">
        <v>425</v>
      </c>
      <c r="B426" s="5">
        <f t="shared" si="31"/>
        <v>0</v>
      </c>
      <c r="C426" s="5" t="str">
        <f t="shared" si="30"/>
        <v/>
      </c>
      <c r="D426" s="5" t="str">
        <f>IFERROR(IF(F426&lt;&gt;"",F426,VLOOKUP(MAX(C$2:C426),A$2:F426,2,FALSE)),"")</f>
        <v/>
      </c>
      <c r="E426" s="5" t="str">
        <f t="shared" si="32"/>
        <v/>
      </c>
      <c r="K426" t="str">
        <f>IFERROR(IF(VLOOKUP(E:E,'Old Report'!E:J,6,FALSE)="","",VLOOKUP(E:E,'Old Report'!E:J,6,FALSE)),"")</f>
        <v/>
      </c>
      <c r="L426" t="str">
        <f>IFERROR(IF(VLOOKUP(E:E,'Old Report'!E:L,8,FALSE)="","",VLOOKUP(E:E,'Old Report'!E:L,8,FALSE)),"")</f>
        <v/>
      </c>
      <c r="M426" s="5" t="str">
        <f t="shared" si="33"/>
        <v/>
      </c>
      <c r="N426" s="5" t="str">
        <f t="shared" si="34"/>
        <v/>
      </c>
    </row>
    <row r="427" spans="1:14" x14ac:dyDescent="0.25">
      <c r="A427" s="5">
        <v>426</v>
      </c>
      <c r="B427" s="5">
        <f t="shared" si="31"/>
        <v>0</v>
      </c>
      <c r="C427" s="5" t="str">
        <f t="shared" si="30"/>
        <v/>
      </c>
      <c r="D427" s="5" t="str">
        <f>IFERROR(IF(F427&lt;&gt;"",F427,VLOOKUP(MAX(C$2:C427),A$2:F427,2,FALSE)),"")</f>
        <v/>
      </c>
      <c r="E427" s="5" t="str">
        <f t="shared" si="32"/>
        <v/>
      </c>
      <c r="K427" t="str">
        <f>IFERROR(IF(VLOOKUP(E:E,'Old Report'!E:J,6,FALSE)="","",VLOOKUP(E:E,'Old Report'!E:J,6,FALSE)),"")</f>
        <v/>
      </c>
      <c r="L427" t="str">
        <f>IFERROR(IF(VLOOKUP(E:E,'Old Report'!E:L,8,FALSE)="","",VLOOKUP(E:E,'Old Report'!E:L,8,FALSE)),"")</f>
        <v/>
      </c>
      <c r="M427" s="5" t="str">
        <f t="shared" si="33"/>
        <v/>
      </c>
      <c r="N427" s="5" t="str">
        <f t="shared" si="34"/>
        <v/>
      </c>
    </row>
    <row r="428" spans="1:14" x14ac:dyDescent="0.25">
      <c r="A428" s="5">
        <v>427</v>
      </c>
      <c r="B428" s="5">
        <f t="shared" si="31"/>
        <v>0</v>
      </c>
      <c r="C428" s="5" t="str">
        <f t="shared" si="30"/>
        <v/>
      </c>
      <c r="D428" s="5" t="str">
        <f>IFERROR(IF(F428&lt;&gt;"",F428,VLOOKUP(MAX(C$2:C428),A$2:F428,2,FALSE)),"")</f>
        <v/>
      </c>
      <c r="E428" s="5" t="str">
        <f t="shared" si="32"/>
        <v/>
      </c>
      <c r="K428" t="str">
        <f>IFERROR(IF(VLOOKUP(E:E,'Old Report'!E:J,6,FALSE)="","",VLOOKUP(E:E,'Old Report'!E:J,6,FALSE)),"")</f>
        <v/>
      </c>
      <c r="L428" t="str">
        <f>IFERROR(IF(VLOOKUP(E:E,'Old Report'!E:L,8,FALSE)="","",VLOOKUP(E:E,'Old Report'!E:L,8,FALSE)),"")</f>
        <v/>
      </c>
      <c r="M428" s="5" t="str">
        <f t="shared" si="33"/>
        <v/>
      </c>
      <c r="N428" s="5" t="str">
        <f t="shared" si="34"/>
        <v/>
      </c>
    </row>
    <row r="429" spans="1:14" x14ac:dyDescent="0.25">
      <c r="A429" s="5">
        <v>428</v>
      </c>
      <c r="B429" s="5">
        <f t="shared" si="31"/>
        <v>0</v>
      </c>
      <c r="C429" s="5" t="str">
        <f t="shared" si="30"/>
        <v/>
      </c>
      <c r="D429" s="5" t="str">
        <f>IFERROR(IF(F429&lt;&gt;"",F429,VLOOKUP(MAX(C$2:C429),A$2:F429,2,FALSE)),"")</f>
        <v/>
      </c>
      <c r="E429" s="5" t="str">
        <f t="shared" si="32"/>
        <v/>
      </c>
      <c r="K429" t="str">
        <f>IFERROR(IF(VLOOKUP(E:E,'Old Report'!E:J,6,FALSE)="","",VLOOKUP(E:E,'Old Report'!E:J,6,FALSE)),"")</f>
        <v/>
      </c>
      <c r="L429" t="str">
        <f>IFERROR(IF(VLOOKUP(E:E,'Old Report'!E:L,8,FALSE)="","",VLOOKUP(E:E,'Old Report'!E:L,8,FALSE)),"")</f>
        <v/>
      </c>
      <c r="M429" s="5" t="str">
        <f t="shared" si="33"/>
        <v/>
      </c>
      <c r="N429" s="5" t="str">
        <f t="shared" si="34"/>
        <v/>
      </c>
    </row>
    <row r="430" spans="1:14" x14ac:dyDescent="0.25">
      <c r="A430" s="5">
        <v>429</v>
      </c>
      <c r="B430" s="5">
        <f t="shared" si="31"/>
        <v>0</v>
      </c>
      <c r="C430" s="5" t="str">
        <f t="shared" si="30"/>
        <v/>
      </c>
      <c r="D430" s="5" t="str">
        <f>IFERROR(IF(F430&lt;&gt;"",F430,VLOOKUP(MAX(C$2:C430),A$2:F430,2,FALSE)),"")</f>
        <v/>
      </c>
      <c r="E430" s="5" t="str">
        <f t="shared" si="32"/>
        <v/>
      </c>
      <c r="K430" t="str">
        <f>IFERROR(IF(VLOOKUP(E:E,'Old Report'!E:J,6,FALSE)="","",VLOOKUP(E:E,'Old Report'!E:J,6,FALSE)),"")</f>
        <v/>
      </c>
      <c r="L430" t="str">
        <f>IFERROR(IF(VLOOKUP(E:E,'Old Report'!E:L,8,FALSE)="","",VLOOKUP(E:E,'Old Report'!E:L,8,FALSE)),"")</f>
        <v/>
      </c>
      <c r="M430" s="5" t="str">
        <f t="shared" si="33"/>
        <v/>
      </c>
      <c r="N430" s="5" t="str">
        <f t="shared" si="34"/>
        <v/>
      </c>
    </row>
    <row r="431" spans="1:14" x14ac:dyDescent="0.25">
      <c r="A431" s="5">
        <v>430</v>
      </c>
      <c r="B431" s="5">
        <f t="shared" si="31"/>
        <v>0</v>
      </c>
      <c r="C431" s="5" t="str">
        <f t="shared" si="30"/>
        <v/>
      </c>
      <c r="D431" s="5" t="str">
        <f>IFERROR(IF(F431&lt;&gt;"",F431,VLOOKUP(MAX(C$2:C431),A$2:F431,2,FALSE)),"")</f>
        <v/>
      </c>
      <c r="E431" s="5" t="str">
        <f t="shared" si="32"/>
        <v/>
      </c>
      <c r="K431" t="str">
        <f>IFERROR(IF(VLOOKUP(E:E,'Old Report'!E:J,6,FALSE)="","",VLOOKUP(E:E,'Old Report'!E:J,6,FALSE)),"")</f>
        <v/>
      </c>
      <c r="L431" t="str">
        <f>IFERROR(IF(VLOOKUP(E:E,'Old Report'!E:L,8,FALSE)="","",VLOOKUP(E:E,'Old Report'!E:L,8,FALSE)),"")</f>
        <v/>
      </c>
      <c r="M431" s="5" t="str">
        <f t="shared" si="33"/>
        <v/>
      </c>
      <c r="N431" s="5" t="str">
        <f t="shared" si="34"/>
        <v/>
      </c>
    </row>
    <row r="432" spans="1:14" x14ac:dyDescent="0.25">
      <c r="A432" s="5">
        <v>431</v>
      </c>
      <c r="B432" s="5">
        <f t="shared" si="31"/>
        <v>0</v>
      </c>
      <c r="C432" s="5" t="str">
        <f t="shared" si="30"/>
        <v/>
      </c>
      <c r="D432" s="5" t="str">
        <f>IFERROR(IF(F432&lt;&gt;"",F432,VLOOKUP(MAX(C$2:C432),A$2:F432,2,FALSE)),"")</f>
        <v/>
      </c>
      <c r="E432" s="5" t="str">
        <f t="shared" si="32"/>
        <v/>
      </c>
      <c r="K432" t="str">
        <f>IFERROR(IF(VLOOKUP(E:E,'Old Report'!E:J,6,FALSE)="","",VLOOKUP(E:E,'Old Report'!E:J,6,FALSE)),"")</f>
        <v/>
      </c>
      <c r="L432" t="str">
        <f>IFERROR(IF(VLOOKUP(E:E,'Old Report'!E:L,8,FALSE)="","",VLOOKUP(E:E,'Old Report'!E:L,8,FALSE)),"")</f>
        <v/>
      </c>
      <c r="M432" s="5" t="str">
        <f t="shared" si="33"/>
        <v/>
      </c>
      <c r="N432" s="5" t="str">
        <f t="shared" si="34"/>
        <v/>
      </c>
    </row>
    <row r="433" spans="1:14" x14ac:dyDescent="0.25">
      <c r="A433" s="5">
        <v>432</v>
      </c>
      <c r="B433" s="5">
        <f t="shared" si="31"/>
        <v>0</v>
      </c>
      <c r="C433" s="5" t="str">
        <f t="shared" si="30"/>
        <v/>
      </c>
      <c r="D433" s="5" t="str">
        <f>IFERROR(IF(F433&lt;&gt;"",F433,VLOOKUP(MAX(C$2:C433),A$2:F433,2,FALSE)),"")</f>
        <v/>
      </c>
      <c r="E433" s="5" t="str">
        <f t="shared" si="32"/>
        <v/>
      </c>
      <c r="K433" t="str">
        <f>IFERROR(IF(VLOOKUP(E:E,'Old Report'!E:J,6,FALSE)="","",VLOOKUP(E:E,'Old Report'!E:J,6,FALSE)),"")</f>
        <v/>
      </c>
      <c r="L433" t="str">
        <f>IFERROR(IF(VLOOKUP(E:E,'Old Report'!E:L,8,FALSE)="","",VLOOKUP(E:E,'Old Report'!E:L,8,FALSE)),"")</f>
        <v/>
      </c>
      <c r="M433" s="5" t="str">
        <f t="shared" si="33"/>
        <v/>
      </c>
      <c r="N433" s="5" t="str">
        <f t="shared" si="34"/>
        <v/>
      </c>
    </row>
    <row r="434" spans="1:14" x14ac:dyDescent="0.25">
      <c r="A434" s="5">
        <v>433</v>
      </c>
      <c r="B434" s="5">
        <f t="shared" si="31"/>
        <v>0</v>
      </c>
      <c r="C434" s="5" t="str">
        <f t="shared" si="30"/>
        <v/>
      </c>
      <c r="D434" s="5" t="str">
        <f>IFERROR(IF(F434&lt;&gt;"",F434,VLOOKUP(MAX(C$2:C434),A$2:F434,2,FALSE)),"")</f>
        <v/>
      </c>
      <c r="E434" s="5" t="str">
        <f t="shared" si="32"/>
        <v/>
      </c>
      <c r="K434" t="str">
        <f>IFERROR(IF(VLOOKUP(E:E,'Old Report'!E:J,6,FALSE)="","",VLOOKUP(E:E,'Old Report'!E:J,6,FALSE)),"")</f>
        <v/>
      </c>
      <c r="L434" t="str">
        <f>IFERROR(IF(VLOOKUP(E:E,'Old Report'!E:L,8,FALSE)="","",VLOOKUP(E:E,'Old Report'!E:L,8,FALSE)),"")</f>
        <v/>
      </c>
      <c r="M434" s="5" t="str">
        <f t="shared" si="33"/>
        <v/>
      </c>
      <c r="N434" s="5" t="str">
        <f t="shared" si="34"/>
        <v/>
      </c>
    </row>
    <row r="435" spans="1:14" x14ac:dyDescent="0.25">
      <c r="A435" s="5">
        <v>434</v>
      </c>
      <c r="B435" s="5">
        <f t="shared" si="31"/>
        <v>0</v>
      </c>
      <c r="C435" s="5" t="str">
        <f t="shared" si="30"/>
        <v/>
      </c>
      <c r="D435" s="5" t="str">
        <f>IFERROR(IF(F435&lt;&gt;"",F435,VLOOKUP(MAX(C$2:C435),A$2:F435,2,FALSE)),"")</f>
        <v/>
      </c>
      <c r="E435" s="5" t="str">
        <f t="shared" si="32"/>
        <v/>
      </c>
      <c r="K435" t="str">
        <f>IFERROR(IF(VLOOKUP(E:E,'Old Report'!E:J,6,FALSE)="","",VLOOKUP(E:E,'Old Report'!E:J,6,FALSE)),"")</f>
        <v/>
      </c>
      <c r="L435" t="str">
        <f>IFERROR(IF(VLOOKUP(E:E,'Old Report'!E:L,8,FALSE)="","",VLOOKUP(E:E,'Old Report'!E:L,8,FALSE)),"")</f>
        <v/>
      </c>
      <c r="M435" s="5" t="str">
        <f t="shared" si="33"/>
        <v/>
      </c>
      <c r="N435" s="5" t="str">
        <f t="shared" si="34"/>
        <v/>
      </c>
    </row>
    <row r="436" spans="1:14" x14ac:dyDescent="0.25">
      <c r="A436" s="5">
        <v>435</v>
      </c>
      <c r="B436" s="5">
        <f t="shared" si="31"/>
        <v>0</v>
      </c>
      <c r="C436" s="5" t="str">
        <f t="shared" si="30"/>
        <v/>
      </c>
      <c r="D436" s="5" t="str">
        <f>IFERROR(IF(F436&lt;&gt;"",F436,VLOOKUP(MAX(C$2:C436),A$2:F436,2,FALSE)),"")</f>
        <v/>
      </c>
      <c r="E436" s="5" t="str">
        <f t="shared" si="32"/>
        <v/>
      </c>
      <c r="K436" t="str">
        <f>IFERROR(IF(VLOOKUP(E:E,'Old Report'!E:J,6,FALSE)="","",VLOOKUP(E:E,'Old Report'!E:J,6,FALSE)),"")</f>
        <v/>
      </c>
      <c r="L436" t="str">
        <f>IFERROR(IF(VLOOKUP(E:E,'Old Report'!E:L,8,FALSE)="","",VLOOKUP(E:E,'Old Report'!E:L,8,FALSE)),"")</f>
        <v/>
      </c>
      <c r="M436" s="5" t="str">
        <f t="shared" si="33"/>
        <v/>
      </c>
      <c r="N436" s="5" t="str">
        <f t="shared" si="34"/>
        <v/>
      </c>
    </row>
    <row r="437" spans="1:14" x14ac:dyDescent="0.25">
      <c r="A437" s="5">
        <v>436</v>
      </c>
      <c r="B437" s="5">
        <f t="shared" si="31"/>
        <v>0</v>
      </c>
      <c r="C437" s="5" t="str">
        <f t="shared" si="30"/>
        <v/>
      </c>
      <c r="D437" s="5" t="str">
        <f>IFERROR(IF(F437&lt;&gt;"",F437,VLOOKUP(MAX(C$2:C437),A$2:F437,2,FALSE)),"")</f>
        <v/>
      </c>
      <c r="E437" s="5" t="str">
        <f t="shared" si="32"/>
        <v/>
      </c>
      <c r="K437" t="str">
        <f>IFERROR(IF(VLOOKUP(E:E,'Old Report'!E:J,6,FALSE)="","",VLOOKUP(E:E,'Old Report'!E:J,6,FALSE)),"")</f>
        <v/>
      </c>
      <c r="L437" t="str">
        <f>IFERROR(IF(VLOOKUP(E:E,'Old Report'!E:L,8,FALSE)="","",VLOOKUP(E:E,'Old Report'!E:L,8,FALSE)),"")</f>
        <v/>
      </c>
      <c r="M437" s="5" t="str">
        <f t="shared" si="33"/>
        <v/>
      </c>
      <c r="N437" s="5" t="str">
        <f t="shared" si="34"/>
        <v/>
      </c>
    </row>
    <row r="438" spans="1:14" x14ac:dyDescent="0.25">
      <c r="A438" s="5">
        <v>437</v>
      </c>
      <c r="B438" s="5">
        <f t="shared" si="31"/>
        <v>0</v>
      </c>
      <c r="C438" s="5" t="str">
        <f t="shared" si="30"/>
        <v/>
      </c>
      <c r="D438" s="5" t="str">
        <f>IFERROR(IF(F438&lt;&gt;"",F438,VLOOKUP(MAX(C$2:C438),A$2:F438,2,FALSE)),"")</f>
        <v/>
      </c>
      <c r="E438" s="5" t="str">
        <f t="shared" si="32"/>
        <v/>
      </c>
      <c r="K438" t="str">
        <f>IFERROR(IF(VLOOKUP(E:E,'Old Report'!E:J,6,FALSE)="","",VLOOKUP(E:E,'Old Report'!E:J,6,FALSE)),"")</f>
        <v/>
      </c>
      <c r="L438" t="str">
        <f>IFERROR(IF(VLOOKUP(E:E,'Old Report'!E:L,8,FALSE)="","",VLOOKUP(E:E,'Old Report'!E:L,8,FALSE)),"")</f>
        <v/>
      </c>
      <c r="M438" s="5" t="str">
        <f t="shared" si="33"/>
        <v/>
      </c>
      <c r="N438" s="5" t="str">
        <f t="shared" si="34"/>
        <v/>
      </c>
    </row>
    <row r="439" spans="1:14" x14ac:dyDescent="0.25">
      <c r="A439" s="5">
        <v>438</v>
      </c>
      <c r="B439" s="5">
        <f t="shared" si="31"/>
        <v>0</v>
      </c>
      <c r="C439" s="5" t="str">
        <f t="shared" si="30"/>
        <v/>
      </c>
      <c r="D439" s="5" t="str">
        <f>IFERROR(IF(F439&lt;&gt;"",F439,VLOOKUP(MAX(C$2:C439),A$2:F439,2,FALSE)),"")</f>
        <v/>
      </c>
      <c r="E439" s="5" t="str">
        <f t="shared" si="32"/>
        <v/>
      </c>
      <c r="K439" t="str">
        <f>IFERROR(IF(VLOOKUP(E:E,'Old Report'!E:J,6,FALSE)="","",VLOOKUP(E:E,'Old Report'!E:J,6,FALSE)),"")</f>
        <v/>
      </c>
      <c r="L439" t="str">
        <f>IFERROR(IF(VLOOKUP(E:E,'Old Report'!E:L,8,FALSE)="","",VLOOKUP(E:E,'Old Report'!E:L,8,FALSE)),"")</f>
        <v/>
      </c>
      <c r="M439" s="5" t="str">
        <f t="shared" si="33"/>
        <v/>
      </c>
      <c r="N439" s="5" t="str">
        <f t="shared" si="34"/>
        <v/>
      </c>
    </row>
    <row r="440" spans="1:14" x14ac:dyDescent="0.25">
      <c r="A440" s="5">
        <v>439</v>
      </c>
      <c r="B440" s="5">
        <f t="shared" si="31"/>
        <v>0</v>
      </c>
      <c r="C440" s="5" t="str">
        <f t="shared" si="30"/>
        <v/>
      </c>
      <c r="D440" s="5" t="str">
        <f>IFERROR(IF(F440&lt;&gt;"",F440,VLOOKUP(MAX(C$2:C440),A$2:F440,2,FALSE)),"")</f>
        <v/>
      </c>
      <c r="E440" s="5" t="str">
        <f t="shared" si="32"/>
        <v/>
      </c>
      <c r="K440" t="str">
        <f>IFERROR(IF(VLOOKUP(E:E,'Old Report'!E:J,6,FALSE)="","",VLOOKUP(E:E,'Old Report'!E:J,6,FALSE)),"")</f>
        <v/>
      </c>
      <c r="L440" t="str">
        <f>IFERROR(IF(VLOOKUP(E:E,'Old Report'!E:L,8,FALSE)="","",VLOOKUP(E:E,'Old Report'!E:L,8,FALSE)),"")</f>
        <v/>
      </c>
      <c r="M440" s="5" t="str">
        <f t="shared" si="33"/>
        <v/>
      </c>
      <c r="N440" s="5" t="str">
        <f t="shared" si="34"/>
        <v/>
      </c>
    </row>
    <row r="441" spans="1:14" x14ac:dyDescent="0.25">
      <c r="A441" s="5">
        <v>440</v>
      </c>
      <c r="B441" s="5">
        <f t="shared" si="31"/>
        <v>0</v>
      </c>
      <c r="C441" s="5" t="str">
        <f t="shared" si="30"/>
        <v/>
      </c>
      <c r="D441" s="5" t="str">
        <f>IFERROR(IF(F441&lt;&gt;"",F441,VLOOKUP(MAX(C$2:C441),A$2:F441,2,FALSE)),"")</f>
        <v/>
      </c>
      <c r="E441" s="5" t="str">
        <f t="shared" si="32"/>
        <v/>
      </c>
      <c r="K441" t="str">
        <f>IFERROR(IF(VLOOKUP(E:E,'Old Report'!E:J,6,FALSE)="","",VLOOKUP(E:E,'Old Report'!E:J,6,FALSE)),"")</f>
        <v/>
      </c>
      <c r="L441" t="str">
        <f>IFERROR(IF(VLOOKUP(E:E,'Old Report'!E:L,8,FALSE)="","",VLOOKUP(E:E,'Old Report'!E:L,8,FALSE)),"")</f>
        <v/>
      </c>
      <c r="M441" s="5" t="str">
        <f t="shared" si="33"/>
        <v/>
      </c>
      <c r="N441" s="5" t="str">
        <f t="shared" si="34"/>
        <v/>
      </c>
    </row>
    <row r="442" spans="1:14" x14ac:dyDescent="0.25">
      <c r="A442" s="5">
        <v>441</v>
      </c>
      <c r="B442" s="5">
        <f t="shared" si="31"/>
        <v>0</v>
      </c>
      <c r="C442" s="5" t="str">
        <f t="shared" si="30"/>
        <v/>
      </c>
      <c r="D442" s="5" t="str">
        <f>IFERROR(IF(F442&lt;&gt;"",F442,VLOOKUP(MAX(C$2:C442),A$2:F442,2,FALSE)),"")</f>
        <v/>
      </c>
      <c r="E442" s="5" t="str">
        <f t="shared" si="32"/>
        <v/>
      </c>
      <c r="K442" t="str">
        <f>IFERROR(IF(VLOOKUP(E:E,'Old Report'!E:J,6,FALSE)="","",VLOOKUP(E:E,'Old Report'!E:J,6,FALSE)),"")</f>
        <v/>
      </c>
      <c r="L442" t="str">
        <f>IFERROR(IF(VLOOKUP(E:E,'Old Report'!E:L,8,FALSE)="","",VLOOKUP(E:E,'Old Report'!E:L,8,FALSE)),"")</f>
        <v/>
      </c>
      <c r="M442" s="5" t="str">
        <f t="shared" si="33"/>
        <v/>
      </c>
      <c r="N442" s="5" t="str">
        <f t="shared" si="34"/>
        <v/>
      </c>
    </row>
    <row r="443" spans="1:14" x14ac:dyDescent="0.25">
      <c r="A443" s="5">
        <v>442</v>
      </c>
      <c r="B443" s="5">
        <f t="shared" si="31"/>
        <v>0</v>
      </c>
      <c r="C443" s="5" t="str">
        <f t="shared" si="30"/>
        <v/>
      </c>
      <c r="D443" s="5" t="str">
        <f>IFERROR(IF(F443&lt;&gt;"",F443,VLOOKUP(MAX(C$2:C443),A$2:F443,2,FALSE)),"")</f>
        <v/>
      </c>
      <c r="E443" s="5" t="str">
        <f t="shared" si="32"/>
        <v/>
      </c>
      <c r="K443" t="str">
        <f>IFERROR(IF(VLOOKUP(E:E,'Old Report'!E:J,6,FALSE)="","",VLOOKUP(E:E,'Old Report'!E:J,6,FALSE)),"")</f>
        <v/>
      </c>
      <c r="L443" t="str">
        <f>IFERROR(IF(VLOOKUP(E:E,'Old Report'!E:L,8,FALSE)="","",VLOOKUP(E:E,'Old Report'!E:L,8,FALSE)),"")</f>
        <v/>
      </c>
      <c r="M443" s="5" t="str">
        <f t="shared" si="33"/>
        <v/>
      </c>
      <c r="N443" s="5" t="str">
        <f t="shared" si="34"/>
        <v/>
      </c>
    </row>
    <row r="444" spans="1:14" x14ac:dyDescent="0.25">
      <c r="A444" s="5">
        <v>443</v>
      </c>
      <c r="B444" s="5">
        <f t="shared" si="31"/>
        <v>0</v>
      </c>
      <c r="C444" s="5" t="str">
        <f t="shared" si="30"/>
        <v/>
      </c>
      <c r="D444" s="5" t="str">
        <f>IFERROR(IF(F444&lt;&gt;"",F444,VLOOKUP(MAX(C$2:C444),A$2:F444,2,FALSE)),"")</f>
        <v/>
      </c>
      <c r="E444" s="5" t="str">
        <f t="shared" si="32"/>
        <v/>
      </c>
      <c r="K444" t="str">
        <f>IFERROR(IF(VLOOKUP(E:E,'Old Report'!E:J,6,FALSE)="","",VLOOKUP(E:E,'Old Report'!E:J,6,FALSE)),"")</f>
        <v/>
      </c>
      <c r="L444" t="str">
        <f>IFERROR(IF(VLOOKUP(E:E,'Old Report'!E:L,8,FALSE)="","",VLOOKUP(E:E,'Old Report'!E:L,8,FALSE)),"")</f>
        <v/>
      </c>
      <c r="M444" s="5" t="str">
        <f t="shared" si="33"/>
        <v/>
      </c>
      <c r="N444" s="5" t="str">
        <f t="shared" si="34"/>
        <v/>
      </c>
    </row>
    <row r="445" spans="1:14" x14ac:dyDescent="0.25">
      <c r="A445" s="5">
        <v>444</v>
      </c>
      <c r="B445" s="5">
        <f t="shared" si="31"/>
        <v>0</v>
      </c>
      <c r="C445" s="5" t="str">
        <f t="shared" si="30"/>
        <v/>
      </c>
      <c r="D445" s="5" t="str">
        <f>IFERROR(IF(F445&lt;&gt;"",F445,VLOOKUP(MAX(C$2:C445),A$2:F445,2,FALSE)),"")</f>
        <v/>
      </c>
      <c r="E445" s="5" t="str">
        <f t="shared" si="32"/>
        <v/>
      </c>
      <c r="K445" t="str">
        <f>IFERROR(IF(VLOOKUP(E:E,'Old Report'!E:J,6,FALSE)="","",VLOOKUP(E:E,'Old Report'!E:J,6,FALSE)),"")</f>
        <v/>
      </c>
      <c r="L445" t="str">
        <f>IFERROR(IF(VLOOKUP(E:E,'Old Report'!E:L,8,FALSE)="","",VLOOKUP(E:E,'Old Report'!E:L,8,FALSE)),"")</f>
        <v/>
      </c>
      <c r="M445" s="5" t="str">
        <f t="shared" si="33"/>
        <v/>
      </c>
      <c r="N445" s="5" t="str">
        <f t="shared" si="34"/>
        <v/>
      </c>
    </row>
    <row r="446" spans="1:14" x14ac:dyDescent="0.25">
      <c r="A446" s="5">
        <v>445</v>
      </c>
      <c r="B446" s="5">
        <f t="shared" si="31"/>
        <v>0</v>
      </c>
      <c r="C446" s="5" t="str">
        <f t="shared" si="30"/>
        <v/>
      </c>
      <c r="D446" s="5" t="str">
        <f>IFERROR(IF(F446&lt;&gt;"",F446,VLOOKUP(MAX(C$2:C446),A$2:F446,2,FALSE)),"")</f>
        <v/>
      </c>
      <c r="E446" s="5" t="str">
        <f t="shared" si="32"/>
        <v/>
      </c>
      <c r="K446" t="str">
        <f>IFERROR(IF(VLOOKUP(E:E,'Old Report'!E:J,6,FALSE)="","",VLOOKUP(E:E,'Old Report'!E:J,6,FALSE)),"")</f>
        <v/>
      </c>
      <c r="L446" t="str">
        <f>IFERROR(IF(VLOOKUP(E:E,'Old Report'!E:L,8,FALSE)="","",VLOOKUP(E:E,'Old Report'!E:L,8,FALSE)),"")</f>
        <v/>
      </c>
      <c r="M446" s="5" t="str">
        <f t="shared" si="33"/>
        <v/>
      </c>
      <c r="N446" s="5" t="str">
        <f t="shared" si="34"/>
        <v/>
      </c>
    </row>
    <row r="447" spans="1:14" x14ac:dyDescent="0.25">
      <c r="A447" s="5">
        <v>446</v>
      </c>
      <c r="B447" s="5">
        <f t="shared" si="31"/>
        <v>0</v>
      </c>
      <c r="C447" s="5" t="str">
        <f t="shared" si="30"/>
        <v/>
      </c>
      <c r="D447" s="5" t="str">
        <f>IFERROR(IF(F447&lt;&gt;"",F447,VLOOKUP(MAX(C$2:C447),A$2:F447,2,FALSE)),"")</f>
        <v/>
      </c>
      <c r="E447" s="5" t="str">
        <f t="shared" si="32"/>
        <v/>
      </c>
      <c r="K447" t="str">
        <f>IFERROR(IF(VLOOKUP(E:E,'Old Report'!E:J,6,FALSE)="","",VLOOKUP(E:E,'Old Report'!E:J,6,FALSE)),"")</f>
        <v/>
      </c>
      <c r="L447" t="str">
        <f>IFERROR(IF(VLOOKUP(E:E,'Old Report'!E:L,8,FALSE)="","",VLOOKUP(E:E,'Old Report'!E:L,8,FALSE)),"")</f>
        <v/>
      </c>
      <c r="M447" s="5" t="str">
        <f t="shared" si="33"/>
        <v/>
      </c>
      <c r="N447" s="5" t="str">
        <f t="shared" si="34"/>
        <v/>
      </c>
    </row>
    <row r="448" spans="1:14" x14ac:dyDescent="0.25">
      <c r="A448" s="5">
        <v>447</v>
      </c>
      <c r="B448" s="5">
        <f t="shared" si="31"/>
        <v>0</v>
      </c>
      <c r="C448" s="5" t="str">
        <f t="shared" si="30"/>
        <v/>
      </c>
      <c r="D448" s="5" t="str">
        <f>IFERROR(IF(F448&lt;&gt;"",F448,VLOOKUP(MAX(C$2:C448),A$2:F448,2,FALSE)),"")</f>
        <v/>
      </c>
      <c r="E448" s="5" t="str">
        <f t="shared" si="32"/>
        <v/>
      </c>
      <c r="K448" t="str">
        <f>IFERROR(IF(VLOOKUP(E:E,'Old Report'!E:J,6,FALSE)="","",VLOOKUP(E:E,'Old Report'!E:J,6,FALSE)),"")</f>
        <v/>
      </c>
      <c r="L448" t="str">
        <f>IFERROR(IF(VLOOKUP(E:E,'Old Report'!E:L,8,FALSE)="","",VLOOKUP(E:E,'Old Report'!E:L,8,FALSE)),"")</f>
        <v/>
      </c>
      <c r="M448" s="5" t="str">
        <f t="shared" si="33"/>
        <v/>
      </c>
      <c r="N448" s="5" t="str">
        <f t="shared" si="34"/>
        <v/>
      </c>
    </row>
    <row r="449" spans="1:14" x14ac:dyDescent="0.25">
      <c r="A449" s="5">
        <v>448</v>
      </c>
      <c r="B449" s="5">
        <f t="shared" si="31"/>
        <v>0</v>
      </c>
      <c r="C449" s="5" t="str">
        <f t="shared" si="30"/>
        <v/>
      </c>
      <c r="D449" s="5" t="str">
        <f>IFERROR(IF(F449&lt;&gt;"",F449,VLOOKUP(MAX(C$2:C449),A$2:F449,2,FALSE)),"")</f>
        <v/>
      </c>
      <c r="E449" s="5" t="str">
        <f t="shared" si="32"/>
        <v/>
      </c>
      <c r="K449" t="str">
        <f>IFERROR(IF(VLOOKUP(E:E,'Old Report'!E:J,6,FALSE)="","",VLOOKUP(E:E,'Old Report'!E:J,6,FALSE)),"")</f>
        <v/>
      </c>
      <c r="L449" t="str">
        <f>IFERROR(IF(VLOOKUP(E:E,'Old Report'!E:L,8,FALSE)="","",VLOOKUP(E:E,'Old Report'!E:L,8,FALSE)),"")</f>
        <v/>
      </c>
      <c r="M449" s="5" t="str">
        <f t="shared" si="33"/>
        <v/>
      </c>
      <c r="N449" s="5" t="str">
        <f t="shared" si="34"/>
        <v/>
      </c>
    </row>
    <row r="450" spans="1:14" x14ac:dyDescent="0.25">
      <c r="A450" s="5">
        <v>449</v>
      </c>
      <c r="B450" s="5">
        <f t="shared" si="31"/>
        <v>0</v>
      </c>
      <c r="C450" s="5" t="str">
        <f t="shared" ref="C450:C513" si="35">IF(F450&lt;&gt;"",A450,"")</f>
        <v/>
      </c>
      <c r="D450" s="5" t="str">
        <f>IFERROR(IF(F450&lt;&gt;"",F450,VLOOKUP(MAX(C$2:C450),A$2:F450,2,FALSE)),"")</f>
        <v/>
      </c>
      <c r="E450" s="5" t="str">
        <f t="shared" si="32"/>
        <v/>
      </c>
      <c r="K450" t="str">
        <f>IFERROR(IF(VLOOKUP(E:E,'Old Report'!E:J,6,FALSE)="","",VLOOKUP(E:E,'Old Report'!E:J,6,FALSE)),"")</f>
        <v/>
      </c>
      <c r="L450" t="str">
        <f>IFERROR(IF(VLOOKUP(E:E,'Old Report'!E:L,8,FALSE)="","",VLOOKUP(E:E,'Old Report'!E:L,8,FALSE)),"")</f>
        <v/>
      </c>
      <c r="M450" s="5" t="str">
        <f t="shared" si="33"/>
        <v/>
      </c>
      <c r="N450" s="5" t="str">
        <f t="shared" si="34"/>
        <v/>
      </c>
    </row>
    <row r="451" spans="1:14" x14ac:dyDescent="0.25">
      <c r="A451" s="5">
        <v>450</v>
      </c>
      <c r="B451" s="5">
        <f t="shared" ref="B451:B514" si="36">IF(F452&lt;&gt;"",F452,F451)</f>
        <v>0</v>
      </c>
      <c r="C451" s="5" t="str">
        <f t="shared" si="35"/>
        <v/>
      </c>
      <c r="D451" s="5" t="str">
        <f>IFERROR(IF(F451&lt;&gt;"",F451,VLOOKUP(MAX(C$2:C451),A$2:F451,2,FALSE)),"")</f>
        <v/>
      </c>
      <c r="E451" s="5" t="str">
        <f t="shared" ref="E451:E514" si="37">IF(H451&lt;&gt;"",CONCATENATE(D451,".",H451),"")</f>
        <v/>
      </c>
      <c r="K451" t="str">
        <f>IFERROR(IF(VLOOKUP(E:E,'Old Report'!E:J,6,FALSE)="","",VLOOKUP(E:E,'Old Report'!E:J,6,FALSE)),"")</f>
        <v/>
      </c>
      <c r="L451" t="str">
        <f>IFERROR(IF(VLOOKUP(E:E,'Old Report'!E:L,8,FALSE)="","",VLOOKUP(E:E,'Old Report'!E:L,8,FALSE)),"")</f>
        <v/>
      </c>
      <c r="M451" s="5" t="str">
        <f t="shared" si="33"/>
        <v/>
      </c>
      <c r="N451" s="5" t="str">
        <f t="shared" si="34"/>
        <v/>
      </c>
    </row>
    <row r="452" spans="1:14" x14ac:dyDescent="0.25">
      <c r="A452" s="5">
        <v>451</v>
      </c>
      <c r="B452" s="5">
        <f t="shared" si="36"/>
        <v>0</v>
      </c>
      <c r="C452" s="5" t="str">
        <f t="shared" si="35"/>
        <v/>
      </c>
      <c r="D452" s="5" t="str">
        <f>IFERROR(IF(F452&lt;&gt;"",F452,VLOOKUP(MAX(C$2:C452),A$2:F452,2,FALSE)),"")</f>
        <v/>
      </c>
      <c r="E452" s="5" t="str">
        <f t="shared" si="37"/>
        <v/>
      </c>
      <c r="K452" t="str">
        <f>IFERROR(IF(VLOOKUP(E:E,'Old Report'!E:J,6,FALSE)="","",VLOOKUP(E:E,'Old Report'!E:J,6,FALSE)),"")</f>
        <v/>
      </c>
      <c r="L452" t="str">
        <f>IFERROR(IF(VLOOKUP(E:E,'Old Report'!E:L,8,FALSE)="","",VLOOKUP(E:E,'Old Report'!E:L,8,FALSE)),"")</f>
        <v/>
      </c>
      <c r="M452" s="5" t="str">
        <f t="shared" ref="M452:M515" si="38">IFERROR(L452,"")</f>
        <v/>
      </c>
      <c r="N452" s="5" t="str">
        <f t="shared" ref="N452:N515" si="39">IFERROR( IF(J452&lt;&gt;"",IF(K452 &lt;&gt; "",IF(J452 = K452,"No Change",IF(J452 &lt; K452,CONCATENATE("Issues reduced from ",K452," to ",J452),IF(J452&gt;K452,CONCATENATE("Issues increased from ",K452," to ",J452),""))),"New issue - needs to be checked"),""),"")</f>
        <v/>
      </c>
    </row>
    <row r="453" spans="1:14" x14ac:dyDescent="0.25">
      <c r="A453" s="5">
        <v>452</v>
      </c>
      <c r="B453" s="5">
        <f t="shared" si="36"/>
        <v>0</v>
      </c>
      <c r="C453" s="5" t="str">
        <f t="shared" si="35"/>
        <v/>
      </c>
      <c r="D453" s="5" t="str">
        <f>IFERROR(IF(F453&lt;&gt;"",F453,VLOOKUP(MAX(C$2:C453),A$2:F453,2,FALSE)),"")</f>
        <v/>
      </c>
      <c r="E453" s="5" t="str">
        <f t="shared" si="37"/>
        <v/>
      </c>
      <c r="K453" t="str">
        <f>IFERROR(IF(VLOOKUP(E:E,'Old Report'!E:J,6,FALSE)="","",VLOOKUP(E:E,'Old Report'!E:J,6,FALSE)),"")</f>
        <v/>
      </c>
      <c r="L453" t="str">
        <f>IFERROR(IF(VLOOKUP(E:E,'Old Report'!E:L,8,FALSE)="","",VLOOKUP(E:E,'Old Report'!E:L,8,FALSE)),"")</f>
        <v/>
      </c>
      <c r="M453" s="5" t="str">
        <f t="shared" si="38"/>
        <v/>
      </c>
      <c r="N453" s="5" t="str">
        <f t="shared" si="39"/>
        <v/>
      </c>
    </row>
    <row r="454" spans="1:14" x14ac:dyDescent="0.25">
      <c r="A454" s="5">
        <v>453</v>
      </c>
      <c r="B454" s="5">
        <f t="shared" si="36"/>
        <v>0</v>
      </c>
      <c r="C454" s="5" t="str">
        <f t="shared" si="35"/>
        <v/>
      </c>
      <c r="D454" s="5" t="str">
        <f>IFERROR(IF(F454&lt;&gt;"",F454,VLOOKUP(MAX(C$2:C454),A$2:F454,2,FALSE)),"")</f>
        <v/>
      </c>
      <c r="E454" s="5" t="str">
        <f t="shared" si="37"/>
        <v/>
      </c>
      <c r="K454" t="str">
        <f>IFERROR(IF(VLOOKUP(E:E,'Old Report'!E:J,6,FALSE)="","",VLOOKUP(E:E,'Old Report'!E:J,6,FALSE)),"")</f>
        <v/>
      </c>
      <c r="L454" t="str">
        <f>IFERROR(IF(VLOOKUP(E:E,'Old Report'!E:L,8,FALSE)="","",VLOOKUP(E:E,'Old Report'!E:L,8,FALSE)),"")</f>
        <v/>
      </c>
      <c r="M454" s="5" t="str">
        <f t="shared" si="38"/>
        <v/>
      </c>
      <c r="N454" s="5" t="str">
        <f t="shared" si="39"/>
        <v/>
      </c>
    </row>
    <row r="455" spans="1:14" x14ac:dyDescent="0.25">
      <c r="A455" s="5">
        <v>454</v>
      </c>
      <c r="B455" s="5">
        <f t="shared" si="36"/>
        <v>0</v>
      </c>
      <c r="C455" s="5" t="str">
        <f t="shared" si="35"/>
        <v/>
      </c>
      <c r="D455" s="5" t="str">
        <f>IFERROR(IF(F455&lt;&gt;"",F455,VLOOKUP(MAX(C$2:C455),A$2:F455,2,FALSE)),"")</f>
        <v/>
      </c>
      <c r="E455" s="5" t="str">
        <f t="shared" si="37"/>
        <v/>
      </c>
      <c r="K455" t="str">
        <f>IFERROR(IF(VLOOKUP(E:E,'Old Report'!E:J,6,FALSE)="","",VLOOKUP(E:E,'Old Report'!E:J,6,FALSE)),"")</f>
        <v/>
      </c>
      <c r="L455" t="str">
        <f>IFERROR(IF(VLOOKUP(E:E,'Old Report'!E:L,8,FALSE)="","",VLOOKUP(E:E,'Old Report'!E:L,8,FALSE)),"")</f>
        <v/>
      </c>
      <c r="M455" s="5" t="str">
        <f t="shared" si="38"/>
        <v/>
      </c>
      <c r="N455" s="5" t="str">
        <f t="shared" si="39"/>
        <v/>
      </c>
    </row>
    <row r="456" spans="1:14" x14ac:dyDescent="0.25">
      <c r="A456" s="5">
        <v>455</v>
      </c>
      <c r="B456" s="5">
        <f t="shared" si="36"/>
        <v>0</v>
      </c>
      <c r="C456" s="5" t="str">
        <f t="shared" si="35"/>
        <v/>
      </c>
      <c r="D456" s="5" t="str">
        <f>IFERROR(IF(F456&lt;&gt;"",F456,VLOOKUP(MAX(C$2:C456),A$2:F456,2,FALSE)),"")</f>
        <v/>
      </c>
      <c r="E456" s="5" t="str">
        <f t="shared" si="37"/>
        <v/>
      </c>
      <c r="K456" t="str">
        <f>IFERROR(IF(VLOOKUP(E:E,'Old Report'!E:J,6,FALSE)="","",VLOOKUP(E:E,'Old Report'!E:J,6,FALSE)),"")</f>
        <v/>
      </c>
      <c r="L456" t="str">
        <f>IFERROR(IF(VLOOKUP(E:E,'Old Report'!E:L,8,FALSE)="","",VLOOKUP(E:E,'Old Report'!E:L,8,FALSE)),"")</f>
        <v/>
      </c>
      <c r="M456" s="5" t="str">
        <f t="shared" si="38"/>
        <v/>
      </c>
      <c r="N456" s="5" t="str">
        <f t="shared" si="39"/>
        <v/>
      </c>
    </row>
    <row r="457" spans="1:14" x14ac:dyDescent="0.25">
      <c r="A457" s="5">
        <v>456</v>
      </c>
      <c r="B457" s="5">
        <f t="shared" si="36"/>
        <v>0</v>
      </c>
      <c r="C457" s="5" t="str">
        <f t="shared" si="35"/>
        <v/>
      </c>
      <c r="D457" s="5" t="str">
        <f>IFERROR(IF(F457&lt;&gt;"",F457,VLOOKUP(MAX(C$2:C457),A$2:F457,2,FALSE)),"")</f>
        <v/>
      </c>
      <c r="E457" s="5" t="str">
        <f t="shared" si="37"/>
        <v/>
      </c>
      <c r="K457" t="str">
        <f>IFERROR(IF(VLOOKUP(E:E,'Old Report'!E:J,6,FALSE)="","",VLOOKUP(E:E,'Old Report'!E:J,6,FALSE)),"")</f>
        <v/>
      </c>
      <c r="L457" t="str">
        <f>IFERROR(IF(VLOOKUP(E:E,'Old Report'!E:L,8,FALSE)="","",VLOOKUP(E:E,'Old Report'!E:L,8,FALSE)),"")</f>
        <v/>
      </c>
      <c r="M457" s="5" t="str">
        <f t="shared" si="38"/>
        <v/>
      </c>
      <c r="N457" s="5" t="str">
        <f t="shared" si="39"/>
        <v/>
      </c>
    </row>
    <row r="458" spans="1:14" x14ac:dyDescent="0.25">
      <c r="A458" s="5">
        <v>457</v>
      </c>
      <c r="B458" s="5">
        <f t="shared" si="36"/>
        <v>0</v>
      </c>
      <c r="C458" s="5" t="str">
        <f t="shared" si="35"/>
        <v/>
      </c>
      <c r="D458" s="5" t="str">
        <f>IFERROR(IF(F458&lt;&gt;"",F458,VLOOKUP(MAX(C$2:C458),A$2:F458,2,FALSE)),"")</f>
        <v/>
      </c>
      <c r="E458" s="5" t="str">
        <f t="shared" si="37"/>
        <v/>
      </c>
      <c r="K458" t="str">
        <f>IFERROR(IF(VLOOKUP(E:E,'Old Report'!E:J,6,FALSE)="","",VLOOKUP(E:E,'Old Report'!E:J,6,FALSE)),"")</f>
        <v/>
      </c>
      <c r="L458" t="str">
        <f>IFERROR(IF(VLOOKUP(E:E,'Old Report'!E:L,8,FALSE)="","",VLOOKUP(E:E,'Old Report'!E:L,8,FALSE)),"")</f>
        <v/>
      </c>
      <c r="M458" s="5" t="str">
        <f t="shared" si="38"/>
        <v/>
      </c>
      <c r="N458" s="5" t="str">
        <f t="shared" si="39"/>
        <v/>
      </c>
    </row>
    <row r="459" spans="1:14" x14ac:dyDescent="0.25">
      <c r="A459" s="5">
        <v>458</v>
      </c>
      <c r="B459" s="5">
        <f t="shared" si="36"/>
        <v>0</v>
      </c>
      <c r="C459" s="5" t="str">
        <f t="shared" si="35"/>
        <v/>
      </c>
      <c r="D459" s="5" t="str">
        <f>IFERROR(IF(F459&lt;&gt;"",F459,VLOOKUP(MAX(C$2:C459),A$2:F459,2,FALSE)),"")</f>
        <v/>
      </c>
      <c r="E459" s="5" t="str">
        <f t="shared" si="37"/>
        <v/>
      </c>
      <c r="K459" t="str">
        <f>IFERROR(IF(VLOOKUP(E:E,'Old Report'!E:J,6,FALSE)="","",VLOOKUP(E:E,'Old Report'!E:J,6,FALSE)),"")</f>
        <v/>
      </c>
      <c r="L459" t="str">
        <f>IFERROR(IF(VLOOKUP(E:E,'Old Report'!E:L,8,FALSE)="","",VLOOKUP(E:E,'Old Report'!E:L,8,FALSE)),"")</f>
        <v/>
      </c>
      <c r="M459" s="5" t="str">
        <f t="shared" si="38"/>
        <v/>
      </c>
      <c r="N459" s="5" t="str">
        <f t="shared" si="39"/>
        <v/>
      </c>
    </row>
    <row r="460" spans="1:14" x14ac:dyDescent="0.25">
      <c r="A460" s="5">
        <v>459</v>
      </c>
      <c r="B460" s="5">
        <f t="shared" si="36"/>
        <v>0</v>
      </c>
      <c r="C460" s="5" t="str">
        <f t="shared" si="35"/>
        <v/>
      </c>
      <c r="D460" s="5" t="str">
        <f>IFERROR(IF(F460&lt;&gt;"",F460,VLOOKUP(MAX(C$2:C460),A$2:F460,2,FALSE)),"")</f>
        <v/>
      </c>
      <c r="E460" s="5" t="str">
        <f t="shared" si="37"/>
        <v/>
      </c>
      <c r="K460" t="str">
        <f>IFERROR(IF(VLOOKUP(E:E,'Old Report'!E:J,6,FALSE)="","",VLOOKUP(E:E,'Old Report'!E:J,6,FALSE)),"")</f>
        <v/>
      </c>
      <c r="L460" t="str">
        <f>IFERROR(IF(VLOOKUP(E:E,'Old Report'!E:L,8,FALSE)="","",VLOOKUP(E:E,'Old Report'!E:L,8,FALSE)),"")</f>
        <v/>
      </c>
      <c r="M460" s="5" t="str">
        <f t="shared" si="38"/>
        <v/>
      </c>
      <c r="N460" s="5" t="str">
        <f t="shared" si="39"/>
        <v/>
      </c>
    </row>
    <row r="461" spans="1:14" x14ac:dyDescent="0.25">
      <c r="A461" s="5">
        <v>460</v>
      </c>
      <c r="B461" s="5">
        <f t="shared" si="36"/>
        <v>0</v>
      </c>
      <c r="C461" s="5" t="str">
        <f t="shared" si="35"/>
        <v/>
      </c>
      <c r="D461" s="5" t="str">
        <f>IFERROR(IF(F461&lt;&gt;"",F461,VLOOKUP(MAX(C$2:C461),A$2:F461,2,FALSE)),"")</f>
        <v/>
      </c>
      <c r="E461" s="5" t="str">
        <f t="shared" si="37"/>
        <v/>
      </c>
      <c r="K461" t="str">
        <f>IFERROR(IF(VLOOKUP(E:E,'Old Report'!E:J,6,FALSE)="","",VLOOKUP(E:E,'Old Report'!E:J,6,FALSE)),"")</f>
        <v/>
      </c>
      <c r="L461" t="str">
        <f>IFERROR(IF(VLOOKUP(E:E,'Old Report'!E:L,8,FALSE)="","",VLOOKUP(E:E,'Old Report'!E:L,8,FALSE)),"")</f>
        <v/>
      </c>
      <c r="M461" s="5" t="str">
        <f t="shared" si="38"/>
        <v/>
      </c>
      <c r="N461" s="5" t="str">
        <f t="shared" si="39"/>
        <v/>
      </c>
    </row>
    <row r="462" spans="1:14" x14ac:dyDescent="0.25">
      <c r="A462" s="5">
        <v>461</v>
      </c>
      <c r="B462" s="5">
        <f t="shared" si="36"/>
        <v>0</v>
      </c>
      <c r="C462" s="5" t="str">
        <f t="shared" si="35"/>
        <v/>
      </c>
      <c r="D462" s="5" t="str">
        <f>IFERROR(IF(F462&lt;&gt;"",F462,VLOOKUP(MAX(C$2:C462),A$2:F462,2,FALSE)),"")</f>
        <v/>
      </c>
      <c r="E462" s="5" t="str">
        <f t="shared" si="37"/>
        <v/>
      </c>
      <c r="K462" t="str">
        <f>IFERROR(IF(VLOOKUP(E:E,'Old Report'!E:J,6,FALSE)="","",VLOOKUP(E:E,'Old Report'!E:J,6,FALSE)),"")</f>
        <v/>
      </c>
      <c r="L462" t="str">
        <f>IFERROR(IF(VLOOKUP(E:E,'Old Report'!E:L,8,FALSE)="","",VLOOKUP(E:E,'Old Report'!E:L,8,FALSE)),"")</f>
        <v/>
      </c>
      <c r="M462" s="5" t="str">
        <f t="shared" si="38"/>
        <v/>
      </c>
      <c r="N462" s="5" t="str">
        <f t="shared" si="39"/>
        <v/>
      </c>
    </row>
    <row r="463" spans="1:14" x14ac:dyDescent="0.25">
      <c r="A463" s="5">
        <v>462</v>
      </c>
      <c r="B463" s="5">
        <f t="shared" si="36"/>
        <v>0</v>
      </c>
      <c r="C463" s="5" t="str">
        <f t="shared" si="35"/>
        <v/>
      </c>
      <c r="D463" s="5" t="str">
        <f>IFERROR(IF(F463&lt;&gt;"",F463,VLOOKUP(MAX(C$2:C463),A$2:F463,2,FALSE)),"")</f>
        <v/>
      </c>
      <c r="E463" s="5" t="str">
        <f t="shared" si="37"/>
        <v/>
      </c>
      <c r="K463" t="str">
        <f>IFERROR(IF(VLOOKUP(E:E,'Old Report'!E:J,6,FALSE)="","",VLOOKUP(E:E,'Old Report'!E:J,6,FALSE)),"")</f>
        <v/>
      </c>
      <c r="L463" t="str">
        <f>IFERROR(IF(VLOOKUP(E:E,'Old Report'!E:L,8,FALSE)="","",VLOOKUP(E:E,'Old Report'!E:L,8,FALSE)),"")</f>
        <v/>
      </c>
      <c r="M463" s="5" t="str">
        <f t="shared" si="38"/>
        <v/>
      </c>
      <c r="N463" s="5" t="str">
        <f t="shared" si="39"/>
        <v/>
      </c>
    </row>
    <row r="464" spans="1:14" x14ac:dyDescent="0.25">
      <c r="A464" s="5">
        <v>463</v>
      </c>
      <c r="B464" s="5">
        <f t="shared" si="36"/>
        <v>0</v>
      </c>
      <c r="C464" s="5" t="str">
        <f t="shared" si="35"/>
        <v/>
      </c>
      <c r="D464" s="5" t="str">
        <f>IFERROR(IF(F464&lt;&gt;"",F464,VLOOKUP(MAX(C$2:C464),A$2:F464,2,FALSE)),"")</f>
        <v/>
      </c>
      <c r="E464" s="5" t="str">
        <f t="shared" si="37"/>
        <v/>
      </c>
      <c r="K464" t="str">
        <f>IFERROR(IF(VLOOKUP(E:E,'Old Report'!E:J,6,FALSE)="","",VLOOKUP(E:E,'Old Report'!E:J,6,FALSE)),"")</f>
        <v/>
      </c>
      <c r="L464" t="str">
        <f>IFERROR(IF(VLOOKUP(E:E,'Old Report'!E:L,8,FALSE)="","",VLOOKUP(E:E,'Old Report'!E:L,8,FALSE)),"")</f>
        <v/>
      </c>
      <c r="M464" s="5" t="str">
        <f t="shared" si="38"/>
        <v/>
      </c>
      <c r="N464" s="5" t="str">
        <f t="shared" si="39"/>
        <v/>
      </c>
    </row>
    <row r="465" spans="1:14" x14ac:dyDescent="0.25">
      <c r="A465" s="5">
        <v>464</v>
      </c>
      <c r="B465" s="5">
        <f t="shared" si="36"/>
        <v>0</v>
      </c>
      <c r="C465" s="5" t="str">
        <f t="shared" si="35"/>
        <v/>
      </c>
      <c r="D465" s="5" t="str">
        <f>IFERROR(IF(F465&lt;&gt;"",F465,VLOOKUP(MAX(C$2:C465),A$2:F465,2,FALSE)),"")</f>
        <v/>
      </c>
      <c r="E465" s="5" t="str">
        <f t="shared" si="37"/>
        <v/>
      </c>
      <c r="K465" t="str">
        <f>IFERROR(IF(VLOOKUP(E:E,'Old Report'!E:J,6,FALSE)="","",VLOOKUP(E:E,'Old Report'!E:J,6,FALSE)),"")</f>
        <v/>
      </c>
      <c r="L465" t="str">
        <f>IFERROR(IF(VLOOKUP(E:E,'Old Report'!E:L,8,FALSE)="","",VLOOKUP(E:E,'Old Report'!E:L,8,FALSE)),"")</f>
        <v/>
      </c>
      <c r="M465" s="5" t="str">
        <f t="shared" si="38"/>
        <v/>
      </c>
      <c r="N465" s="5" t="str">
        <f t="shared" si="39"/>
        <v/>
      </c>
    </row>
    <row r="466" spans="1:14" x14ac:dyDescent="0.25">
      <c r="A466" s="5">
        <v>465</v>
      </c>
      <c r="B466" s="5">
        <f t="shared" si="36"/>
        <v>0</v>
      </c>
      <c r="C466" s="5" t="str">
        <f t="shared" si="35"/>
        <v/>
      </c>
      <c r="D466" s="5" t="str">
        <f>IFERROR(IF(F466&lt;&gt;"",F466,VLOOKUP(MAX(C$2:C466),A$2:F466,2,FALSE)),"")</f>
        <v/>
      </c>
      <c r="E466" s="5" t="str">
        <f t="shared" si="37"/>
        <v/>
      </c>
      <c r="K466" t="str">
        <f>IFERROR(IF(VLOOKUP(E:E,'Old Report'!E:J,6,FALSE)="","",VLOOKUP(E:E,'Old Report'!E:J,6,FALSE)),"")</f>
        <v/>
      </c>
      <c r="L466" t="str">
        <f>IFERROR(IF(VLOOKUP(E:E,'Old Report'!E:L,8,FALSE)="","",VLOOKUP(E:E,'Old Report'!E:L,8,FALSE)),"")</f>
        <v/>
      </c>
      <c r="M466" s="5" t="str">
        <f t="shared" si="38"/>
        <v/>
      </c>
      <c r="N466" s="5" t="str">
        <f t="shared" si="39"/>
        <v/>
      </c>
    </row>
    <row r="467" spans="1:14" x14ac:dyDescent="0.25">
      <c r="A467" s="5">
        <v>466</v>
      </c>
      <c r="B467" s="5">
        <f t="shared" si="36"/>
        <v>0</v>
      </c>
      <c r="C467" s="5" t="str">
        <f t="shared" si="35"/>
        <v/>
      </c>
      <c r="D467" s="5" t="str">
        <f>IFERROR(IF(F467&lt;&gt;"",F467,VLOOKUP(MAX(C$2:C467),A$2:F467,2,FALSE)),"")</f>
        <v/>
      </c>
      <c r="E467" s="5" t="str">
        <f t="shared" si="37"/>
        <v/>
      </c>
      <c r="K467" t="str">
        <f>IFERROR(IF(VLOOKUP(E:E,'Old Report'!E:J,6,FALSE)="","",VLOOKUP(E:E,'Old Report'!E:J,6,FALSE)),"")</f>
        <v/>
      </c>
      <c r="L467" t="str">
        <f>IFERROR(IF(VLOOKUP(E:E,'Old Report'!E:L,8,FALSE)="","",VLOOKUP(E:E,'Old Report'!E:L,8,FALSE)),"")</f>
        <v/>
      </c>
      <c r="M467" s="5" t="str">
        <f t="shared" si="38"/>
        <v/>
      </c>
      <c r="N467" s="5" t="str">
        <f t="shared" si="39"/>
        <v/>
      </c>
    </row>
    <row r="468" spans="1:14" x14ac:dyDescent="0.25">
      <c r="A468" s="5">
        <v>467</v>
      </c>
      <c r="B468" s="5">
        <f t="shared" si="36"/>
        <v>0</v>
      </c>
      <c r="C468" s="5" t="str">
        <f t="shared" si="35"/>
        <v/>
      </c>
      <c r="D468" s="5" t="str">
        <f>IFERROR(IF(F468&lt;&gt;"",F468,VLOOKUP(MAX(C$2:C468),A$2:F468,2,FALSE)),"")</f>
        <v/>
      </c>
      <c r="E468" s="5" t="str">
        <f t="shared" si="37"/>
        <v/>
      </c>
      <c r="K468" t="str">
        <f>IFERROR(IF(VLOOKUP(E:E,'Old Report'!E:J,6,FALSE)="","",VLOOKUP(E:E,'Old Report'!E:J,6,FALSE)),"")</f>
        <v/>
      </c>
      <c r="L468" t="str">
        <f>IFERROR(IF(VLOOKUP(E:E,'Old Report'!E:L,8,FALSE)="","",VLOOKUP(E:E,'Old Report'!E:L,8,FALSE)),"")</f>
        <v/>
      </c>
      <c r="M468" s="5" t="str">
        <f t="shared" si="38"/>
        <v/>
      </c>
      <c r="N468" s="5" t="str">
        <f t="shared" si="39"/>
        <v/>
      </c>
    </row>
    <row r="469" spans="1:14" x14ac:dyDescent="0.25">
      <c r="A469" s="5">
        <v>468</v>
      </c>
      <c r="B469" s="5">
        <f t="shared" si="36"/>
        <v>0</v>
      </c>
      <c r="C469" s="5" t="str">
        <f t="shared" si="35"/>
        <v/>
      </c>
      <c r="D469" s="5" t="str">
        <f>IFERROR(IF(F469&lt;&gt;"",F469,VLOOKUP(MAX(C$2:C469),A$2:F469,2,FALSE)),"")</f>
        <v/>
      </c>
      <c r="E469" s="5" t="str">
        <f t="shared" si="37"/>
        <v/>
      </c>
      <c r="K469" t="str">
        <f>IFERROR(IF(VLOOKUP(E:E,'Old Report'!E:J,6,FALSE)="","",VLOOKUP(E:E,'Old Report'!E:J,6,FALSE)),"")</f>
        <v/>
      </c>
      <c r="L469" t="str">
        <f>IFERROR(IF(VLOOKUP(E:E,'Old Report'!E:L,8,FALSE)="","",VLOOKUP(E:E,'Old Report'!E:L,8,FALSE)),"")</f>
        <v/>
      </c>
      <c r="M469" s="5" t="str">
        <f t="shared" si="38"/>
        <v/>
      </c>
      <c r="N469" s="5" t="str">
        <f t="shared" si="39"/>
        <v/>
      </c>
    </row>
    <row r="470" spans="1:14" x14ac:dyDescent="0.25">
      <c r="A470" s="5">
        <v>469</v>
      </c>
      <c r="B470" s="5">
        <f t="shared" si="36"/>
        <v>0</v>
      </c>
      <c r="C470" s="5" t="str">
        <f t="shared" si="35"/>
        <v/>
      </c>
      <c r="D470" s="5" t="str">
        <f>IFERROR(IF(F470&lt;&gt;"",F470,VLOOKUP(MAX(C$2:C470),A$2:F470,2,FALSE)),"")</f>
        <v/>
      </c>
      <c r="E470" s="5" t="str">
        <f t="shared" si="37"/>
        <v/>
      </c>
      <c r="K470" t="str">
        <f>IFERROR(IF(VLOOKUP(E:E,'Old Report'!E:J,6,FALSE)="","",VLOOKUP(E:E,'Old Report'!E:J,6,FALSE)),"")</f>
        <v/>
      </c>
      <c r="L470" t="str">
        <f>IFERROR(IF(VLOOKUP(E:E,'Old Report'!E:L,8,FALSE)="","",VLOOKUP(E:E,'Old Report'!E:L,8,FALSE)),"")</f>
        <v/>
      </c>
      <c r="M470" s="5" t="str">
        <f t="shared" si="38"/>
        <v/>
      </c>
      <c r="N470" s="5" t="str">
        <f t="shared" si="39"/>
        <v/>
      </c>
    </row>
    <row r="471" spans="1:14" x14ac:dyDescent="0.25">
      <c r="A471" s="5">
        <v>470</v>
      </c>
      <c r="B471" s="5">
        <f t="shared" si="36"/>
        <v>0</v>
      </c>
      <c r="C471" s="5" t="str">
        <f t="shared" si="35"/>
        <v/>
      </c>
      <c r="D471" s="5" t="str">
        <f>IFERROR(IF(F471&lt;&gt;"",F471,VLOOKUP(MAX(C$2:C471),A$2:F471,2,FALSE)),"")</f>
        <v/>
      </c>
      <c r="E471" s="5" t="str">
        <f t="shared" si="37"/>
        <v/>
      </c>
      <c r="K471" t="str">
        <f>IFERROR(IF(VLOOKUP(E:E,'Old Report'!E:J,6,FALSE)="","",VLOOKUP(E:E,'Old Report'!E:J,6,FALSE)),"")</f>
        <v/>
      </c>
      <c r="L471" t="str">
        <f>IFERROR(IF(VLOOKUP(E:E,'Old Report'!E:L,8,FALSE)="","",VLOOKUP(E:E,'Old Report'!E:L,8,FALSE)),"")</f>
        <v/>
      </c>
      <c r="M471" s="5" t="str">
        <f t="shared" si="38"/>
        <v/>
      </c>
      <c r="N471" s="5" t="str">
        <f t="shared" si="39"/>
        <v/>
      </c>
    </row>
    <row r="472" spans="1:14" x14ac:dyDescent="0.25">
      <c r="A472" s="5">
        <v>471</v>
      </c>
      <c r="B472" s="5">
        <f t="shared" si="36"/>
        <v>0</v>
      </c>
      <c r="C472" s="5" t="str">
        <f t="shared" si="35"/>
        <v/>
      </c>
      <c r="D472" s="5" t="str">
        <f>IFERROR(IF(F472&lt;&gt;"",F472,VLOOKUP(MAX(C$2:C472),A$2:F472,2,FALSE)),"")</f>
        <v/>
      </c>
      <c r="E472" s="5" t="str">
        <f t="shared" si="37"/>
        <v/>
      </c>
      <c r="K472" t="str">
        <f>IFERROR(IF(VLOOKUP(E:E,'Old Report'!E:J,6,FALSE)="","",VLOOKUP(E:E,'Old Report'!E:J,6,FALSE)),"")</f>
        <v/>
      </c>
      <c r="L472" t="str">
        <f>IFERROR(IF(VLOOKUP(E:E,'Old Report'!E:L,8,FALSE)="","",VLOOKUP(E:E,'Old Report'!E:L,8,FALSE)),"")</f>
        <v/>
      </c>
      <c r="M472" s="5" t="str">
        <f t="shared" si="38"/>
        <v/>
      </c>
      <c r="N472" s="5" t="str">
        <f t="shared" si="39"/>
        <v/>
      </c>
    </row>
    <row r="473" spans="1:14" x14ac:dyDescent="0.25">
      <c r="A473" s="5">
        <v>472</v>
      </c>
      <c r="B473" s="5">
        <f t="shared" si="36"/>
        <v>0</v>
      </c>
      <c r="C473" s="5" t="str">
        <f t="shared" si="35"/>
        <v/>
      </c>
      <c r="D473" s="5" t="str">
        <f>IFERROR(IF(F473&lt;&gt;"",F473,VLOOKUP(MAX(C$2:C473),A$2:F473,2,FALSE)),"")</f>
        <v/>
      </c>
      <c r="E473" s="5" t="str">
        <f t="shared" si="37"/>
        <v/>
      </c>
      <c r="K473" t="str">
        <f>IFERROR(IF(VLOOKUP(E:E,'Old Report'!E:J,6,FALSE)="","",VLOOKUP(E:E,'Old Report'!E:J,6,FALSE)),"")</f>
        <v/>
      </c>
      <c r="L473" t="str">
        <f>IFERROR(IF(VLOOKUP(E:E,'Old Report'!E:L,8,FALSE)="","",VLOOKUP(E:E,'Old Report'!E:L,8,FALSE)),"")</f>
        <v/>
      </c>
      <c r="M473" s="5" t="str">
        <f t="shared" si="38"/>
        <v/>
      </c>
      <c r="N473" s="5" t="str">
        <f t="shared" si="39"/>
        <v/>
      </c>
    </row>
    <row r="474" spans="1:14" x14ac:dyDescent="0.25">
      <c r="A474" s="5">
        <v>473</v>
      </c>
      <c r="B474" s="5">
        <f t="shared" si="36"/>
        <v>0</v>
      </c>
      <c r="C474" s="5" t="str">
        <f t="shared" si="35"/>
        <v/>
      </c>
      <c r="D474" s="5" t="str">
        <f>IFERROR(IF(F474&lt;&gt;"",F474,VLOOKUP(MAX(C$2:C474),A$2:F474,2,FALSE)),"")</f>
        <v/>
      </c>
      <c r="E474" s="5" t="str">
        <f t="shared" si="37"/>
        <v/>
      </c>
      <c r="K474" t="str">
        <f>IFERROR(IF(VLOOKUP(E:E,'Old Report'!E:J,6,FALSE)="","",VLOOKUP(E:E,'Old Report'!E:J,6,FALSE)),"")</f>
        <v/>
      </c>
      <c r="L474" t="str">
        <f>IFERROR(IF(VLOOKUP(E:E,'Old Report'!E:L,8,FALSE)="","",VLOOKUP(E:E,'Old Report'!E:L,8,FALSE)),"")</f>
        <v/>
      </c>
      <c r="M474" s="5" t="str">
        <f t="shared" si="38"/>
        <v/>
      </c>
      <c r="N474" s="5" t="str">
        <f t="shared" si="39"/>
        <v/>
      </c>
    </row>
    <row r="475" spans="1:14" x14ac:dyDescent="0.25">
      <c r="A475" s="5">
        <v>474</v>
      </c>
      <c r="B475" s="5">
        <f t="shared" si="36"/>
        <v>0</v>
      </c>
      <c r="C475" s="5" t="str">
        <f t="shared" si="35"/>
        <v/>
      </c>
      <c r="D475" s="5" t="str">
        <f>IFERROR(IF(F475&lt;&gt;"",F475,VLOOKUP(MAX(C$2:C475),A$2:F475,2,FALSE)),"")</f>
        <v/>
      </c>
      <c r="E475" s="5" t="str">
        <f t="shared" si="37"/>
        <v/>
      </c>
      <c r="K475" t="str">
        <f>IFERROR(IF(VLOOKUP(E:E,'Old Report'!E:J,6,FALSE)="","",VLOOKUP(E:E,'Old Report'!E:J,6,FALSE)),"")</f>
        <v/>
      </c>
      <c r="L475" t="str">
        <f>IFERROR(IF(VLOOKUP(E:E,'Old Report'!E:L,8,FALSE)="","",VLOOKUP(E:E,'Old Report'!E:L,8,FALSE)),"")</f>
        <v/>
      </c>
      <c r="M475" s="5" t="str">
        <f t="shared" si="38"/>
        <v/>
      </c>
      <c r="N475" s="5" t="str">
        <f t="shared" si="39"/>
        <v/>
      </c>
    </row>
    <row r="476" spans="1:14" x14ac:dyDescent="0.25">
      <c r="A476" s="5">
        <v>475</v>
      </c>
      <c r="B476" s="5">
        <f t="shared" si="36"/>
        <v>0</v>
      </c>
      <c r="C476" s="5" t="str">
        <f t="shared" si="35"/>
        <v/>
      </c>
      <c r="D476" s="5" t="str">
        <f>IFERROR(IF(F476&lt;&gt;"",F476,VLOOKUP(MAX(C$2:C476),A$2:F476,2,FALSE)),"")</f>
        <v/>
      </c>
      <c r="E476" s="5" t="str">
        <f t="shared" si="37"/>
        <v/>
      </c>
      <c r="K476" t="str">
        <f>IFERROR(IF(VLOOKUP(E:E,'Old Report'!E:J,6,FALSE)="","",VLOOKUP(E:E,'Old Report'!E:J,6,FALSE)),"")</f>
        <v/>
      </c>
      <c r="L476" t="str">
        <f>IFERROR(IF(VLOOKUP(E:E,'Old Report'!E:L,8,FALSE)="","",VLOOKUP(E:E,'Old Report'!E:L,8,FALSE)),"")</f>
        <v/>
      </c>
      <c r="M476" s="5" t="str">
        <f t="shared" si="38"/>
        <v/>
      </c>
      <c r="N476" s="5" t="str">
        <f t="shared" si="39"/>
        <v/>
      </c>
    </row>
    <row r="477" spans="1:14" x14ac:dyDescent="0.25">
      <c r="A477" s="5">
        <v>476</v>
      </c>
      <c r="B477" s="5">
        <f t="shared" si="36"/>
        <v>0</v>
      </c>
      <c r="C477" s="5" t="str">
        <f t="shared" si="35"/>
        <v/>
      </c>
      <c r="D477" s="5" t="str">
        <f>IFERROR(IF(F477&lt;&gt;"",F477,VLOOKUP(MAX(C$2:C477),A$2:F477,2,FALSE)),"")</f>
        <v/>
      </c>
      <c r="E477" s="5" t="str">
        <f t="shared" si="37"/>
        <v/>
      </c>
      <c r="K477" t="str">
        <f>IFERROR(IF(VLOOKUP(E:E,'Old Report'!E:J,6,FALSE)="","",VLOOKUP(E:E,'Old Report'!E:J,6,FALSE)),"")</f>
        <v/>
      </c>
      <c r="L477" t="str">
        <f>IFERROR(IF(VLOOKUP(E:E,'Old Report'!E:L,8,FALSE)="","",VLOOKUP(E:E,'Old Report'!E:L,8,FALSE)),"")</f>
        <v/>
      </c>
      <c r="M477" s="5" t="str">
        <f t="shared" si="38"/>
        <v/>
      </c>
      <c r="N477" s="5" t="str">
        <f t="shared" si="39"/>
        <v/>
      </c>
    </row>
    <row r="478" spans="1:14" x14ac:dyDescent="0.25">
      <c r="A478" s="5">
        <v>477</v>
      </c>
      <c r="B478" s="5">
        <f t="shared" si="36"/>
        <v>0</v>
      </c>
      <c r="C478" s="5" t="str">
        <f t="shared" si="35"/>
        <v/>
      </c>
      <c r="D478" s="5" t="str">
        <f>IFERROR(IF(F478&lt;&gt;"",F478,VLOOKUP(MAX(C$2:C478),A$2:F478,2,FALSE)),"")</f>
        <v/>
      </c>
      <c r="E478" s="5" t="str">
        <f t="shared" si="37"/>
        <v/>
      </c>
      <c r="K478" t="str">
        <f>IFERROR(IF(VLOOKUP(E:E,'Old Report'!E:J,6,FALSE)="","",VLOOKUP(E:E,'Old Report'!E:J,6,FALSE)),"")</f>
        <v/>
      </c>
      <c r="L478" t="str">
        <f>IFERROR(IF(VLOOKUP(E:E,'Old Report'!E:L,8,FALSE)="","",VLOOKUP(E:E,'Old Report'!E:L,8,FALSE)),"")</f>
        <v/>
      </c>
      <c r="M478" s="5" t="str">
        <f t="shared" si="38"/>
        <v/>
      </c>
      <c r="N478" s="5" t="str">
        <f t="shared" si="39"/>
        <v/>
      </c>
    </row>
    <row r="479" spans="1:14" x14ac:dyDescent="0.25">
      <c r="A479" s="5">
        <v>478</v>
      </c>
      <c r="B479" s="5">
        <f t="shared" si="36"/>
        <v>0</v>
      </c>
      <c r="C479" s="5" t="str">
        <f t="shared" si="35"/>
        <v/>
      </c>
      <c r="D479" s="5" t="str">
        <f>IFERROR(IF(F479&lt;&gt;"",F479,VLOOKUP(MAX(C$2:C479),A$2:F479,2,FALSE)),"")</f>
        <v/>
      </c>
      <c r="E479" s="5" t="str">
        <f t="shared" si="37"/>
        <v/>
      </c>
      <c r="K479" t="str">
        <f>IFERROR(IF(VLOOKUP(E:E,'Old Report'!E:J,6,FALSE)="","",VLOOKUP(E:E,'Old Report'!E:J,6,FALSE)),"")</f>
        <v/>
      </c>
      <c r="L479" t="str">
        <f>IFERROR(IF(VLOOKUP(E:E,'Old Report'!E:L,8,FALSE)="","",VLOOKUP(E:E,'Old Report'!E:L,8,FALSE)),"")</f>
        <v/>
      </c>
      <c r="M479" s="5" t="str">
        <f t="shared" si="38"/>
        <v/>
      </c>
      <c r="N479" s="5" t="str">
        <f t="shared" si="39"/>
        <v/>
      </c>
    </row>
    <row r="480" spans="1:14" x14ac:dyDescent="0.25">
      <c r="A480" s="5">
        <v>479</v>
      </c>
      <c r="B480" s="5">
        <f t="shared" si="36"/>
        <v>0</v>
      </c>
      <c r="C480" s="5" t="str">
        <f t="shared" si="35"/>
        <v/>
      </c>
      <c r="D480" s="5" t="str">
        <f>IFERROR(IF(F480&lt;&gt;"",F480,VLOOKUP(MAX(C$2:C480),A$2:F480,2,FALSE)),"")</f>
        <v/>
      </c>
      <c r="E480" s="5" t="str">
        <f t="shared" si="37"/>
        <v/>
      </c>
      <c r="K480" t="str">
        <f>IFERROR(IF(VLOOKUP(E:E,'Old Report'!E:J,6,FALSE)="","",VLOOKUP(E:E,'Old Report'!E:J,6,FALSE)),"")</f>
        <v/>
      </c>
      <c r="L480" t="str">
        <f>IFERROR(IF(VLOOKUP(E:E,'Old Report'!E:L,8,FALSE)="","",VLOOKUP(E:E,'Old Report'!E:L,8,FALSE)),"")</f>
        <v/>
      </c>
      <c r="M480" s="5" t="str">
        <f t="shared" si="38"/>
        <v/>
      </c>
      <c r="N480" s="5" t="str">
        <f t="shared" si="39"/>
        <v/>
      </c>
    </row>
    <row r="481" spans="1:14" x14ac:dyDescent="0.25">
      <c r="A481" s="5">
        <v>480</v>
      </c>
      <c r="B481" s="5">
        <f t="shared" si="36"/>
        <v>0</v>
      </c>
      <c r="C481" s="5" t="str">
        <f t="shared" si="35"/>
        <v/>
      </c>
      <c r="D481" s="5" t="str">
        <f>IFERROR(IF(F481&lt;&gt;"",F481,VLOOKUP(MAX(C$2:C481),A$2:F481,2,FALSE)),"")</f>
        <v/>
      </c>
      <c r="E481" s="5" t="str">
        <f t="shared" si="37"/>
        <v/>
      </c>
      <c r="K481" t="str">
        <f>IFERROR(IF(VLOOKUP(E:E,'Old Report'!E:J,6,FALSE)="","",VLOOKUP(E:E,'Old Report'!E:J,6,FALSE)),"")</f>
        <v/>
      </c>
      <c r="L481" t="str">
        <f>IFERROR(IF(VLOOKUP(E:E,'Old Report'!E:L,8,FALSE)="","",VLOOKUP(E:E,'Old Report'!E:L,8,FALSE)),"")</f>
        <v/>
      </c>
      <c r="M481" s="5" t="str">
        <f t="shared" si="38"/>
        <v/>
      </c>
      <c r="N481" s="5" t="str">
        <f t="shared" si="39"/>
        <v/>
      </c>
    </row>
    <row r="482" spans="1:14" x14ac:dyDescent="0.25">
      <c r="A482" s="5">
        <v>481</v>
      </c>
      <c r="B482" s="5">
        <f t="shared" si="36"/>
        <v>0</v>
      </c>
      <c r="C482" s="5" t="str">
        <f t="shared" si="35"/>
        <v/>
      </c>
      <c r="D482" s="5" t="str">
        <f>IFERROR(IF(F482&lt;&gt;"",F482,VLOOKUP(MAX(C$2:C482),A$2:F482,2,FALSE)),"")</f>
        <v/>
      </c>
      <c r="E482" s="5" t="str">
        <f t="shared" si="37"/>
        <v/>
      </c>
      <c r="K482" t="str">
        <f>IFERROR(IF(VLOOKUP(E:E,'Old Report'!E:J,6,FALSE)="","",VLOOKUP(E:E,'Old Report'!E:J,6,FALSE)),"")</f>
        <v/>
      </c>
      <c r="L482" t="str">
        <f>IFERROR(IF(VLOOKUP(E:E,'Old Report'!E:L,8,FALSE)="","",VLOOKUP(E:E,'Old Report'!E:L,8,FALSE)),"")</f>
        <v/>
      </c>
      <c r="M482" s="5" t="str">
        <f t="shared" si="38"/>
        <v/>
      </c>
      <c r="N482" s="5" t="str">
        <f t="shared" si="39"/>
        <v/>
      </c>
    </row>
    <row r="483" spans="1:14" x14ac:dyDescent="0.25">
      <c r="A483" s="5">
        <v>482</v>
      </c>
      <c r="B483" s="5">
        <f t="shared" si="36"/>
        <v>0</v>
      </c>
      <c r="C483" s="5" t="str">
        <f t="shared" si="35"/>
        <v/>
      </c>
      <c r="D483" s="5" t="str">
        <f>IFERROR(IF(F483&lt;&gt;"",F483,VLOOKUP(MAX(C$2:C483),A$2:F483,2,FALSE)),"")</f>
        <v/>
      </c>
      <c r="E483" s="5" t="str">
        <f t="shared" si="37"/>
        <v/>
      </c>
      <c r="K483" t="str">
        <f>IFERROR(IF(VLOOKUP(E:E,'Old Report'!E:J,6,FALSE)="","",VLOOKUP(E:E,'Old Report'!E:J,6,FALSE)),"")</f>
        <v/>
      </c>
      <c r="L483" t="str">
        <f>IFERROR(IF(VLOOKUP(E:E,'Old Report'!E:L,8,FALSE)="","",VLOOKUP(E:E,'Old Report'!E:L,8,FALSE)),"")</f>
        <v/>
      </c>
      <c r="M483" s="5" t="str">
        <f t="shared" si="38"/>
        <v/>
      </c>
      <c r="N483" s="5" t="str">
        <f t="shared" si="39"/>
        <v/>
      </c>
    </row>
    <row r="484" spans="1:14" x14ac:dyDescent="0.25">
      <c r="A484" s="5">
        <v>483</v>
      </c>
      <c r="B484" s="5">
        <f t="shared" si="36"/>
        <v>0</v>
      </c>
      <c r="C484" s="5" t="str">
        <f t="shared" si="35"/>
        <v/>
      </c>
      <c r="D484" s="5" t="str">
        <f>IFERROR(IF(F484&lt;&gt;"",F484,VLOOKUP(MAX(C$2:C484),A$2:F484,2,FALSE)),"")</f>
        <v/>
      </c>
      <c r="E484" s="5" t="str">
        <f t="shared" si="37"/>
        <v/>
      </c>
      <c r="K484" t="str">
        <f>IFERROR(IF(VLOOKUP(E:E,'Old Report'!E:J,6,FALSE)="","",VLOOKUP(E:E,'Old Report'!E:J,6,FALSE)),"")</f>
        <v/>
      </c>
      <c r="L484" t="str">
        <f>IFERROR(IF(VLOOKUP(E:E,'Old Report'!E:L,8,FALSE)="","",VLOOKUP(E:E,'Old Report'!E:L,8,FALSE)),"")</f>
        <v/>
      </c>
      <c r="M484" s="5" t="str">
        <f t="shared" si="38"/>
        <v/>
      </c>
      <c r="N484" s="5" t="str">
        <f t="shared" si="39"/>
        <v/>
      </c>
    </row>
    <row r="485" spans="1:14" x14ac:dyDescent="0.25">
      <c r="A485" s="5">
        <v>484</v>
      </c>
      <c r="B485" s="5">
        <f t="shared" si="36"/>
        <v>0</v>
      </c>
      <c r="C485" s="5" t="str">
        <f t="shared" si="35"/>
        <v/>
      </c>
      <c r="D485" s="5" t="str">
        <f>IFERROR(IF(F485&lt;&gt;"",F485,VLOOKUP(MAX(C$2:C485),A$2:F485,2,FALSE)),"")</f>
        <v/>
      </c>
      <c r="E485" s="5" t="str">
        <f t="shared" si="37"/>
        <v/>
      </c>
      <c r="K485" t="str">
        <f>IFERROR(IF(VLOOKUP(E:E,'Old Report'!E:J,6,FALSE)="","",VLOOKUP(E:E,'Old Report'!E:J,6,FALSE)),"")</f>
        <v/>
      </c>
      <c r="L485" t="str">
        <f>IFERROR(IF(VLOOKUP(E:E,'Old Report'!E:L,8,FALSE)="","",VLOOKUP(E:E,'Old Report'!E:L,8,FALSE)),"")</f>
        <v/>
      </c>
      <c r="M485" s="5" t="str">
        <f t="shared" si="38"/>
        <v/>
      </c>
      <c r="N485" s="5" t="str">
        <f t="shared" si="39"/>
        <v/>
      </c>
    </row>
    <row r="486" spans="1:14" x14ac:dyDescent="0.25">
      <c r="A486" s="5">
        <v>485</v>
      </c>
      <c r="B486" s="5">
        <f t="shared" si="36"/>
        <v>0</v>
      </c>
      <c r="C486" s="5" t="str">
        <f t="shared" si="35"/>
        <v/>
      </c>
      <c r="D486" s="5" t="str">
        <f>IFERROR(IF(F486&lt;&gt;"",F486,VLOOKUP(MAX(C$2:C486),A$2:F486,2,FALSE)),"")</f>
        <v/>
      </c>
      <c r="E486" s="5" t="str">
        <f t="shared" si="37"/>
        <v/>
      </c>
      <c r="K486" t="str">
        <f>IFERROR(IF(VLOOKUP(E:E,'Old Report'!E:J,6,FALSE)="","",VLOOKUP(E:E,'Old Report'!E:J,6,FALSE)),"")</f>
        <v/>
      </c>
      <c r="L486" t="str">
        <f>IFERROR(IF(VLOOKUP(E:E,'Old Report'!E:L,8,FALSE)="","",VLOOKUP(E:E,'Old Report'!E:L,8,FALSE)),"")</f>
        <v/>
      </c>
      <c r="M486" s="5" t="str">
        <f t="shared" si="38"/>
        <v/>
      </c>
      <c r="N486" s="5" t="str">
        <f t="shared" si="39"/>
        <v/>
      </c>
    </row>
    <row r="487" spans="1:14" x14ac:dyDescent="0.25">
      <c r="A487" s="5">
        <v>486</v>
      </c>
      <c r="B487" s="5">
        <f t="shared" si="36"/>
        <v>0</v>
      </c>
      <c r="C487" s="5" t="str">
        <f t="shared" si="35"/>
        <v/>
      </c>
      <c r="D487" s="5" t="str">
        <f>IFERROR(IF(F487&lt;&gt;"",F487,VLOOKUP(MAX(C$2:C487),A$2:F487,2,FALSE)),"")</f>
        <v/>
      </c>
      <c r="E487" s="5" t="str">
        <f t="shared" si="37"/>
        <v/>
      </c>
      <c r="K487" t="str">
        <f>IFERROR(IF(VLOOKUP(E:E,'Old Report'!E:J,6,FALSE)="","",VLOOKUP(E:E,'Old Report'!E:J,6,FALSE)),"")</f>
        <v/>
      </c>
      <c r="L487" t="str">
        <f>IFERROR(IF(VLOOKUP(E:E,'Old Report'!E:L,8,FALSE)="","",VLOOKUP(E:E,'Old Report'!E:L,8,FALSE)),"")</f>
        <v/>
      </c>
      <c r="M487" s="5" t="str">
        <f t="shared" si="38"/>
        <v/>
      </c>
      <c r="N487" s="5" t="str">
        <f t="shared" si="39"/>
        <v/>
      </c>
    </row>
    <row r="488" spans="1:14" x14ac:dyDescent="0.25">
      <c r="A488" s="5">
        <v>487</v>
      </c>
      <c r="B488" s="5">
        <f t="shared" si="36"/>
        <v>0</v>
      </c>
      <c r="C488" s="5" t="str">
        <f t="shared" si="35"/>
        <v/>
      </c>
      <c r="D488" s="5" t="str">
        <f>IFERROR(IF(F488&lt;&gt;"",F488,VLOOKUP(MAX(C$2:C488),A$2:F488,2,FALSE)),"")</f>
        <v/>
      </c>
      <c r="E488" s="5" t="str">
        <f t="shared" si="37"/>
        <v/>
      </c>
      <c r="K488" t="str">
        <f>IFERROR(IF(VLOOKUP(E:E,'Old Report'!E:J,6,FALSE)="","",VLOOKUP(E:E,'Old Report'!E:J,6,FALSE)),"")</f>
        <v/>
      </c>
      <c r="L488" t="str">
        <f>IFERROR(IF(VLOOKUP(E:E,'Old Report'!E:L,8,FALSE)="","",VLOOKUP(E:E,'Old Report'!E:L,8,FALSE)),"")</f>
        <v/>
      </c>
      <c r="M488" s="5" t="str">
        <f t="shared" si="38"/>
        <v/>
      </c>
      <c r="N488" s="5" t="str">
        <f t="shared" si="39"/>
        <v/>
      </c>
    </row>
    <row r="489" spans="1:14" x14ac:dyDescent="0.25">
      <c r="A489" s="5">
        <v>488</v>
      </c>
      <c r="B489" s="5">
        <f t="shared" si="36"/>
        <v>0</v>
      </c>
      <c r="C489" s="5" t="str">
        <f t="shared" si="35"/>
        <v/>
      </c>
      <c r="D489" s="5" t="str">
        <f>IFERROR(IF(F489&lt;&gt;"",F489,VLOOKUP(MAX(C$2:C489),A$2:F489,2,FALSE)),"")</f>
        <v/>
      </c>
      <c r="E489" s="5" t="str">
        <f t="shared" si="37"/>
        <v/>
      </c>
      <c r="K489" t="str">
        <f>IFERROR(IF(VLOOKUP(E:E,'Old Report'!E:J,6,FALSE)="","",VLOOKUP(E:E,'Old Report'!E:J,6,FALSE)),"")</f>
        <v/>
      </c>
      <c r="L489" t="str">
        <f>IFERROR(IF(VLOOKUP(E:E,'Old Report'!E:L,8,FALSE)="","",VLOOKUP(E:E,'Old Report'!E:L,8,FALSE)),"")</f>
        <v/>
      </c>
      <c r="M489" s="5" t="str">
        <f t="shared" si="38"/>
        <v/>
      </c>
      <c r="N489" s="5" t="str">
        <f t="shared" si="39"/>
        <v/>
      </c>
    </row>
    <row r="490" spans="1:14" x14ac:dyDescent="0.25">
      <c r="A490" s="5">
        <v>489</v>
      </c>
      <c r="B490" s="5">
        <f t="shared" si="36"/>
        <v>0</v>
      </c>
      <c r="C490" s="5" t="str">
        <f t="shared" si="35"/>
        <v/>
      </c>
      <c r="D490" s="5" t="str">
        <f>IFERROR(IF(F490&lt;&gt;"",F490,VLOOKUP(MAX(C$2:C490),A$2:F490,2,FALSE)),"")</f>
        <v/>
      </c>
      <c r="E490" s="5" t="str">
        <f t="shared" si="37"/>
        <v/>
      </c>
      <c r="K490" t="str">
        <f>IFERROR(IF(VLOOKUP(E:E,'Old Report'!E:J,6,FALSE)="","",VLOOKUP(E:E,'Old Report'!E:J,6,FALSE)),"")</f>
        <v/>
      </c>
      <c r="L490" t="str">
        <f>IFERROR(IF(VLOOKUP(E:E,'Old Report'!E:L,8,FALSE)="","",VLOOKUP(E:E,'Old Report'!E:L,8,FALSE)),"")</f>
        <v/>
      </c>
      <c r="M490" s="5" t="str">
        <f t="shared" si="38"/>
        <v/>
      </c>
      <c r="N490" s="5" t="str">
        <f t="shared" si="39"/>
        <v/>
      </c>
    </row>
    <row r="491" spans="1:14" x14ac:dyDescent="0.25">
      <c r="A491" s="5">
        <v>490</v>
      </c>
      <c r="B491" s="5">
        <f t="shared" si="36"/>
        <v>0</v>
      </c>
      <c r="C491" s="5" t="str">
        <f t="shared" si="35"/>
        <v/>
      </c>
      <c r="D491" s="5" t="str">
        <f>IFERROR(IF(F491&lt;&gt;"",F491,VLOOKUP(MAX(C$2:C491),A$2:F491,2,FALSE)),"")</f>
        <v/>
      </c>
      <c r="E491" s="5" t="str">
        <f t="shared" si="37"/>
        <v/>
      </c>
      <c r="K491" t="str">
        <f>IFERROR(IF(VLOOKUP(E:E,'Old Report'!E:J,6,FALSE)="","",VLOOKUP(E:E,'Old Report'!E:J,6,FALSE)),"")</f>
        <v/>
      </c>
      <c r="L491" t="str">
        <f>IFERROR(IF(VLOOKUP(E:E,'Old Report'!E:L,8,FALSE)="","",VLOOKUP(E:E,'Old Report'!E:L,8,FALSE)),"")</f>
        <v/>
      </c>
      <c r="M491" s="5" t="str">
        <f t="shared" si="38"/>
        <v/>
      </c>
      <c r="N491" s="5" t="str">
        <f t="shared" si="39"/>
        <v/>
      </c>
    </row>
    <row r="492" spans="1:14" x14ac:dyDescent="0.25">
      <c r="A492" s="5">
        <v>491</v>
      </c>
      <c r="B492" s="5">
        <f t="shared" si="36"/>
        <v>0</v>
      </c>
      <c r="C492" s="5" t="str">
        <f t="shared" si="35"/>
        <v/>
      </c>
      <c r="D492" s="5" t="str">
        <f>IFERROR(IF(F492&lt;&gt;"",F492,VLOOKUP(MAX(C$2:C492),A$2:F492,2,FALSE)),"")</f>
        <v/>
      </c>
      <c r="E492" s="5" t="str">
        <f t="shared" si="37"/>
        <v/>
      </c>
      <c r="K492" t="str">
        <f>IFERROR(IF(VLOOKUP(E:E,'Old Report'!E:J,6,FALSE)="","",VLOOKUP(E:E,'Old Report'!E:J,6,FALSE)),"")</f>
        <v/>
      </c>
      <c r="L492" t="str">
        <f>IFERROR(IF(VLOOKUP(E:E,'Old Report'!E:L,8,FALSE)="","",VLOOKUP(E:E,'Old Report'!E:L,8,FALSE)),"")</f>
        <v/>
      </c>
      <c r="M492" s="5" t="str">
        <f t="shared" si="38"/>
        <v/>
      </c>
      <c r="N492" s="5" t="str">
        <f t="shared" si="39"/>
        <v/>
      </c>
    </row>
    <row r="493" spans="1:14" x14ac:dyDescent="0.25">
      <c r="A493" s="5">
        <v>492</v>
      </c>
      <c r="B493" s="5">
        <f t="shared" si="36"/>
        <v>0</v>
      </c>
      <c r="C493" s="5" t="str">
        <f t="shared" si="35"/>
        <v/>
      </c>
      <c r="D493" s="5" t="str">
        <f>IFERROR(IF(F493&lt;&gt;"",F493,VLOOKUP(MAX(C$2:C493),A$2:F493,2,FALSE)),"")</f>
        <v/>
      </c>
      <c r="E493" s="5" t="str">
        <f t="shared" si="37"/>
        <v/>
      </c>
      <c r="K493" t="str">
        <f>IFERROR(IF(VLOOKUP(E:E,'Old Report'!E:J,6,FALSE)="","",VLOOKUP(E:E,'Old Report'!E:J,6,FALSE)),"")</f>
        <v/>
      </c>
      <c r="L493" t="str">
        <f>IFERROR(IF(VLOOKUP(E:E,'Old Report'!E:L,8,FALSE)="","",VLOOKUP(E:E,'Old Report'!E:L,8,FALSE)),"")</f>
        <v/>
      </c>
      <c r="M493" s="5" t="str">
        <f t="shared" si="38"/>
        <v/>
      </c>
      <c r="N493" s="5" t="str">
        <f t="shared" si="39"/>
        <v/>
      </c>
    </row>
    <row r="494" spans="1:14" x14ac:dyDescent="0.25">
      <c r="A494" s="5">
        <v>493</v>
      </c>
      <c r="B494" s="5">
        <f t="shared" si="36"/>
        <v>0</v>
      </c>
      <c r="C494" s="5" t="str">
        <f t="shared" si="35"/>
        <v/>
      </c>
      <c r="D494" s="5" t="str">
        <f>IFERROR(IF(F494&lt;&gt;"",F494,VLOOKUP(MAX(C$2:C494),A$2:F494,2,FALSE)),"")</f>
        <v/>
      </c>
      <c r="E494" s="5" t="str">
        <f t="shared" si="37"/>
        <v/>
      </c>
      <c r="K494" t="str">
        <f>IFERROR(IF(VLOOKUP(E:E,'Old Report'!E:J,6,FALSE)="","",VLOOKUP(E:E,'Old Report'!E:J,6,FALSE)),"")</f>
        <v/>
      </c>
      <c r="L494" t="str">
        <f>IFERROR(IF(VLOOKUP(E:E,'Old Report'!E:L,8,FALSE)="","",VLOOKUP(E:E,'Old Report'!E:L,8,FALSE)),"")</f>
        <v/>
      </c>
      <c r="M494" s="5" t="str">
        <f t="shared" si="38"/>
        <v/>
      </c>
      <c r="N494" s="5" t="str">
        <f t="shared" si="39"/>
        <v/>
      </c>
    </row>
    <row r="495" spans="1:14" x14ac:dyDescent="0.25">
      <c r="A495" s="5">
        <v>494</v>
      </c>
      <c r="B495" s="5">
        <f t="shared" si="36"/>
        <v>0</v>
      </c>
      <c r="C495" s="5" t="str">
        <f t="shared" si="35"/>
        <v/>
      </c>
      <c r="D495" s="5" t="str">
        <f>IFERROR(IF(F495&lt;&gt;"",F495,VLOOKUP(MAX(C$2:C495),A$2:F495,2,FALSE)),"")</f>
        <v/>
      </c>
      <c r="E495" s="5" t="str">
        <f t="shared" si="37"/>
        <v/>
      </c>
      <c r="K495" t="str">
        <f>IFERROR(IF(VLOOKUP(E:E,'Old Report'!E:J,6,FALSE)="","",VLOOKUP(E:E,'Old Report'!E:J,6,FALSE)),"")</f>
        <v/>
      </c>
      <c r="L495" t="str">
        <f>IFERROR(IF(VLOOKUP(E:E,'Old Report'!E:L,8,FALSE)="","",VLOOKUP(E:E,'Old Report'!E:L,8,FALSE)),"")</f>
        <v/>
      </c>
      <c r="M495" s="5" t="str">
        <f t="shared" si="38"/>
        <v/>
      </c>
      <c r="N495" s="5" t="str">
        <f t="shared" si="39"/>
        <v/>
      </c>
    </row>
    <row r="496" spans="1:14" x14ac:dyDescent="0.25">
      <c r="A496" s="5">
        <v>495</v>
      </c>
      <c r="B496" s="5">
        <f t="shared" si="36"/>
        <v>0</v>
      </c>
      <c r="C496" s="5" t="str">
        <f t="shared" si="35"/>
        <v/>
      </c>
      <c r="D496" s="5" t="str">
        <f>IFERROR(IF(F496&lt;&gt;"",F496,VLOOKUP(MAX(C$2:C496),A$2:F496,2,FALSE)),"")</f>
        <v/>
      </c>
      <c r="E496" s="5" t="str">
        <f t="shared" si="37"/>
        <v/>
      </c>
      <c r="K496" t="str">
        <f>IFERROR(IF(VLOOKUP(E:E,'Old Report'!E:J,6,FALSE)="","",VLOOKUP(E:E,'Old Report'!E:J,6,FALSE)),"")</f>
        <v/>
      </c>
      <c r="L496" t="str">
        <f>IFERROR(IF(VLOOKUP(E:E,'Old Report'!E:L,8,FALSE)="","",VLOOKUP(E:E,'Old Report'!E:L,8,FALSE)),"")</f>
        <v/>
      </c>
      <c r="M496" s="5" t="str">
        <f t="shared" si="38"/>
        <v/>
      </c>
      <c r="N496" s="5" t="str">
        <f t="shared" si="39"/>
        <v/>
      </c>
    </row>
    <row r="497" spans="1:14" x14ac:dyDescent="0.25">
      <c r="A497" s="5">
        <v>496</v>
      </c>
      <c r="B497" s="5">
        <f t="shared" si="36"/>
        <v>0</v>
      </c>
      <c r="C497" s="5" t="str">
        <f t="shared" si="35"/>
        <v/>
      </c>
      <c r="D497" s="5" t="str">
        <f>IFERROR(IF(F497&lt;&gt;"",F497,VLOOKUP(MAX(C$2:C497),A$2:F497,2,FALSE)),"")</f>
        <v/>
      </c>
      <c r="E497" s="5" t="str">
        <f t="shared" si="37"/>
        <v/>
      </c>
      <c r="K497" t="str">
        <f>IFERROR(IF(VLOOKUP(E:E,'Old Report'!E:J,6,FALSE)="","",VLOOKUP(E:E,'Old Report'!E:J,6,FALSE)),"")</f>
        <v/>
      </c>
      <c r="L497" t="str">
        <f>IFERROR(IF(VLOOKUP(E:E,'Old Report'!E:L,8,FALSE)="","",VLOOKUP(E:E,'Old Report'!E:L,8,FALSE)),"")</f>
        <v/>
      </c>
      <c r="M497" s="5" t="str">
        <f t="shared" si="38"/>
        <v/>
      </c>
      <c r="N497" s="5" t="str">
        <f t="shared" si="39"/>
        <v/>
      </c>
    </row>
    <row r="498" spans="1:14" x14ac:dyDescent="0.25">
      <c r="A498" s="5">
        <v>497</v>
      </c>
      <c r="B498" s="5">
        <f t="shared" si="36"/>
        <v>0</v>
      </c>
      <c r="C498" s="5" t="str">
        <f t="shared" si="35"/>
        <v/>
      </c>
      <c r="D498" s="5" t="str">
        <f>IFERROR(IF(F498&lt;&gt;"",F498,VLOOKUP(MAX(C$2:C498),A$2:F498,2,FALSE)),"")</f>
        <v/>
      </c>
      <c r="E498" s="5" t="str">
        <f t="shared" si="37"/>
        <v/>
      </c>
      <c r="K498" t="str">
        <f>IFERROR(IF(VLOOKUP(E:E,'Old Report'!E:J,6,FALSE)="","",VLOOKUP(E:E,'Old Report'!E:J,6,FALSE)),"")</f>
        <v/>
      </c>
      <c r="L498" t="str">
        <f>IFERROR(IF(VLOOKUP(E:E,'Old Report'!E:L,8,FALSE)="","",VLOOKUP(E:E,'Old Report'!E:L,8,FALSE)),"")</f>
        <v/>
      </c>
      <c r="M498" s="5" t="str">
        <f t="shared" si="38"/>
        <v/>
      </c>
      <c r="N498" s="5" t="str">
        <f t="shared" si="39"/>
        <v/>
      </c>
    </row>
    <row r="499" spans="1:14" x14ac:dyDescent="0.25">
      <c r="A499" s="5">
        <v>498</v>
      </c>
      <c r="B499" s="5">
        <f t="shared" si="36"/>
        <v>0</v>
      </c>
      <c r="C499" s="5" t="str">
        <f t="shared" si="35"/>
        <v/>
      </c>
      <c r="D499" s="5" t="str">
        <f>IFERROR(IF(F499&lt;&gt;"",F499,VLOOKUP(MAX(C$2:C499),A$2:F499,2,FALSE)),"")</f>
        <v/>
      </c>
      <c r="E499" s="5" t="str">
        <f t="shared" si="37"/>
        <v/>
      </c>
      <c r="K499" t="str">
        <f>IFERROR(IF(VLOOKUP(E:E,'Old Report'!E:J,6,FALSE)="","",VLOOKUP(E:E,'Old Report'!E:J,6,FALSE)),"")</f>
        <v/>
      </c>
      <c r="L499" t="str">
        <f>IFERROR(IF(VLOOKUP(E:E,'Old Report'!E:L,8,FALSE)="","",VLOOKUP(E:E,'Old Report'!E:L,8,FALSE)),"")</f>
        <v/>
      </c>
      <c r="M499" s="5" t="str">
        <f t="shared" si="38"/>
        <v/>
      </c>
      <c r="N499" s="5" t="str">
        <f t="shared" si="39"/>
        <v/>
      </c>
    </row>
    <row r="500" spans="1:14" x14ac:dyDescent="0.25">
      <c r="A500" s="5">
        <v>499</v>
      </c>
      <c r="B500" s="5">
        <f t="shared" si="36"/>
        <v>0</v>
      </c>
      <c r="C500" s="5" t="str">
        <f t="shared" si="35"/>
        <v/>
      </c>
      <c r="D500" s="5" t="str">
        <f>IFERROR(IF(F500&lt;&gt;"",F500,VLOOKUP(MAX(C$2:C500),A$2:F500,2,FALSE)),"")</f>
        <v/>
      </c>
      <c r="E500" s="5" t="str">
        <f t="shared" si="37"/>
        <v/>
      </c>
      <c r="K500" t="str">
        <f>IFERROR(IF(VLOOKUP(E:E,'Old Report'!E:J,6,FALSE)="","",VLOOKUP(E:E,'Old Report'!E:J,6,FALSE)),"")</f>
        <v/>
      </c>
      <c r="L500" t="str">
        <f>IFERROR(IF(VLOOKUP(E:E,'Old Report'!E:L,8,FALSE)="","",VLOOKUP(E:E,'Old Report'!E:L,8,FALSE)),"")</f>
        <v/>
      </c>
      <c r="M500" s="5" t="str">
        <f t="shared" si="38"/>
        <v/>
      </c>
      <c r="N500" s="5" t="str">
        <f t="shared" si="39"/>
        <v/>
      </c>
    </row>
    <row r="501" spans="1:14" x14ac:dyDescent="0.25">
      <c r="A501" s="5">
        <v>500</v>
      </c>
      <c r="B501" s="5">
        <f t="shared" si="36"/>
        <v>0</v>
      </c>
      <c r="C501" s="5" t="str">
        <f t="shared" si="35"/>
        <v/>
      </c>
      <c r="D501" s="5" t="str">
        <f>IFERROR(IF(F501&lt;&gt;"",F501,VLOOKUP(MAX(C$2:C501),A$2:F501,2,FALSE)),"")</f>
        <v/>
      </c>
      <c r="E501" s="5" t="str">
        <f t="shared" si="37"/>
        <v/>
      </c>
      <c r="K501" t="str">
        <f>IFERROR(IF(VLOOKUP(E:E,'Old Report'!E:J,6,FALSE)="","",VLOOKUP(E:E,'Old Report'!E:J,6,FALSE)),"")</f>
        <v/>
      </c>
      <c r="L501" t="str">
        <f>IFERROR(IF(VLOOKUP(E:E,'Old Report'!E:L,8,FALSE)="","",VLOOKUP(E:E,'Old Report'!E:L,8,FALSE)),"")</f>
        <v/>
      </c>
      <c r="M501" s="5" t="str">
        <f t="shared" si="38"/>
        <v/>
      </c>
      <c r="N501" s="5" t="str">
        <f t="shared" si="39"/>
        <v/>
      </c>
    </row>
    <row r="502" spans="1:14" x14ac:dyDescent="0.25">
      <c r="A502" s="5">
        <v>501</v>
      </c>
      <c r="B502" s="5">
        <f t="shared" si="36"/>
        <v>0</v>
      </c>
      <c r="C502" s="5" t="str">
        <f t="shared" si="35"/>
        <v/>
      </c>
      <c r="D502" s="5" t="str">
        <f>IFERROR(IF(F502&lt;&gt;"",F502,VLOOKUP(MAX(C$2:C502),A$2:F502,2,FALSE)),"")</f>
        <v/>
      </c>
      <c r="E502" s="5" t="str">
        <f t="shared" si="37"/>
        <v/>
      </c>
      <c r="K502" t="str">
        <f>IFERROR(IF(VLOOKUP(E:E,'Old Report'!E:J,6,FALSE)="","",VLOOKUP(E:E,'Old Report'!E:J,6,FALSE)),"")</f>
        <v/>
      </c>
      <c r="L502" t="str">
        <f>IFERROR(IF(VLOOKUP(E:E,'Old Report'!E:L,8,FALSE)="","",VLOOKUP(E:E,'Old Report'!E:L,8,FALSE)),"")</f>
        <v/>
      </c>
      <c r="M502" s="5" t="str">
        <f t="shared" si="38"/>
        <v/>
      </c>
      <c r="N502" s="5" t="str">
        <f t="shared" si="39"/>
        <v/>
      </c>
    </row>
    <row r="503" spans="1:14" x14ac:dyDescent="0.25">
      <c r="A503" s="5">
        <v>502</v>
      </c>
      <c r="B503" s="5">
        <f t="shared" si="36"/>
        <v>0</v>
      </c>
      <c r="C503" s="5" t="str">
        <f t="shared" si="35"/>
        <v/>
      </c>
      <c r="D503" s="5" t="str">
        <f>IFERROR(IF(F503&lt;&gt;"",F503,VLOOKUP(MAX(C$2:C503),A$2:F503,2,FALSE)),"")</f>
        <v/>
      </c>
      <c r="E503" s="5" t="str">
        <f t="shared" si="37"/>
        <v/>
      </c>
      <c r="K503" t="str">
        <f>IFERROR(IF(VLOOKUP(E:E,'Old Report'!E:J,6,FALSE)="","",VLOOKUP(E:E,'Old Report'!E:J,6,FALSE)),"")</f>
        <v/>
      </c>
      <c r="L503" t="str">
        <f>IFERROR(IF(VLOOKUP(E:E,'Old Report'!E:L,8,FALSE)="","",VLOOKUP(E:E,'Old Report'!E:L,8,FALSE)),"")</f>
        <v/>
      </c>
      <c r="M503" s="5" t="str">
        <f t="shared" si="38"/>
        <v/>
      </c>
      <c r="N503" s="5" t="str">
        <f t="shared" si="39"/>
        <v/>
      </c>
    </row>
    <row r="504" spans="1:14" x14ac:dyDescent="0.25">
      <c r="A504" s="5">
        <v>503</v>
      </c>
      <c r="B504" s="5">
        <f t="shared" si="36"/>
        <v>0</v>
      </c>
      <c r="C504" s="5" t="str">
        <f t="shared" si="35"/>
        <v/>
      </c>
      <c r="D504" s="5" t="str">
        <f>IFERROR(IF(F504&lt;&gt;"",F504,VLOOKUP(MAX(C$2:C504),A$2:F504,2,FALSE)),"")</f>
        <v/>
      </c>
      <c r="E504" s="5" t="str">
        <f t="shared" si="37"/>
        <v/>
      </c>
      <c r="K504" t="str">
        <f>IFERROR(IF(VLOOKUP(E:E,'Old Report'!E:J,6,FALSE)="","",VLOOKUP(E:E,'Old Report'!E:J,6,FALSE)),"")</f>
        <v/>
      </c>
      <c r="L504" t="str">
        <f>IFERROR(IF(VLOOKUP(E:E,'Old Report'!E:L,8,FALSE)="","",VLOOKUP(E:E,'Old Report'!E:L,8,FALSE)),"")</f>
        <v/>
      </c>
      <c r="M504" s="5" t="str">
        <f t="shared" si="38"/>
        <v/>
      </c>
      <c r="N504" s="5" t="str">
        <f t="shared" si="39"/>
        <v/>
      </c>
    </row>
    <row r="505" spans="1:14" x14ac:dyDescent="0.25">
      <c r="A505" s="5">
        <v>504</v>
      </c>
      <c r="B505" s="5">
        <f t="shared" si="36"/>
        <v>0</v>
      </c>
      <c r="C505" s="5" t="str">
        <f t="shared" si="35"/>
        <v/>
      </c>
      <c r="D505" s="5" t="str">
        <f>IFERROR(IF(F505&lt;&gt;"",F505,VLOOKUP(MAX(C$2:C505),A$2:F505,2,FALSE)),"")</f>
        <v/>
      </c>
      <c r="E505" s="5" t="str">
        <f t="shared" si="37"/>
        <v/>
      </c>
      <c r="K505" t="str">
        <f>IFERROR(IF(VLOOKUP(E:E,'Old Report'!E:J,6,FALSE)="","",VLOOKUP(E:E,'Old Report'!E:J,6,FALSE)),"")</f>
        <v/>
      </c>
      <c r="L505" t="str">
        <f>IFERROR(IF(VLOOKUP(E:E,'Old Report'!E:L,8,FALSE)="","",VLOOKUP(E:E,'Old Report'!E:L,8,FALSE)),"")</f>
        <v/>
      </c>
      <c r="M505" s="5" t="str">
        <f t="shared" si="38"/>
        <v/>
      </c>
      <c r="N505" s="5" t="str">
        <f t="shared" si="39"/>
        <v/>
      </c>
    </row>
    <row r="506" spans="1:14" x14ac:dyDescent="0.25">
      <c r="A506" s="5">
        <v>505</v>
      </c>
      <c r="B506" s="5">
        <f t="shared" si="36"/>
        <v>0</v>
      </c>
      <c r="C506" s="5" t="str">
        <f t="shared" si="35"/>
        <v/>
      </c>
      <c r="D506" s="5" t="str">
        <f>IFERROR(IF(F506&lt;&gt;"",F506,VLOOKUP(MAX(C$2:C506),A$2:F506,2,FALSE)),"")</f>
        <v/>
      </c>
      <c r="E506" s="5" t="str">
        <f t="shared" si="37"/>
        <v/>
      </c>
      <c r="K506" t="str">
        <f>IFERROR(IF(VLOOKUP(E:E,'Old Report'!E:J,6,FALSE)="","",VLOOKUP(E:E,'Old Report'!E:J,6,FALSE)),"")</f>
        <v/>
      </c>
      <c r="L506" t="str">
        <f>IFERROR(IF(VLOOKUP(E:E,'Old Report'!E:L,8,FALSE)="","",VLOOKUP(E:E,'Old Report'!E:L,8,FALSE)),"")</f>
        <v/>
      </c>
      <c r="M506" s="5" t="str">
        <f t="shared" si="38"/>
        <v/>
      </c>
      <c r="N506" s="5" t="str">
        <f t="shared" si="39"/>
        <v/>
      </c>
    </row>
    <row r="507" spans="1:14" x14ac:dyDescent="0.25">
      <c r="A507" s="5">
        <v>506</v>
      </c>
      <c r="B507" s="5">
        <f t="shared" si="36"/>
        <v>0</v>
      </c>
      <c r="C507" s="5" t="str">
        <f t="shared" si="35"/>
        <v/>
      </c>
      <c r="D507" s="5" t="str">
        <f>IFERROR(IF(F507&lt;&gt;"",F507,VLOOKUP(MAX(C$2:C507),A$2:F507,2,FALSE)),"")</f>
        <v/>
      </c>
      <c r="E507" s="5" t="str">
        <f t="shared" si="37"/>
        <v/>
      </c>
      <c r="K507" t="str">
        <f>IFERROR(IF(VLOOKUP(E:E,'Old Report'!E:J,6,FALSE)="","",VLOOKUP(E:E,'Old Report'!E:J,6,FALSE)),"")</f>
        <v/>
      </c>
      <c r="L507" t="str">
        <f>IFERROR(IF(VLOOKUP(E:E,'Old Report'!E:L,8,FALSE)="","",VLOOKUP(E:E,'Old Report'!E:L,8,FALSE)),"")</f>
        <v/>
      </c>
      <c r="M507" s="5" t="str">
        <f t="shared" si="38"/>
        <v/>
      </c>
      <c r="N507" s="5" t="str">
        <f t="shared" si="39"/>
        <v/>
      </c>
    </row>
    <row r="508" spans="1:14" x14ac:dyDescent="0.25">
      <c r="A508" s="5">
        <v>507</v>
      </c>
      <c r="B508" s="5">
        <f t="shared" si="36"/>
        <v>0</v>
      </c>
      <c r="C508" s="5" t="str">
        <f t="shared" si="35"/>
        <v/>
      </c>
      <c r="D508" s="5" t="str">
        <f>IFERROR(IF(F508&lt;&gt;"",F508,VLOOKUP(MAX(C$2:C508),A$2:F508,2,FALSE)),"")</f>
        <v/>
      </c>
      <c r="E508" s="5" t="str">
        <f t="shared" si="37"/>
        <v/>
      </c>
      <c r="K508" t="str">
        <f>IFERROR(IF(VLOOKUP(E:E,'Old Report'!E:J,6,FALSE)="","",VLOOKUP(E:E,'Old Report'!E:J,6,FALSE)),"")</f>
        <v/>
      </c>
      <c r="L508" t="str">
        <f>IFERROR(IF(VLOOKUP(E:E,'Old Report'!E:L,8,FALSE)="","",VLOOKUP(E:E,'Old Report'!E:L,8,FALSE)),"")</f>
        <v/>
      </c>
      <c r="M508" s="5" t="str">
        <f t="shared" si="38"/>
        <v/>
      </c>
      <c r="N508" s="5" t="str">
        <f t="shared" si="39"/>
        <v/>
      </c>
    </row>
    <row r="509" spans="1:14" x14ac:dyDescent="0.25">
      <c r="A509" s="5">
        <v>508</v>
      </c>
      <c r="B509" s="5">
        <f t="shared" si="36"/>
        <v>0</v>
      </c>
      <c r="C509" s="5" t="str">
        <f t="shared" si="35"/>
        <v/>
      </c>
      <c r="D509" s="5" t="str">
        <f>IFERROR(IF(F509&lt;&gt;"",F509,VLOOKUP(MAX(C$2:C509),A$2:F509,2,FALSE)),"")</f>
        <v/>
      </c>
      <c r="E509" s="5" t="str">
        <f t="shared" si="37"/>
        <v/>
      </c>
      <c r="K509" t="str">
        <f>IFERROR(IF(VLOOKUP(E:E,'Old Report'!E:J,6,FALSE)="","",VLOOKUP(E:E,'Old Report'!E:J,6,FALSE)),"")</f>
        <v/>
      </c>
      <c r="L509" t="str">
        <f>IFERROR(IF(VLOOKUP(E:E,'Old Report'!E:L,8,FALSE)="","",VLOOKUP(E:E,'Old Report'!E:L,8,FALSE)),"")</f>
        <v/>
      </c>
      <c r="M509" s="5" t="str">
        <f t="shared" si="38"/>
        <v/>
      </c>
      <c r="N509" s="5" t="str">
        <f t="shared" si="39"/>
        <v/>
      </c>
    </row>
    <row r="510" spans="1:14" x14ac:dyDescent="0.25">
      <c r="A510" s="5">
        <v>509</v>
      </c>
      <c r="B510" s="5">
        <f t="shared" si="36"/>
        <v>0</v>
      </c>
      <c r="C510" s="5" t="str">
        <f t="shared" si="35"/>
        <v/>
      </c>
      <c r="D510" s="5" t="str">
        <f>IFERROR(IF(F510&lt;&gt;"",F510,VLOOKUP(MAX(C$2:C510),A$2:F510,2,FALSE)),"")</f>
        <v/>
      </c>
      <c r="E510" s="5" t="str">
        <f t="shared" si="37"/>
        <v/>
      </c>
      <c r="K510" t="str">
        <f>IFERROR(IF(VLOOKUP(E:E,'Old Report'!E:J,6,FALSE)="","",VLOOKUP(E:E,'Old Report'!E:J,6,FALSE)),"")</f>
        <v/>
      </c>
      <c r="L510" t="str">
        <f>IFERROR(IF(VLOOKUP(E:E,'Old Report'!E:L,8,FALSE)="","",VLOOKUP(E:E,'Old Report'!E:L,8,FALSE)),"")</f>
        <v/>
      </c>
      <c r="M510" s="5" t="str">
        <f t="shared" si="38"/>
        <v/>
      </c>
      <c r="N510" s="5" t="str">
        <f t="shared" si="39"/>
        <v/>
      </c>
    </row>
    <row r="511" spans="1:14" x14ac:dyDescent="0.25">
      <c r="A511" s="5">
        <v>510</v>
      </c>
      <c r="B511" s="5">
        <f t="shared" si="36"/>
        <v>0</v>
      </c>
      <c r="C511" s="5" t="str">
        <f t="shared" si="35"/>
        <v/>
      </c>
      <c r="D511" s="5" t="str">
        <f>IFERROR(IF(F511&lt;&gt;"",F511,VLOOKUP(MAX(C$2:C511),A$2:F511,2,FALSE)),"")</f>
        <v/>
      </c>
      <c r="E511" s="5" t="str">
        <f t="shared" si="37"/>
        <v/>
      </c>
      <c r="K511" t="str">
        <f>IFERROR(IF(VLOOKUP(E:E,'Old Report'!E:J,6,FALSE)="","",VLOOKUP(E:E,'Old Report'!E:J,6,FALSE)),"")</f>
        <v/>
      </c>
      <c r="L511" t="str">
        <f>IFERROR(IF(VLOOKUP(E:E,'Old Report'!E:L,8,FALSE)="","",VLOOKUP(E:E,'Old Report'!E:L,8,FALSE)),"")</f>
        <v/>
      </c>
      <c r="M511" s="5" t="str">
        <f t="shared" si="38"/>
        <v/>
      </c>
      <c r="N511" s="5" t="str">
        <f t="shared" si="39"/>
        <v/>
      </c>
    </row>
    <row r="512" spans="1:14" x14ac:dyDescent="0.25">
      <c r="A512" s="5">
        <v>511</v>
      </c>
      <c r="B512" s="5">
        <f t="shared" si="36"/>
        <v>0</v>
      </c>
      <c r="C512" s="5" t="str">
        <f t="shared" si="35"/>
        <v/>
      </c>
      <c r="D512" s="5" t="str">
        <f>IFERROR(IF(F512&lt;&gt;"",F512,VLOOKUP(MAX(C$2:C512),A$2:F512,2,FALSE)),"")</f>
        <v/>
      </c>
      <c r="E512" s="5" t="str">
        <f t="shared" si="37"/>
        <v/>
      </c>
      <c r="K512" t="str">
        <f>IFERROR(IF(VLOOKUP(E:E,'Old Report'!E:J,6,FALSE)="","",VLOOKUP(E:E,'Old Report'!E:J,6,FALSE)),"")</f>
        <v/>
      </c>
      <c r="L512" t="str">
        <f>IFERROR(IF(VLOOKUP(E:E,'Old Report'!E:L,8,FALSE)="","",VLOOKUP(E:E,'Old Report'!E:L,8,FALSE)),"")</f>
        <v/>
      </c>
      <c r="M512" s="5" t="str">
        <f t="shared" si="38"/>
        <v/>
      </c>
      <c r="N512" s="5" t="str">
        <f t="shared" si="39"/>
        <v/>
      </c>
    </row>
    <row r="513" spans="1:14" x14ac:dyDescent="0.25">
      <c r="A513" s="5">
        <v>512</v>
      </c>
      <c r="B513" s="5">
        <f t="shared" si="36"/>
        <v>0</v>
      </c>
      <c r="C513" s="5" t="str">
        <f t="shared" si="35"/>
        <v/>
      </c>
      <c r="D513" s="5" t="str">
        <f>IFERROR(IF(F513&lt;&gt;"",F513,VLOOKUP(MAX(C$2:C513),A$2:F513,2,FALSE)),"")</f>
        <v/>
      </c>
      <c r="E513" s="5" t="str">
        <f t="shared" si="37"/>
        <v/>
      </c>
      <c r="K513" t="str">
        <f>IFERROR(IF(VLOOKUP(E:E,'Old Report'!E:J,6,FALSE)="","",VLOOKUP(E:E,'Old Report'!E:J,6,FALSE)),"")</f>
        <v/>
      </c>
      <c r="L513" t="str">
        <f>IFERROR(IF(VLOOKUP(E:E,'Old Report'!E:L,8,FALSE)="","",VLOOKUP(E:E,'Old Report'!E:L,8,FALSE)),"")</f>
        <v/>
      </c>
      <c r="M513" s="5" t="str">
        <f t="shared" si="38"/>
        <v/>
      </c>
      <c r="N513" s="5" t="str">
        <f t="shared" si="39"/>
        <v/>
      </c>
    </row>
    <row r="514" spans="1:14" x14ac:dyDescent="0.25">
      <c r="A514" s="5">
        <v>513</v>
      </c>
      <c r="B514" s="5">
        <f t="shared" si="36"/>
        <v>0</v>
      </c>
      <c r="C514" s="5" t="str">
        <f t="shared" ref="C514:C577" si="40">IF(F514&lt;&gt;"",A514,"")</f>
        <v/>
      </c>
      <c r="D514" s="5" t="str">
        <f>IFERROR(IF(F514&lt;&gt;"",F514,VLOOKUP(MAX(C$2:C514),A$2:F514,2,FALSE)),"")</f>
        <v/>
      </c>
      <c r="E514" s="5" t="str">
        <f t="shared" si="37"/>
        <v/>
      </c>
      <c r="K514" t="str">
        <f>IFERROR(IF(VLOOKUP(E:E,'Old Report'!E:J,6,FALSE)="","",VLOOKUP(E:E,'Old Report'!E:J,6,FALSE)),"")</f>
        <v/>
      </c>
      <c r="L514" t="str">
        <f>IFERROR(IF(VLOOKUP(E:E,'Old Report'!E:L,8,FALSE)="","",VLOOKUP(E:E,'Old Report'!E:L,8,FALSE)),"")</f>
        <v/>
      </c>
      <c r="M514" s="5" t="str">
        <f t="shared" si="38"/>
        <v/>
      </c>
      <c r="N514" s="5" t="str">
        <f t="shared" si="39"/>
        <v/>
      </c>
    </row>
    <row r="515" spans="1:14" x14ac:dyDescent="0.25">
      <c r="A515" s="5">
        <v>514</v>
      </c>
      <c r="B515" s="5">
        <f t="shared" ref="B515:B578" si="41">IF(F516&lt;&gt;"",F516,F515)</f>
        <v>0</v>
      </c>
      <c r="C515" s="5" t="str">
        <f t="shared" si="40"/>
        <v/>
      </c>
      <c r="D515" s="5" t="str">
        <f>IFERROR(IF(F515&lt;&gt;"",F515,VLOOKUP(MAX(C$2:C515),A$2:F515,2,FALSE)),"")</f>
        <v/>
      </c>
      <c r="E515" s="5" t="str">
        <f t="shared" ref="E515:E578" si="42">IF(H515&lt;&gt;"",CONCATENATE(D515,".",H515),"")</f>
        <v/>
      </c>
      <c r="K515" t="str">
        <f>IFERROR(IF(VLOOKUP(E:E,'Old Report'!E:J,6,FALSE)="","",VLOOKUP(E:E,'Old Report'!E:J,6,FALSE)),"")</f>
        <v/>
      </c>
      <c r="L515" t="str">
        <f>IFERROR(IF(VLOOKUP(E:E,'Old Report'!E:L,8,FALSE)="","",VLOOKUP(E:E,'Old Report'!E:L,8,FALSE)),"")</f>
        <v/>
      </c>
      <c r="M515" s="5" t="str">
        <f t="shared" si="38"/>
        <v/>
      </c>
      <c r="N515" s="5" t="str">
        <f t="shared" si="39"/>
        <v/>
      </c>
    </row>
    <row r="516" spans="1:14" x14ac:dyDescent="0.25">
      <c r="A516" s="5">
        <v>515</v>
      </c>
      <c r="B516" s="5">
        <f t="shared" si="41"/>
        <v>0</v>
      </c>
      <c r="C516" s="5" t="str">
        <f t="shared" si="40"/>
        <v/>
      </c>
      <c r="D516" s="5" t="str">
        <f>IFERROR(IF(F516&lt;&gt;"",F516,VLOOKUP(MAX(C$2:C516),A$2:F516,2,FALSE)),"")</f>
        <v/>
      </c>
      <c r="E516" s="5" t="str">
        <f t="shared" si="42"/>
        <v/>
      </c>
      <c r="K516" t="str">
        <f>IFERROR(IF(VLOOKUP(E:E,'Old Report'!E:J,6,FALSE)="","",VLOOKUP(E:E,'Old Report'!E:J,6,FALSE)),"")</f>
        <v/>
      </c>
      <c r="L516" t="str">
        <f>IFERROR(IF(VLOOKUP(E:E,'Old Report'!E:L,8,FALSE)="","",VLOOKUP(E:E,'Old Report'!E:L,8,FALSE)),"")</f>
        <v/>
      </c>
      <c r="M516" s="5" t="str">
        <f t="shared" ref="M516:M579" si="43">IFERROR(L516,"")</f>
        <v/>
      </c>
      <c r="N516" s="5" t="str">
        <f t="shared" ref="N516:N579" si="44">IFERROR( IF(J516&lt;&gt;"",IF(K516 &lt;&gt; "",IF(J516 = K516,"No Change",IF(J516 &lt; K516,CONCATENATE("Issues reduced from ",K516," to ",J516),IF(J516&gt;K516,CONCATENATE("Issues increased from ",K516," to ",J516),""))),"New issue - needs to be checked"),""),"")</f>
        <v/>
      </c>
    </row>
    <row r="517" spans="1:14" x14ac:dyDescent="0.25">
      <c r="A517" s="5">
        <v>516</v>
      </c>
      <c r="B517" s="5">
        <f t="shared" si="41"/>
        <v>0</v>
      </c>
      <c r="C517" s="5" t="str">
        <f t="shared" si="40"/>
        <v/>
      </c>
      <c r="D517" s="5" t="str">
        <f>IFERROR(IF(F517&lt;&gt;"",F517,VLOOKUP(MAX(C$2:C517),A$2:F517,2,FALSE)),"")</f>
        <v/>
      </c>
      <c r="E517" s="5" t="str">
        <f t="shared" si="42"/>
        <v/>
      </c>
      <c r="K517" t="str">
        <f>IFERROR(IF(VLOOKUP(E:E,'Old Report'!E:J,6,FALSE)="","",VLOOKUP(E:E,'Old Report'!E:J,6,FALSE)),"")</f>
        <v/>
      </c>
      <c r="L517" t="str">
        <f>IFERROR(IF(VLOOKUP(E:E,'Old Report'!E:L,8,FALSE)="","",VLOOKUP(E:E,'Old Report'!E:L,8,FALSE)),"")</f>
        <v/>
      </c>
      <c r="M517" s="5" t="str">
        <f t="shared" si="43"/>
        <v/>
      </c>
      <c r="N517" s="5" t="str">
        <f t="shared" si="44"/>
        <v/>
      </c>
    </row>
    <row r="518" spans="1:14" x14ac:dyDescent="0.25">
      <c r="A518" s="5">
        <v>517</v>
      </c>
      <c r="B518" s="5">
        <f t="shared" si="41"/>
        <v>0</v>
      </c>
      <c r="C518" s="5" t="str">
        <f t="shared" si="40"/>
        <v/>
      </c>
      <c r="D518" s="5" t="str">
        <f>IFERROR(IF(F518&lt;&gt;"",F518,VLOOKUP(MAX(C$2:C518),A$2:F518,2,FALSE)),"")</f>
        <v/>
      </c>
      <c r="E518" s="5" t="str">
        <f t="shared" si="42"/>
        <v/>
      </c>
      <c r="K518" t="str">
        <f>IFERROR(IF(VLOOKUP(E:E,'Old Report'!E:J,6,FALSE)="","",VLOOKUP(E:E,'Old Report'!E:J,6,FALSE)),"")</f>
        <v/>
      </c>
      <c r="L518" t="str">
        <f>IFERROR(IF(VLOOKUP(E:E,'Old Report'!E:L,8,FALSE)="","",VLOOKUP(E:E,'Old Report'!E:L,8,FALSE)),"")</f>
        <v/>
      </c>
      <c r="M518" s="5" t="str">
        <f t="shared" si="43"/>
        <v/>
      </c>
      <c r="N518" s="5" t="str">
        <f t="shared" si="44"/>
        <v/>
      </c>
    </row>
    <row r="519" spans="1:14" x14ac:dyDescent="0.25">
      <c r="A519" s="5">
        <v>518</v>
      </c>
      <c r="B519" s="5">
        <f t="shared" si="41"/>
        <v>0</v>
      </c>
      <c r="C519" s="5" t="str">
        <f t="shared" si="40"/>
        <v/>
      </c>
      <c r="D519" s="5" t="str">
        <f>IFERROR(IF(F519&lt;&gt;"",F519,VLOOKUP(MAX(C$2:C519),A$2:F519,2,FALSE)),"")</f>
        <v/>
      </c>
      <c r="E519" s="5" t="str">
        <f t="shared" si="42"/>
        <v/>
      </c>
      <c r="K519" t="str">
        <f>IFERROR(IF(VLOOKUP(E:E,'Old Report'!E:J,6,FALSE)="","",VLOOKUP(E:E,'Old Report'!E:J,6,FALSE)),"")</f>
        <v/>
      </c>
      <c r="L519" t="str">
        <f>IFERROR(IF(VLOOKUP(E:E,'Old Report'!E:L,8,FALSE)="","",VLOOKUP(E:E,'Old Report'!E:L,8,FALSE)),"")</f>
        <v/>
      </c>
      <c r="M519" s="5" t="str">
        <f t="shared" si="43"/>
        <v/>
      </c>
      <c r="N519" s="5" t="str">
        <f t="shared" si="44"/>
        <v/>
      </c>
    </row>
    <row r="520" spans="1:14" x14ac:dyDescent="0.25">
      <c r="A520" s="5">
        <v>519</v>
      </c>
      <c r="B520" s="5">
        <f t="shared" si="41"/>
        <v>0</v>
      </c>
      <c r="C520" s="5" t="str">
        <f t="shared" si="40"/>
        <v/>
      </c>
      <c r="D520" s="5" t="str">
        <f>IFERROR(IF(F520&lt;&gt;"",F520,VLOOKUP(MAX(C$2:C520),A$2:F520,2,FALSE)),"")</f>
        <v/>
      </c>
      <c r="E520" s="5" t="str">
        <f t="shared" si="42"/>
        <v/>
      </c>
      <c r="K520" t="str">
        <f>IFERROR(IF(VLOOKUP(E:E,'Old Report'!E:J,6,FALSE)="","",VLOOKUP(E:E,'Old Report'!E:J,6,FALSE)),"")</f>
        <v/>
      </c>
      <c r="L520" t="str">
        <f>IFERROR(IF(VLOOKUP(E:E,'Old Report'!E:L,8,FALSE)="","",VLOOKUP(E:E,'Old Report'!E:L,8,FALSE)),"")</f>
        <v/>
      </c>
      <c r="M520" s="5" t="str">
        <f t="shared" si="43"/>
        <v/>
      </c>
      <c r="N520" s="5" t="str">
        <f t="shared" si="44"/>
        <v/>
      </c>
    </row>
    <row r="521" spans="1:14" x14ac:dyDescent="0.25">
      <c r="A521" s="5">
        <v>520</v>
      </c>
      <c r="B521" s="5">
        <f t="shared" si="41"/>
        <v>0</v>
      </c>
      <c r="C521" s="5" t="str">
        <f t="shared" si="40"/>
        <v/>
      </c>
      <c r="D521" s="5" t="str">
        <f>IFERROR(IF(F521&lt;&gt;"",F521,VLOOKUP(MAX(C$2:C521),A$2:F521,2,FALSE)),"")</f>
        <v/>
      </c>
      <c r="E521" s="5" t="str">
        <f t="shared" si="42"/>
        <v/>
      </c>
      <c r="K521" t="str">
        <f>IFERROR(IF(VLOOKUP(E:E,'Old Report'!E:J,6,FALSE)="","",VLOOKUP(E:E,'Old Report'!E:J,6,FALSE)),"")</f>
        <v/>
      </c>
      <c r="L521" t="str">
        <f>IFERROR(IF(VLOOKUP(E:E,'Old Report'!E:L,8,FALSE)="","",VLOOKUP(E:E,'Old Report'!E:L,8,FALSE)),"")</f>
        <v/>
      </c>
      <c r="M521" s="5" t="str">
        <f t="shared" si="43"/>
        <v/>
      </c>
      <c r="N521" s="5" t="str">
        <f t="shared" si="44"/>
        <v/>
      </c>
    </row>
    <row r="522" spans="1:14" x14ac:dyDescent="0.25">
      <c r="A522" s="5">
        <v>521</v>
      </c>
      <c r="B522" s="5">
        <f t="shared" si="41"/>
        <v>0</v>
      </c>
      <c r="C522" s="5" t="str">
        <f t="shared" si="40"/>
        <v/>
      </c>
      <c r="D522" s="5" t="str">
        <f>IFERROR(IF(F522&lt;&gt;"",F522,VLOOKUP(MAX(C$2:C522),A$2:F522,2,FALSE)),"")</f>
        <v/>
      </c>
      <c r="E522" s="5" t="str">
        <f t="shared" si="42"/>
        <v/>
      </c>
      <c r="K522" t="str">
        <f>IFERROR(IF(VLOOKUP(E:E,'Old Report'!E:J,6,FALSE)="","",VLOOKUP(E:E,'Old Report'!E:J,6,FALSE)),"")</f>
        <v/>
      </c>
      <c r="L522" t="str">
        <f>IFERROR(IF(VLOOKUP(E:E,'Old Report'!E:L,8,FALSE)="","",VLOOKUP(E:E,'Old Report'!E:L,8,FALSE)),"")</f>
        <v/>
      </c>
      <c r="M522" s="5" t="str">
        <f t="shared" si="43"/>
        <v/>
      </c>
      <c r="N522" s="5" t="str">
        <f t="shared" si="44"/>
        <v/>
      </c>
    </row>
    <row r="523" spans="1:14" x14ac:dyDescent="0.25">
      <c r="A523" s="5">
        <v>522</v>
      </c>
      <c r="B523" s="5">
        <f t="shared" si="41"/>
        <v>0</v>
      </c>
      <c r="C523" s="5" t="str">
        <f t="shared" si="40"/>
        <v/>
      </c>
      <c r="D523" s="5" t="str">
        <f>IFERROR(IF(F523&lt;&gt;"",F523,VLOOKUP(MAX(C$2:C523),A$2:F523,2,FALSE)),"")</f>
        <v/>
      </c>
      <c r="E523" s="5" t="str">
        <f t="shared" si="42"/>
        <v/>
      </c>
      <c r="K523" t="str">
        <f>IFERROR(IF(VLOOKUP(E:E,'Old Report'!E:J,6,FALSE)="","",VLOOKUP(E:E,'Old Report'!E:J,6,FALSE)),"")</f>
        <v/>
      </c>
      <c r="L523" t="str">
        <f>IFERROR(IF(VLOOKUP(E:E,'Old Report'!E:L,8,FALSE)="","",VLOOKUP(E:E,'Old Report'!E:L,8,FALSE)),"")</f>
        <v/>
      </c>
      <c r="M523" s="5" t="str">
        <f t="shared" si="43"/>
        <v/>
      </c>
      <c r="N523" s="5" t="str">
        <f t="shared" si="44"/>
        <v/>
      </c>
    </row>
    <row r="524" spans="1:14" x14ac:dyDescent="0.25">
      <c r="A524" s="5">
        <v>523</v>
      </c>
      <c r="B524" s="5">
        <f t="shared" si="41"/>
        <v>0</v>
      </c>
      <c r="C524" s="5" t="str">
        <f t="shared" si="40"/>
        <v/>
      </c>
      <c r="D524" s="5" t="str">
        <f>IFERROR(IF(F524&lt;&gt;"",F524,VLOOKUP(MAX(C$2:C524),A$2:F524,2,FALSE)),"")</f>
        <v/>
      </c>
      <c r="E524" s="5" t="str">
        <f t="shared" si="42"/>
        <v/>
      </c>
      <c r="K524" t="str">
        <f>IFERROR(IF(VLOOKUP(E:E,'Old Report'!E:J,6,FALSE)="","",VLOOKUP(E:E,'Old Report'!E:J,6,FALSE)),"")</f>
        <v/>
      </c>
      <c r="L524" t="str">
        <f>IFERROR(IF(VLOOKUP(E:E,'Old Report'!E:L,8,FALSE)="","",VLOOKUP(E:E,'Old Report'!E:L,8,FALSE)),"")</f>
        <v/>
      </c>
      <c r="M524" s="5" t="str">
        <f t="shared" si="43"/>
        <v/>
      </c>
      <c r="N524" s="5" t="str">
        <f t="shared" si="44"/>
        <v/>
      </c>
    </row>
    <row r="525" spans="1:14" x14ac:dyDescent="0.25">
      <c r="A525" s="5">
        <v>524</v>
      </c>
      <c r="B525" s="5">
        <f t="shared" si="41"/>
        <v>0</v>
      </c>
      <c r="C525" s="5" t="str">
        <f t="shared" si="40"/>
        <v/>
      </c>
      <c r="D525" s="5" t="str">
        <f>IFERROR(IF(F525&lt;&gt;"",F525,VLOOKUP(MAX(C$2:C525),A$2:F525,2,FALSE)),"")</f>
        <v/>
      </c>
      <c r="E525" s="5" t="str">
        <f t="shared" si="42"/>
        <v/>
      </c>
      <c r="K525" t="str">
        <f>IFERROR(IF(VLOOKUP(E:E,'Old Report'!E:J,6,FALSE)="","",VLOOKUP(E:E,'Old Report'!E:J,6,FALSE)),"")</f>
        <v/>
      </c>
      <c r="L525" t="str">
        <f>IFERROR(IF(VLOOKUP(E:E,'Old Report'!E:L,8,FALSE)="","",VLOOKUP(E:E,'Old Report'!E:L,8,FALSE)),"")</f>
        <v/>
      </c>
      <c r="M525" s="5" t="str">
        <f t="shared" si="43"/>
        <v/>
      </c>
      <c r="N525" s="5" t="str">
        <f t="shared" si="44"/>
        <v/>
      </c>
    </row>
    <row r="526" spans="1:14" x14ac:dyDescent="0.25">
      <c r="A526" s="5">
        <v>525</v>
      </c>
      <c r="B526" s="5">
        <f t="shared" si="41"/>
        <v>0</v>
      </c>
      <c r="C526" s="5" t="str">
        <f t="shared" si="40"/>
        <v/>
      </c>
      <c r="D526" s="5" t="str">
        <f>IFERROR(IF(F526&lt;&gt;"",F526,VLOOKUP(MAX(C$2:C526),A$2:F526,2,FALSE)),"")</f>
        <v/>
      </c>
      <c r="E526" s="5" t="str">
        <f t="shared" si="42"/>
        <v/>
      </c>
      <c r="K526" t="str">
        <f>IFERROR(IF(VLOOKUP(E:E,'Old Report'!E:J,6,FALSE)="","",VLOOKUP(E:E,'Old Report'!E:J,6,FALSE)),"")</f>
        <v/>
      </c>
      <c r="L526" t="str">
        <f>IFERROR(IF(VLOOKUP(E:E,'Old Report'!E:L,8,FALSE)="","",VLOOKUP(E:E,'Old Report'!E:L,8,FALSE)),"")</f>
        <v/>
      </c>
      <c r="M526" s="5" t="str">
        <f t="shared" si="43"/>
        <v/>
      </c>
      <c r="N526" s="5" t="str">
        <f t="shared" si="44"/>
        <v/>
      </c>
    </row>
    <row r="527" spans="1:14" x14ac:dyDescent="0.25">
      <c r="A527" s="5">
        <v>526</v>
      </c>
      <c r="B527" s="5">
        <f t="shared" si="41"/>
        <v>0</v>
      </c>
      <c r="C527" s="5" t="str">
        <f t="shared" si="40"/>
        <v/>
      </c>
      <c r="D527" s="5" t="str">
        <f>IFERROR(IF(F527&lt;&gt;"",F527,VLOOKUP(MAX(C$2:C527),A$2:F527,2,FALSE)),"")</f>
        <v/>
      </c>
      <c r="E527" s="5" t="str">
        <f t="shared" si="42"/>
        <v/>
      </c>
      <c r="K527" t="str">
        <f>IFERROR(IF(VLOOKUP(E:E,'Old Report'!E:J,6,FALSE)="","",VLOOKUP(E:E,'Old Report'!E:J,6,FALSE)),"")</f>
        <v/>
      </c>
      <c r="L527" t="str">
        <f>IFERROR(IF(VLOOKUP(E:E,'Old Report'!E:L,8,FALSE)="","",VLOOKUP(E:E,'Old Report'!E:L,8,FALSE)),"")</f>
        <v/>
      </c>
      <c r="M527" s="5" t="str">
        <f t="shared" si="43"/>
        <v/>
      </c>
      <c r="N527" s="5" t="str">
        <f t="shared" si="44"/>
        <v/>
      </c>
    </row>
    <row r="528" spans="1:14" x14ac:dyDescent="0.25">
      <c r="A528" s="5">
        <v>527</v>
      </c>
      <c r="B528" s="5">
        <f t="shared" si="41"/>
        <v>0</v>
      </c>
      <c r="C528" s="5" t="str">
        <f t="shared" si="40"/>
        <v/>
      </c>
      <c r="D528" s="5" t="str">
        <f>IFERROR(IF(F528&lt;&gt;"",F528,VLOOKUP(MAX(C$2:C528),A$2:F528,2,FALSE)),"")</f>
        <v/>
      </c>
      <c r="E528" s="5" t="str">
        <f t="shared" si="42"/>
        <v/>
      </c>
      <c r="K528" t="str">
        <f>IFERROR(IF(VLOOKUP(E:E,'Old Report'!E:J,6,FALSE)="","",VLOOKUP(E:E,'Old Report'!E:J,6,FALSE)),"")</f>
        <v/>
      </c>
      <c r="L528" t="str">
        <f>IFERROR(IF(VLOOKUP(E:E,'Old Report'!E:L,8,FALSE)="","",VLOOKUP(E:E,'Old Report'!E:L,8,FALSE)),"")</f>
        <v/>
      </c>
      <c r="M528" s="5" t="str">
        <f t="shared" si="43"/>
        <v/>
      </c>
      <c r="N528" s="5" t="str">
        <f t="shared" si="44"/>
        <v/>
      </c>
    </row>
    <row r="529" spans="1:14" x14ac:dyDescent="0.25">
      <c r="A529" s="5">
        <v>528</v>
      </c>
      <c r="B529" s="5">
        <f t="shared" si="41"/>
        <v>0</v>
      </c>
      <c r="C529" s="5" t="str">
        <f t="shared" si="40"/>
        <v/>
      </c>
      <c r="D529" s="5" t="str">
        <f>IFERROR(IF(F529&lt;&gt;"",F529,VLOOKUP(MAX(C$2:C529),A$2:F529,2,FALSE)),"")</f>
        <v/>
      </c>
      <c r="E529" s="5" t="str">
        <f t="shared" si="42"/>
        <v/>
      </c>
      <c r="K529" t="str">
        <f>IFERROR(IF(VLOOKUP(E:E,'Old Report'!E:J,6,FALSE)="","",VLOOKUP(E:E,'Old Report'!E:J,6,FALSE)),"")</f>
        <v/>
      </c>
      <c r="L529" t="str">
        <f>IFERROR(IF(VLOOKUP(E:E,'Old Report'!E:L,8,FALSE)="","",VLOOKUP(E:E,'Old Report'!E:L,8,FALSE)),"")</f>
        <v/>
      </c>
      <c r="M529" s="5" t="str">
        <f t="shared" si="43"/>
        <v/>
      </c>
      <c r="N529" s="5" t="str">
        <f t="shared" si="44"/>
        <v/>
      </c>
    </row>
    <row r="530" spans="1:14" x14ac:dyDescent="0.25">
      <c r="A530" s="5">
        <v>529</v>
      </c>
      <c r="B530" s="5">
        <f t="shared" si="41"/>
        <v>0</v>
      </c>
      <c r="C530" s="5" t="str">
        <f t="shared" si="40"/>
        <v/>
      </c>
      <c r="D530" s="5" t="str">
        <f>IFERROR(IF(F530&lt;&gt;"",F530,VLOOKUP(MAX(C$2:C530),A$2:F530,2,FALSE)),"")</f>
        <v/>
      </c>
      <c r="E530" s="5" t="str">
        <f t="shared" si="42"/>
        <v/>
      </c>
      <c r="K530" t="str">
        <f>IFERROR(IF(VLOOKUP(E:E,'Old Report'!E:J,6,FALSE)="","",VLOOKUP(E:E,'Old Report'!E:J,6,FALSE)),"")</f>
        <v/>
      </c>
      <c r="L530" t="str">
        <f>IFERROR(IF(VLOOKUP(E:E,'Old Report'!E:L,8,FALSE)="","",VLOOKUP(E:E,'Old Report'!E:L,8,FALSE)),"")</f>
        <v/>
      </c>
      <c r="M530" s="5" t="str">
        <f t="shared" si="43"/>
        <v/>
      </c>
      <c r="N530" s="5" t="str">
        <f t="shared" si="44"/>
        <v/>
      </c>
    </row>
    <row r="531" spans="1:14" x14ac:dyDescent="0.25">
      <c r="A531" s="5">
        <v>530</v>
      </c>
      <c r="B531" s="5">
        <f t="shared" si="41"/>
        <v>0</v>
      </c>
      <c r="C531" s="5" t="str">
        <f t="shared" si="40"/>
        <v/>
      </c>
      <c r="D531" s="5" t="str">
        <f>IFERROR(IF(F531&lt;&gt;"",F531,VLOOKUP(MAX(C$2:C531),A$2:F531,2,FALSE)),"")</f>
        <v/>
      </c>
      <c r="E531" s="5" t="str">
        <f t="shared" si="42"/>
        <v/>
      </c>
      <c r="K531" t="str">
        <f>IFERROR(IF(VLOOKUP(E:E,'Old Report'!E:J,6,FALSE)="","",VLOOKUP(E:E,'Old Report'!E:J,6,FALSE)),"")</f>
        <v/>
      </c>
      <c r="L531" t="str">
        <f>IFERROR(IF(VLOOKUP(E:E,'Old Report'!E:L,8,FALSE)="","",VLOOKUP(E:E,'Old Report'!E:L,8,FALSE)),"")</f>
        <v/>
      </c>
      <c r="M531" s="5" t="str">
        <f t="shared" si="43"/>
        <v/>
      </c>
      <c r="N531" s="5" t="str">
        <f t="shared" si="44"/>
        <v/>
      </c>
    </row>
    <row r="532" spans="1:14" x14ac:dyDescent="0.25">
      <c r="A532" s="5">
        <v>531</v>
      </c>
      <c r="B532" s="5">
        <f t="shared" si="41"/>
        <v>0</v>
      </c>
      <c r="C532" s="5" t="str">
        <f t="shared" si="40"/>
        <v/>
      </c>
      <c r="D532" s="5" t="str">
        <f>IFERROR(IF(F532&lt;&gt;"",F532,VLOOKUP(MAX(C$2:C532),A$2:F532,2,FALSE)),"")</f>
        <v/>
      </c>
      <c r="E532" s="5" t="str">
        <f t="shared" si="42"/>
        <v/>
      </c>
      <c r="K532" t="str">
        <f>IFERROR(IF(VLOOKUP(E:E,'Old Report'!E:J,6,FALSE)="","",VLOOKUP(E:E,'Old Report'!E:J,6,FALSE)),"")</f>
        <v/>
      </c>
      <c r="L532" t="str">
        <f>IFERROR(IF(VLOOKUP(E:E,'Old Report'!E:L,8,FALSE)="","",VLOOKUP(E:E,'Old Report'!E:L,8,FALSE)),"")</f>
        <v/>
      </c>
      <c r="M532" s="5" t="str">
        <f t="shared" si="43"/>
        <v/>
      </c>
      <c r="N532" s="5" t="str">
        <f t="shared" si="44"/>
        <v/>
      </c>
    </row>
    <row r="533" spans="1:14" x14ac:dyDescent="0.25">
      <c r="A533" s="5">
        <v>532</v>
      </c>
      <c r="B533" s="5">
        <f t="shared" si="41"/>
        <v>0</v>
      </c>
      <c r="C533" s="5" t="str">
        <f t="shared" si="40"/>
        <v/>
      </c>
      <c r="D533" s="5" t="str">
        <f>IFERROR(IF(F533&lt;&gt;"",F533,VLOOKUP(MAX(C$2:C533),A$2:F533,2,FALSE)),"")</f>
        <v/>
      </c>
      <c r="E533" s="5" t="str">
        <f t="shared" si="42"/>
        <v/>
      </c>
      <c r="K533" t="str">
        <f>IFERROR(IF(VLOOKUP(E:E,'Old Report'!E:J,6,FALSE)="","",VLOOKUP(E:E,'Old Report'!E:J,6,FALSE)),"")</f>
        <v/>
      </c>
      <c r="L533" t="str">
        <f>IFERROR(IF(VLOOKUP(E:E,'Old Report'!E:L,8,FALSE)="","",VLOOKUP(E:E,'Old Report'!E:L,8,FALSE)),"")</f>
        <v/>
      </c>
      <c r="M533" s="5" t="str">
        <f t="shared" si="43"/>
        <v/>
      </c>
      <c r="N533" s="5" t="str">
        <f t="shared" si="44"/>
        <v/>
      </c>
    </row>
    <row r="534" spans="1:14" x14ac:dyDescent="0.25">
      <c r="A534" s="5">
        <v>533</v>
      </c>
      <c r="B534" s="5">
        <f t="shared" si="41"/>
        <v>0</v>
      </c>
      <c r="C534" s="5" t="str">
        <f t="shared" si="40"/>
        <v/>
      </c>
      <c r="D534" s="5" t="str">
        <f>IFERROR(IF(F534&lt;&gt;"",F534,VLOOKUP(MAX(C$2:C534),A$2:F534,2,FALSE)),"")</f>
        <v/>
      </c>
      <c r="E534" s="5" t="str">
        <f t="shared" si="42"/>
        <v/>
      </c>
      <c r="K534" t="str">
        <f>IFERROR(IF(VLOOKUP(E:E,'Old Report'!E:J,6,FALSE)="","",VLOOKUP(E:E,'Old Report'!E:J,6,FALSE)),"")</f>
        <v/>
      </c>
      <c r="L534" t="str">
        <f>IFERROR(IF(VLOOKUP(E:E,'Old Report'!E:L,8,FALSE)="","",VLOOKUP(E:E,'Old Report'!E:L,8,FALSE)),"")</f>
        <v/>
      </c>
      <c r="M534" s="5" t="str">
        <f t="shared" si="43"/>
        <v/>
      </c>
      <c r="N534" s="5" t="str">
        <f t="shared" si="44"/>
        <v/>
      </c>
    </row>
    <row r="535" spans="1:14" x14ac:dyDescent="0.25">
      <c r="A535" s="5">
        <v>534</v>
      </c>
      <c r="B535" s="5">
        <f t="shared" si="41"/>
        <v>0</v>
      </c>
      <c r="C535" s="5" t="str">
        <f t="shared" si="40"/>
        <v/>
      </c>
      <c r="D535" s="5" t="str">
        <f>IFERROR(IF(F535&lt;&gt;"",F535,VLOOKUP(MAX(C$2:C535),A$2:F535,2,FALSE)),"")</f>
        <v/>
      </c>
      <c r="E535" s="5" t="str">
        <f t="shared" si="42"/>
        <v/>
      </c>
      <c r="K535" t="str">
        <f>IFERROR(IF(VLOOKUP(E:E,'Old Report'!E:J,6,FALSE)="","",VLOOKUP(E:E,'Old Report'!E:J,6,FALSE)),"")</f>
        <v/>
      </c>
      <c r="L535" t="str">
        <f>IFERROR(IF(VLOOKUP(E:E,'Old Report'!E:L,8,FALSE)="","",VLOOKUP(E:E,'Old Report'!E:L,8,FALSE)),"")</f>
        <v/>
      </c>
      <c r="M535" s="5" t="str">
        <f t="shared" si="43"/>
        <v/>
      </c>
      <c r="N535" s="5" t="str">
        <f t="shared" si="44"/>
        <v/>
      </c>
    </row>
    <row r="536" spans="1:14" x14ac:dyDescent="0.25">
      <c r="A536" s="5">
        <v>535</v>
      </c>
      <c r="B536" s="5">
        <f t="shared" si="41"/>
        <v>0</v>
      </c>
      <c r="C536" s="5" t="str">
        <f t="shared" si="40"/>
        <v/>
      </c>
      <c r="D536" s="5" t="str">
        <f>IFERROR(IF(F536&lt;&gt;"",F536,VLOOKUP(MAX(C$2:C536),A$2:F536,2,FALSE)),"")</f>
        <v/>
      </c>
      <c r="E536" s="5" t="str">
        <f t="shared" si="42"/>
        <v/>
      </c>
      <c r="K536" t="str">
        <f>IFERROR(IF(VLOOKUP(E:E,'Old Report'!E:J,6,FALSE)="","",VLOOKUP(E:E,'Old Report'!E:J,6,FALSE)),"")</f>
        <v/>
      </c>
      <c r="L536" t="str">
        <f>IFERROR(IF(VLOOKUP(E:E,'Old Report'!E:L,8,FALSE)="","",VLOOKUP(E:E,'Old Report'!E:L,8,FALSE)),"")</f>
        <v/>
      </c>
      <c r="M536" s="5" t="str">
        <f t="shared" si="43"/>
        <v/>
      </c>
      <c r="N536" s="5" t="str">
        <f t="shared" si="44"/>
        <v/>
      </c>
    </row>
    <row r="537" spans="1:14" x14ac:dyDescent="0.25">
      <c r="A537" s="5">
        <v>536</v>
      </c>
      <c r="B537" s="5">
        <f t="shared" si="41"/>
        <v>0</v>
      </c>
      <c r="C537" s="5" t="str">
        <f t="shared" si="40"/>
        <v/>
      </c>
      <c r="D537" s="5" t="str">
        <f>IFERROR(IF(F537&lt;&gt;"",F537,VLOOKUP(MAX(C$2:C537),A$2:F537,2,FALSE)),"")</f>
        <v/>
      </c>
      <c r="E537" s="5" t="str">
        <f t="shared" si="42"/>
        <v/>
      </c>
      <c r="K537" t="str">
        <f>IFERROR(IF(VLOOKUP(E:E,'Old Report'!E:J,6,FALSE)="","",VLOOKUP(E:E,'Old Report'!E:J,6,FALSE)),"")</f>
        <v/>
      </c>
      <c r="L537" t="str">
        <f>IFERROR(IF(VLOOKUP(E:E,'Old Report'!E:L,8,FALSE)="","",VLOOKUP(E:E,'Old Report'!E:L,8,FALSE)),"")</f>
        <v/>
      </c>
      <c r="M537" s="5" t="str">
        <f t="shared" si="43"/>
        <v/>
      </c>
      <c r="N537" s="5" t="str">
        <f t="shared" si="44"/>
        <v/>
      </c>
    </row>
    <row r="538" spans="1:14" x14ac:dyDescent="0.25">
      <c r="A538" s="5">
        <v>537</v>
      </c>
      <c r="B538" s="5">
        <f t="shared" si="41"/>
        <v>0</v>
      </c>
      <c r="C538" s="5" t="str">
        <f t="shared" si="40"/>
        <v/>
      </c>
      <c r="D538" s="5" t="str">
        <f>IFERROR(IF(F538&lt;&gt;"",F538,VLOOKUP(MAX(C$2:C538),A$2:F538,2,FALSE)),"")</f>
        <v/>
      </c>
      <c r="E538" s="5" t="str">
        <f t="shared" si="42"/>
        <v/>
      </c>
      <c r="K538" t="str">
        <f>IFERROR(IF(VLOOKUP(E:E,'Old Report'!E:J,6,FALSE)="","",VLOOKUP(E:E,'Old Report'!E:J,6,FALSE)),"")</f>
        <v/>
      </c>
      <c r="L538" t="str">
        <f>IFERROR(IF(VLOOKUP(E:E,'Old Report'!E:L,8,FALSE)="","",VLOOKUP(E:E,'Old Report'!E:L,8,FALSE)),"")</f>
        <v/>
      </c>
      <c r="M538" s="5" t="str">
        <f t="shared" si="43"/>
        <v/>
      </c>
      <c r="N538" s="5" t="str">
        <f t="shared" si="44"/>
        <v/>
      </c>
    </row>
    <row r="539" spans="1:14" x14ac:dyDescent="0.25">
      <c r="A539" s="5">
        <v>538</v>
      </c>
      <c r="B539" s="5">
        <f t="shared" si="41"/>
        <v>0</v>
      </c>
      <c r="C539" s="5" t="str">
        <f t="shared" si="40"/>
        <v/>
      </c>
      <c r="D539" s="5" t="str">
        <f>IFERROR(IF(F539&lt;&gt;"",F539,VLOOKUP(MAX(C$2:C539),A$2:F539,2,FALSE)),"")</f>
        <v/>
      </c>
      <c r="E539" s="5" t="str">
        <f t="shared" si="42"/>
        <v/>
      </c>
      <c r="K539" t="str">
        <f>IFERROR(IF(VLOOKUP(E:E,'Old Report'!E:J,6,FALSE)="","",VLOOKUP(E:E,'Old Report'!E:J,6,FALSE)),"")</f>
        <v/>
      </c>
      <c r="L539" t="str">
        <f>IFERROR(IF(VLOOKUP(E:E,'Old Report'!E:L,8,FALSE)="","",VLOOKUP(E:E,'Old Report'!E:L,8,FALSE)),"")</f>
        <v/>
      </c>
      <c r="M539" s="5" t="str">
        <f t="shared" si="43"/>
        <v/>
      </c>
      <c r="N539" s="5" t="str">
        <f t="shared" si="44"/>
        <v/>
      </c>
    </row>
    <row r="540" spans="1:14" x14ac:dyDescent="0.25">
      <c r="A540" s="5">
        <v>539</v>
      </c>
      <c r="B540" s="5">
        <f t="shared" si="41"/>
        <v>0</v>
      </c>
      <c r="C540" s="5" t="str">
        <f t="shared" si="40"/>
        <v/>
      </c>
      <c r="D540" s="5" t="str">
        <f>IFERROR(IF(F540&lt;&gt;"",F540,VLOOKUP(MAX(C$2:C540),A$2:F540,2,FALSE)),"")</f>
        <v/>
      </c>
      <c r="E540" s="5" t="str">
        <f t="shared" si="42"/>
        <v/>
      </c>
      <c r="K540" t="str">
        <f>IFERROR(IF(VLOOKUP(E:E,'Old Report'!E:J,6,FALSE)="","",VLOOKUP(E:E,'Old Report'!E:J,6,FALSE)),"")</f>
        <v/>
      </c>
      <c r="L540" t="str">
        <f>IFERROR(IF(VLOOKUP(E:E,'Old Report'!E:L,8,FALSE)="","",VLOOKUP(E:E,'Old Report'!E:L,8,FALSE)),"")</f>
        <v/>
      </c>
      <c r="M540" s="5" t="str">
        <f t="shared" si="43"/>
        <v/>
      </c>
      <c r="N540" s="5" t="str">
        <f t="shared" si="44"/>
        <v/>
      </c>
    </row>
    <row r="541" spans="1:14" x14ac:dyDescent="0.25">
      <c r="A541" s="5">
        <v>540</v>
      </c>
      <c r="B541" s="5">
        <f t="shared" si="41"/>
        <v>0</v>
      </c>
      <c r="C541" s="5" t="str">
        <f t="shared" si="40"/>
        <v/>
      </c>
      <c r="D541" s="5" t="str">
        <f>IFERROR(IF(F541&lt;&gt;"",F541,VLOOKUP(MAX(C$2:C541),A$2:F541,2,FALSE)),"")</f>
        <v/>
      </c>
      <c r="E541" s="5" t="str">
        <f t="shared" si="42"/>
        <v/>
      </c>
      <c r="K541" t="str">
        <f>IFERROR(IF(VLOOKUP(E:E,'Old Report'!E:J,6,FALSE)="","",VLOOKUP(E:E,'Old Report'!E:J,6,FALSE)),"")</f>
        <v/>
      </c>
      <c r="L541" t="str">
        <f>IFERROR(IF(VLOOKUP(E:E,'Old Report'!E:L,8,FALSE)="","",VLOOKUP(E:E,'Old Report'!E:L,8,FALSE)),"")</f>
        <v/>
      </c>
      <c r="M541" s="5" t="str">
        <f t="shared" si="43"/>
        <v/>
      </c>
      <c r="N541" s="5" t="str">
        <f t="shared" si="44"/>
        <v/>
      </c>
    </row>
    <row r="542" spans="1:14" x14ac:dyDescent="0.25">
      <c r="A542" s="5">
        <v>541</v>
      </c>
      <c r="B542" s="5">
        <f t="shared" si="41"/>
        <v>0</v>
      </c>
      <c r="C542" s="5" t="str">
        <f t="shared" si="40"/>
        <v/>
      </c>
      <c r="D542" s="5" t="str">
        <f>IFERROR(IF(F542&lt;&gt;"",F542,VLOOKUP(MAX(C$2:C542),A$2:F542,2,FALSE)),"")</f>
        <v/>
      </c>
      <c r="E542" s="5" t="str">
        <f t="shared" si="42"/>
        <v/>
      </c>
      <c r="K542" t="str">
        <f>IFERROR(IF(VLOOKUP(E:E,'Old Report'!E:J,6,FALSE)="","",VLOOKUP(E:E,'Old Report'!E:J,6,FALSE)),"")</f>
        <v/>
      </c>
      <c r="L542" t="str">
        <f>IFERROR(IF(VLOOKUP(E:E,'Old Report'!E:L,8,FALSE)="","",VLOOKUP(E:E,'Old Report'!E:L,8,FALSE)),"")</f>
        <v/>
      </c>
      <c r="M542" s="5" t="str">
        <f t="shared" si="43"/>
        <v/>
      </c>
      <c r="N542" s="5" t="str">
        <f t="shared" si="44"/>
        <v/>
      </c>
    </row>
    <row r="543" spans="1:14" x14ac:dyDescent="0.25">
      <c r="A543" s="5">
        <v>542</v>
      </c>
      <c r="B543" s="5">
        <f t="shared" si="41"/>
        <v>0</v>
      </c>
      <c r="C543" s="5" t="str">
        <f t="shared" si="40"/>
        <v/>
      </c>
      <c r="D543" s="5" t="str">
        <f>IFERROR(IF(F543&lt;&gt;"",F543,VLOOKUP(MAX(C$2:C543),A$2:F543,2,FALSE)),"")</f>
        <v/>
      </c>
      <c r="E543" s="5" t="str">
        <f t="shared" si="42"/>
        <v/>
      </c>
      <c r="K543" t="str">
        <f>IFERROR(IF(VLOOKUP(E:E,'Old Report'!E:J,6,FALSE)="","",VLOOKUP(E:E,'Old Report'!E:J,6,FALSE)),"")</f>
        <v/>
      </c>
      <c r="L543" t="str">
        <f>IFERROR(IF(VLOOKUP(E:E,'Old Report'!E:L,8,FALSE)="","",VLOOKUP(E:E,'Old Report'!E:L,8,FALSE)),"")</f>
        <v/>
      </c>
      <c r="M543" s="5" t="str">
        <f t="shared" si="43"/>
        <v/>
      </c>
      <c r="N543" s="5" t="str">
        <f t="shared" si="44"/>
        <v/>
      </c>
    </row>
    <row r="544" spans="1:14" x14ac:dyDescent="0.25">
      <c r="A544" s="5">
        <v>543</v>
      </c>
      <c r="B544" s="5">
        <f t="shared" si="41"/>
        <v>0</v>
      </c>
      <c r="C544" s="5" t="str">
        <f t="shared" si="40"/>
        <v/>
      </c>
      <c r="D544" s="5" t="str">
        <f>IFERROR(IF(F544&lt;&gt;"",F544,VLOOKUP(MAX(C$2:C544),A$2:F544,2,FALSE)),"")</f>
        <v/>
      </c>
      <c r="E544" s="5" t="str">
        <f t="shared" si="42"/>
        <v/>
      </c>
      <c r="K544" t="str">
        <f>IFERROR(IF(VLOOKUP(E:E,'Old Report'!E:J,6,FALSE)="","",VLOOKUP(E:E,'Old Report'!E:J,6,FALSE)),"")</f>
        <v/>
      </c>
      <c r="L544" t="str">
        <f>IFERROR(IF(VLOOKUP(E:E,'Old Report'!E:L,8,FALSE)="","",VLOOKUP(E:E,'Old Report'!E:L,8,FALSE)),"")</f>
        <v/>
      </c>
      <c r="M544" s="5" t="str">
        <f t="shared" si="43"/>
        <v/>
      </c>
      <c r="N544" s="5" t="str">
        <f t="shared" si="44"/>
        <v/>
      </c>
    </row>
    <row r="545" spans="1:14" x14ac:dyDescent="0.25">
      <c r="A545" s="5">
        <v>544</v>
      </c>
      <c r="B545" s="5">
        <f t="shared" si="41"/>
        <v>0</v>
      </c>
      <c r="C545" s="5" t="str">
        <f t="shared" si="40"/>
        <v/>
      </c>
      <c r="D545" s="5" t="str">
        <f>IFERROR(IF(F545&lt;&gt;"",F545,VLOOKUP(MAX(C$2:C545),A$2:F545,2,FALSE)),"")</f>
        <v/>
      </c>
      <c r="E545" s="5" t="str">
        <f t="shared" si="42"/>
        <v/>
      </c>
      <c r="K545" t="str">
        <f>IFERROR(IF(VLOOKUP(E:E,'Old Report'!E:J,6,FALSE)="","",VLOOKUP(E:E,'Old Report'!E:J,6,FALSE)),"")</f>
        <v/>
      </c>
      <c r="L545" t="str">
        <f>IFERROR(IF(VLOOKUP(E:E,'Old Report'!E:L,8,FALSE)="","",VLOOKUP(E:E,'Old Report'!E:L,8,FALSE)),"")</f>
        <v/>
      </c>
      <c r="M545" s="5" t="str">
        <f t="shared" si="43"/>
        <v/>
      </c>
      <c r="N545" s="5" t="str">
        <f t="shared" si="44"/>
        <v/>
      </c>
    </row>
    <row r="546" spans="1:14" x14ac:dyDescent="0.25">
      <c r="A546" s="5">
        <v>545</v>
      </c>
      <c r="B546" s="5">
        <f t="shared" si="41"/>
        <v>0</v>
      </c>
      <c r="C546" s="5" t="str">
        <f t="shared" si="40"/>
        <v/>
      </c>
      <c r="D546" s="5" t="str">
        <f>IFERROR(IF(F546&lt;&gt;"",F546,VLOOKUP(MAX(C$2:C546),A$2:F546,2,FALSE)),"")</f>
        <v/>
      </c>
      <c r="E546" s="5" t="str">
        <f t="shared" si="42"/>
        <v/>
      </c>
      <c r="K546" t="str">
        <f>IFERROR(IF(VLOOKUP(E:E,'Old Report'!E:J,6,FALSE)="","",VLOOKUP(E:E,'Old Report'!E:J,6,FALSE)),"")</f>
        <v/>
      </c>
      <c r="L546" t="str">
        <f>IFERROR(IF(VLOOKUP(E:E,'Old Report'!E:L,8,FALSE)="","",VLOOKUP(E:E,'Old Report'!E:L,8,FALSE)),"")</f>
        <v/>
      </c>
      <c r="M546" s="5" t="str">
        <f t="shared" si="43"/>
        <v/>
      </c>
      <c r="N546" s="5" t="str">
        <f t="shared" si="44"/>
        <v/>
      </c>
    </row>
    <row r="547" spans="1:14" x14ac:dyDescent="0.25">
      <c r="A547" s="5">
        <v>546</v>
      </c>
      <c r="B547" s="5">
        <f t="shared" si="41"/>
        <v>0</v>
      </c>
      <c r="C547" s="5" t="str">
        <f t="shared" si="40"/>
        <v/>
      </c>
      <c r="D547" s="5" t="str">
        <f>IFERROR(IF(F547&lt;&gt;"",F547,VLOOKUP(MAX(C$2:C547),A$2:F547,2,FALSE)),"")</f>
        <v/>
      </c>
      <c r="E547" s="5" t="str">
        <f t="shared" si="42"/>
        <v/>
      </c>
      <c r="K547" t="str">
        <f>IFERROR(IF(VLOOKUP(E:E,'Old Report'!E:J,6,FALSE)="","",VLOOKUP(E:E,'Old Report'!E:J,6,FALSE)),"")</f>
        <v/>
      </c>
      <c r="L547" t="str">
        <f>IFERROR(IF(VLOOKUP(E:E,'Old Report'!E:L,8,FALSE)="","",VLOOKUP(E:E,'Old Report'!E:L,8,FALSE)),"")</f>
        <v/>
      </c>
      <c r="M547" s="5" t="str">
        <f t="shared" si="43"/>
        <v/>
      </c>
      <c r="N547" s="5" t="str">
        <f t="shared" si="44"/>
        <v/>
      </c>
    </row>
    <row r="548" spans="1:14" x14ac:dyDescent="0.25">
      <c r="A548" s="5">
        <v>547</v>
      </c>
      <c r="B548" s="5">
        <f t="shared" si="41"/>
        <v>0</v>
      </c>
      <c r="C548" s="5" t="str">
        <f t="shared" si="40"/>
        <v/>
      </c>
      <c r="D548" s="5" t="str">
        <f>IFERROR(IF(F548&lt;&gt;"",F548,VLOOKUP(MAX(C$2:C548),A$2:F548,2,FALSE)),"")</f>
        <v/>
      </c>
      <c r="E548" s="5" t="str">
        <f t="shared" si="42"/>
        <v/>
      </c>
      <c r="K548" t="str">
        <f>IFERROR(IF(VLOOKUP(E:E,'Old Report'!E:J,6,FALSE)="","",VLOOKUP(E:E,'Old Report'!E:J,6,FALSE)),"")</f>
        <v/>
      </c>
      <c r="L548" t="str">
        <f>IFERROR(IF(VLOOKUP(E:E,'Old Report'!E:L,8,FALSE)="","",VLOOKUP(E:E,'Old Report'!E:L,8,FALSE)),"")</f>
        <v/>
      </c>
      <c r="M548" s="5" t="str">
        <f t="shared" si="43"/>
        <v/>
      </c>
      <c r="N548" s="5" t="str">
        <f t="shared" si="44"/>
        <v/>
      </c>
    </row>
    <row r="549" spans="1:14" x14ac:dyDescent="0.25">
      <c r="A549" s="5">
        <v>548</v>
      </c>
      <c r="B549" s="5">
        <f t="shared" si="41"/>
        <v>0</v>
      </c>
      <c r="C549" s="5" t="str">
        <f t="shared" si="40"/>
        <v/>
      </c>
      <c r="D549" s="5" t="str">
        <f>IFERROR(IF(F549&lt;&gt;"",F549,VLOOKUP(MAX(C$2:C549),A$2:F549,2,FALSE)),"")</f>
        <v/>
      </c>
      <c r="E549" s="5" t="str">
        <f t="shared" si="42"/>
        <v/>
      </c>
      <c r="K549" t="str">
        <f>IFERROR(IF(VLOOKUP(E:E,'Old Report'!E:J,6,FALSE)="","",VLOOKUP(E:E,'Old Report'!E:J,6,FALSE)),"")</f>
        <v/>
      </c>
      <c r="L549" t="str">
        <f>IFERROR(IF(VLOOKUP(E:E,'Old Report'!E:L,8,FALSE)="","",VLOOKUP(E:E,'Old Report'!E:L,8,FALSE)),"")</f>
        <v/>
      </c>
      <c r="M549" s="5" t="str">
        <f t="shared" si="43"/>
        <v/>
      </c>
      <c r="N549" s="5" t="str">
        <f t="shared" si="44"/>
        <v/>
      </c>
    </row>
    <row r="550" spans="1:14" x14ac:dyDescent="0.25">
      <c r="A550" s="5">
        <v>549</v>
      </c>
      <c r="B550" s="5">
        <f t="shared" si="41"/>
        <v>0</v>
      </c>
      <c r="C550" s="5" t="str">
        <f t="shared" si="40"/>
        <v/>
      </c>
      <c r="D550" s="5" t="str">
        <f>IFERROR(IF(F550&lt;&gt;"",F550,VLOOKUP(MAX(C$2:C550),A$2:F550,2,FALSE)),"")</f>
        <v/>
      </c>
      <c r="E550" s="5" t="str">
        <f t="shared" si="42"/>
        <v/>
      </c>
      <c r="K550" t="str">
        <f>IFERROR(IF(VLOOKUP(E:E,'Old Report'!E:J,6,FALSE)="","",VLOOKUP(E:E,'Old Report'!E:J,6,FALSE)),"")</f>
        <v/>
      </c>
      <c r="L550" t="str">
        <f>IFERROR(IF(VLOOKUP(E:E,'Old Report'!E:L,8,FALSE)="","",VLOOKUP(E:E,'Old Report'!E:L,8,FALSE)),"")</f>
        <v/>
      </c>
      <c r="M550" s="5" t="str">
        <f t="shared" si="43"/>
        <v/>
      </c>
      <c r="N550" s="5" t="str">
        <f t="shared" si="44"/>
        <v/>
      </c>
    </row>
    <row r="551" spans="1:14" x14ac:dyDescent="0.25">
      <c r="A551" s="5">
        <v>550</v>
      </c>
      <c r="B551" s="5">
        <f t="shared" si="41"/>
        <v>0</v>
      </c>
      <c r="C551" s="5" t="str">
        <f t="shared" si="40"/>
        <v/>
      </c>
      <c r="D551" s="5" t="str">
        <f>IFERROR(IF(F551&lt;&gt;"",F551,VLOOKUP(MAX(C$2:C551),A$2:F551,2,FALSE)),"")</f>
        <v/>
      </c>
      <c r="E551" s="5" t="str">
        <f t="shared" si="42"/>
        <v/>
      </c>
      <c r="K551" t="str">
        <f>IFERROR(IF(VLOOKUP(E:E,'Old Report'!E:J,6,FALSE)="","",VLOOKUP(E:E,'Old Report'!E:J,6,FALSE)),"")</f>
        <v/>
      </c>
      <c r="L551" t="str">
        <f>IFERROR(IF(VLOOKUP(E:E,'Old Report'!E:L,8,FALSE)="","",VLOOKUP(E:E,'Old Report'!E:L,8,FALSE)),"")</f>
        <v/>
      </c>
      <c r="M551" s="5" t="str">
        <f t="shared" si="43"/>
        <v/>
      </c>
      <c r="N551" s="5" t="str">
        <f t="shared" si="44"/>
        <v/>
      </c>
    </row>
    <row r="552" spans="1:14" x14ac:dyDescent="0.25">
      <c r="A552" s="5">
        <v>551</v>
      </c>
      <c r="B552" s="5">
        <f t="shared" si="41"/>
        <v>0</v>
      </c>
      <c r="C552" s="5" t="str">
        <f t="shared" si="40"/>
        <v/>
      </c>
      <c r="D552" s="5" t="str">
        <f>IFERROR(IF(F552&lt;&gt;"",F552,VLOOKUP(MAX(C$2:C552),A$2:F552,2,FALSE)),"")</f>
        <v/>
      </c>
      <c r="E552" s="5" t="str">
        <f t="shared" si="42"/>
        <v/>
      </c>
      <c r="K552" t="str">
        <f>IFERROR(IF(VLOOKUP(E:E,'Old Report'!E:J,6,FALSE)="","",VLOOKUP(E:E,'Old Report'!E:J,6,FALSE)),"")</f>
        <v/>
      </c>
      <c r="L552" t="str">
        <f>IFERROR(IF(VLOOKUP(E:E,'Old Report'!E:L,8,FALSE)="","",VLOOKUP(E:E,'Old Report'!E:L,8,FALSE)),"")</f>
        <v/>
      </c>
      <c r="M552" s="5" t="str">
        <f t="shared" si="43"/>
        <v/>
      </c>
      <c r="N552" s="5" t="str">
        <f t="shared" si="44"/>
        <v/>
      </c>
    </row>
    <row r="553" spans="1:14" x14ac:dyDescent="0.25">
      <c r="A553" s="5">
        <v>552</v>
      </c>
      <c r="B553" s="5">
        <f t="shared" si="41"/>
        <v>0</v>
      </c>
      <c r="C553" s="5" t="str">
        <f t="shared" si="40"/>
        <v/>
      </c>
      <c r="D553" s="5" t="str">
        <f>IFERROR(IF(F553&lt;&gt;"",F553,VLOOKUP(MAX(C$2:C553),A$2:F553,2,FALSE)),"")</f>
        <v/>
      </c>
      <c r="E553" s="5" t="str">
        <f t="shared" si="42"/>
        <v/>
      </c>
      <c r="K553" t="str">
        <f>IFERROR(IF(VLOOKUP(E:E,'Old Report'!E:J,6,FALSE)="","",VLOOKUP(E:E,'Old Report'!E:J,6,FALSE)),"")</f>
        <v/>
      </c>
      <c r="L553" t="str">
        <f>IFERROR(IF(VLOOKUP(E:E,'Old Report'!E:L,8,FALSE)="","",VLOOKUP(E:E,'Old Report'!E:L,8,FALSE)),"")</f>
        <v/>
      </c>
      <c r="M553" s="5" t="str">
        <f t="shared" si="43"/>
        <v/>
      </c>
      <c r="N553" s="5" t="str">
        <f t="shared" si="44"/>
        <v/>
      </c>
    </row>
    <row r="554" spans="1:14" x14ac:dyDescent="0.25">
      <c r="A554" s="5">
        <v>553</v>
      </c>
      <c r="B554" s="5">
        <f t="shared" si="41"/>
        <v>0</v>
      </c>
      <c r="C554" s="5" t="str">
        <f t="shared" si="40"/>
        <v/>
      </c>
      <c r="D554" s="5" t="str">
        <f>IFERROR(IF(F554&lt;&gt;"",F554,VLOOKUP(MAX(C$2:C554),A$2:F554,2,FALSE)),"")</f>
        <v/>
      </c>
      <c r="E554" s="5" t="str">
        <f t="shared" si="42"/>
        <v/>
      </c>
      <c r="K554" t="str">
        <f>IFERROR(IF(VLOOKUP(E:E,'Old Report'!E:J,6,FALSE)="","",VLOOKUP(E:E,'Old Report'!E:J,6,FALSE)),"")</f>
        <v/>
      </c>
      <c r="L554" t="str">
        <f>IFERROR(IF(VLOOKUP(E:E,'Old Report'!E:L,8,FALSE)="","",VLOOKUP(E:E,'Old Report'!E:L,8,FALSE)),"")</f>
        <v/>
      </c>
      <c r="M554" s="5" t="str">
        <f t="shared" si="43"/>
        <v/>
      </c>
      <c r="N554" s="5" t="str">
        <f t="shared" si="44"/>
        <v/>
      </c>
    </row>
    <row r="555" spans="1:14" x14ac:dyDescent="0.25">
      <c r="A555" s="5">
        <v>554</v>
      </c>
      <c r="B555" s="5">
        <f t="shared" si="41"/>
        <v>0</v>
      </c>
      <c r="C555" s="5" t="str">
        <f t="shared" si="40"/>
        <v/>
      </c>
      <c r="D555" s="5" t="str">
        <f>IFERROR(IF(F555&lt;&gt;"",F555,VLOOKUP(MAX(C$2:C555),A$2:F555,2,FALSE)),"")</f>
        <v/>
      </c>
      <c r="E555" s="5" t="str">
        <f t="shared" si="42"/>
        <v/>
      </c>
      <c r="K555" t="str">
        <f>IFERROR(IF(VLOOKUP(E:E,'Old Report'!E:J,6,FALSE)="","",VLOOKUP(E:E,'Old Report'!E:J,6,FALSE)),"")</f>
        <v/>
      </c>
      <c r="L555" t="str">
        <f>IFERROR(IF(VLOOKUP(E:E,'Old Report'!E:L,8,FALSE)="","",VLOOKUP(E:E,'Old Report'!E:L,8,FALSE)),"")</f>
        <v/>
      </c>
      <c r="M555" s="5" t="str">
        <f t="shared" si="43"/>
        <v/>
      </c>
      <c r="N555" s="5" t="str">
        <f t="shared" si="44"/>
        <v/>
      </c>
    </row>
    <row r="556" spans="1:14" x14ac:dyDescent="0.25">
      <c r="A556" s="5">
        <v>555</v>
      </c>
      <c r="B556" s="5">
        <f t="shared" si="41"/>
        <v>0</v>
      </c>
      <c r="C556" s="5" t="str">
        <f t="shared" si="40"/>
        <v/>
      </c>
      <c r="D556" s="5" t="str">
        <f>IFERROR(IF(F556&lt;&gt;"",F556,VLOOKUP(MAX(C$2:C556),A$2:F556,2,FALSE)),"")</f>
        <v/>
      </c>
      <c r="E556" s="5" t="str">
        <f t="shared" si="42"/>
        <v/>
      </c>
      <c r="K556" t="str">
        <f>IFERROR(IF(VLOOKUP(E:E,'Old Report'!E:J,6,FALSE)="","",VLOOKUP(E:E,'Old Report'!E:J,6,FALSE)),"")</f>
        <v/>
      </c>
      <c r="L556" t="str">
        <f>IFERROR(IF(VLOOKUP(E:E,'Old Report'!E:L,8,FALSE)="","",VLOOKUP(E:E,'Old Report'!E:L,8,FALSE)),"")</f>
        <v/>
      </c>
      <c r="M556" s="5" t="str">
        <f t="shared" si="43"/>
        <v/>
      </c>
      <c r="N556" s="5" t="str">
        <f t="shared" si="44"/>
        <v/>
      </c>
    </row>
    <row r="557" spans="1:14" x14ac:dyDescent="0.25">
      <c r="A557" s="5">
        <v>556</v>
      </c>
      <c r="B557" s="5">
        <f t="shared" si="41"/>
        <v>0</v>
      </c>
      <c r="C557" s="5" t="str">
        <f t="shared" si="40"/>
        <v/>
      </c>
      <c r="D557" s="5" t="str">
        <f>IFERROR(IF(F557&lt;&gt;"",F557,VLOOKUP(MAX(C$2:C557),A$2:F557,2,FALSE)),"")</f>
        <v/>
      </c>
      <c r="E557" s="5" t="str">
        <f t="shared" si="42"/>
        <v/>
      </c>
      <c r="K557" t="str">
        <f>IFERROR(IF(VLOOKUP(E:E,'Old Report'!E:J,6,FALSE)="","",VLOOKUP(E:E,'Old Report'!E:J,6,FALSE)),"")</f>
        <v/>
      </c>
      <c r="L557" t="str">
        <f>IFERROR(IF(VLOOKUP(E:E,'Old Report'!E:L,8,FALSE)="","",VLOOKUP(E:E,'Old Report'!E:L,8,FALSE)),"")</f>
        <v/>
      </c>
      <c r="M557" s="5" t="str">
        <f t="shared" si="43"/>
        <v/>
      </c>
      <c r="N557" s="5" t="str">
        <f t="shared" si="44"/>
        <v/>
      </c>
    </row>
    <row r="558" spans="1:14" x14ac:dyDescent="0.25">
      <c r="A558" s="5">
        <v>557</v>
      </c>
      <c r="B558" s="5">
        <f t="shared" si="41"/>
        <v>0</v>
      </c>
      <c r="C558" s="5" t="str">
        <f t="shared" si="40"/>
        <v/>
      </c>
      <c r="D558" s="5" t="str">
        <f>IFERROR(IF(F558&lt;&gt;"",F558,VLOOKUP(MAX(C$2:C558),A$2:F558,2,FALSE)),"")</f>
        <v/>
      </c>
      <c r="E558" s="5" t="str">
        <f t="shared" si="42"/>
        <v/>
      </c>
      <c r="K558" t="str">
        <f>IFERROR(IF(VLOOKUP(E:E,'Old Report'!E:J,6,FALSE)="","",VLOOKUP(E:E,'Old Report'!E:J,6,FALSE)),"")</f>
        <v/>
      </c>
      <c r="L558" t="str">
        <f>IFERROR(IF(VLOOKUP(E:E,'Old Report'!E:L,8,FALSE)="","",VLOOKUP(E:E,'Old Report'!E:L,8,FALSE)),"")</f>
        <v/>
      </c>
      <c r="M558" s="5" t="str">
        <f t="shared" si="43"/>
        <v/>
      </c>
      <c r="N558" s="5" t="str">
        <f t="shared" si="44"/>
        <v/>
      </c>
    </row>
    <row r="559" spans="1:14" x14ac:dyDescent="0.25">
      <c r="A559" s="5">
        <v>558</v>
      </c>
      <c r="B559" s="5">
        <f t="shared" si="41"/>
        <v>0</v>
      </c>
      <c r="C559" s="5" t="str">
        <f t="shared" si="40"/>
        <v/>
      </c>
      <c r="D559" s="5" t="str">
        <f>IFERROR(IF(F559&lt;&gt;"",F559,VLOOKUP(MAX(C$2:C559),A$2:F559,2,FALSE)),"")</f>
        <v/>
      </c>
      <c r="E559" s="5" t="str">
        <f t="shared" si="42"/>
        <v/>
      </c>
      <c r="K559" t="str">
        <f>IFERROR(IF(VLOOKUP(E:E,'Old Report'!E:J,6,FALSE)="","",VLOOKUP(E:E,'Old Report'!E:J,6,FALSE)),"")</f>
        <v/>
      </c>
      <c r="L559" t="str">
        <f>IFERROR(IF(VLOOKUP(E:E,'Old Report'!E:L,8,FALSE)="","",VLOOKUP(E:E,'Old Report'!E:L,8,FALSE)),"")</f>
        <v/>
      </c>
      <c r="M559" s="5" t="str">
        <f t="shared" si="43"/>
        <v/>
      </c>
      <c r="N559" s="5" t="str">
        <f t="shared" si="44"/>
        <v/>
      </c>
    </row>
    <row r="560" spans="1:14" x14ac:dyDescent="0.25">
      <c r="A560" s="5">
        <v>559</v>
      </c>
      <c r="B560" s="5">
        <f t="shared" si="41"/>
        <v>0</v>
      </c>
      <c r="C560" s="5" t="str">
        <f t="shared" si="40"/>
        <v/>
      </c>
      <c r="D560" s="5" t="str">
        <f>IFERROR(IF(F560&lt;&gt;"",F560,VLOOKUP(MAX(C$2:C560),A$2:F560,2,FALSE)),"")</f>
        <v/>
      </c>
      <c r="E560" s="5" t="str">
        <f t="shared" si="42"/>
        <v/>
      </c>
      <c r="K560" t="str">
        <f>IFERROR(IF(VLOOKUP(E:E,'Old Report'!E:J,6,FALSE)="","",VLOOKUP(E:E,'Old Report'!E:J,6,FALSE)),"")</f>
        <v/>
      </c>
      <c r="L560" t="str">
        <f>IFERROR(IF(VLOOKUP(E:E,'Old Report'!E:L,8,FALSE)="","",VLOOKUP(E:E,'Old Report'!E:L,8,FALSE)),"")</f>
        <v/>
      </c>
      <c r="M560" s="5" t="str">
        <f t="shared" si="43"/>
        <v/>
      </c>
      <c r="N560" s="5" t="str">
        <f t="shared" si="44"/>
        <v/>
      </c>
    </row>
    <row r="561" spans="1:14" x14ac:dyDescent="0.25">
      <c r="A561" s="5">
        <v>560</v>
      </c>
      <c r="B561" s="5">
        <f t="shared" si="41"/>
        <v>0</v>
      </c>
      <c r="C561" s="5" t="str">
        <f t="shared" si="40"/>
        <v/>
      </c>
      <c r="D561" s="5" t="str">
        <f>IFERROR(IF(F561&lt;&gt;"",F561,VLOOKUP(MAX(C$2:C561),A$2:F561,2,FALSE)),"")</f>
        <v/>
      </c>
      <c r="E561" s="5" t="str">
        <f t="shared" si="42"/>
        <v/>
      </c>
      <c r="K561" t="str">
        <f>IFERROR(IF(VLOOKUP(E:E,'Old Report'!E:J,6,FALSE)="","",VLOOKUP(E:E,'Old Report'!E:J,6,FALSE)),"")</f>
        <v/>
      </c>
      <c r="L561" t="str">
        <f>IFERROR(IF(VLOOKUP(E:E,'Old Report'!E:L,8,FALSE)="","",VLOOKUP(E:E,'Old Report'!E:L,8,FALSE)),"")</f>
        <v/>
      </c>
      <c r="M561" s="5" t="str">
        <f t="shared" si="43"/>
        <v/>
      </c>
      <c r="N561" s="5" t="str">
        <f t="shared" si="44"/>
        <v/>
      </c>
    </row>
    <row r="562" spans="1:14" x14ac:dyDescent="0.25">
      <c r="A562" s="5">
        <v>561</v>
      </c>
      <c r="B562" s="5">
        <f t="shared" si="41"/>
        <v>0</v>
      </c>
      <c r="C562" s="5" t="str">
        <f t="shared" si="40"/>
        <v/>
      </c>
      <c r="D562" s="5" t="str">
        <f>IFERROR(IF(F562&lt;&gt;"",F562,VLOOKUP(MAX(C$2:C562),A$2:F562,2,FALSE)),"")</f>
        <v/>
      </c>
      <c r="E562" s="5" t="str">
        <f t="shared" si="42"/>
        <v/>
      </c>
      <c r="K562" t="str">
        <f>IFERROR(IF(VLOOKUP(E:E,'Old Report'!E:J,6,FALSE)="","",VLOOKUP(E:E,'Old Report'!E:J,6,FALSE)),"")</f>
        <v/>
      </c>
      <c r="L562" t="str">
        <f>IFERROR(IF(VLOOKUP(E:E,'Old Report'!E:L,8,FALSE)="","",VLOOKUP(E:E,'Old Report'!E:L,8,FALSE)),"")</f>
        <v/>
      </c>
      <c r="M562" s="5" t="str">
        <f t="shared" si="43"/>
        <v/>
      </c>
      <c r="N562" s="5" t="str">
        <f t="shared" si="44"/>
        <v/>
      </c>
    </row>
    <row r="563" spans="1:14" x14ac:dyDescent="0.25">
      <c r="A563" s="5">
        <v>562</v>
      </c>
      <c r="B563" s="5">
        <f t="shared" si="41"/>
        <v>0</v>
      </c>
      <c r="C563" s="5" t="str">
        <f t="shared" si="40"/>
        <v/>
      </c>
      <c r="D563" s="5" t="str">
        <f>IFERROR(IF(F563&lt;&gt;"",F563,VLOOKUP(MAX(C$2:C563),A$2:F563,2,FALSE)),"")</f>
        <v/>
      </c>
      <c r="E563" s="5" t="str">
        <f t="shared" si="42"/>
        <v/>
      </c>
      <c r="K563" t="str">
        <f>IFERROR(IF(VLOOKUP(E:E,'Old Report'!E:J,6,FALSE)="","",VLOOKUP(E:E,'Old Report'!E:J,6,FALSE)),"")</f>
        <v/>
      </c>
      <c r="L563" t="str">
        <f>IFERROR(IF(VLOOKUP(E:E,'Old Report'!E:L,8,FALSE)="","",VLOOKUP(E:E,'Old Report'!E:L,8,FALSE)),"")</f>
        <v/>
      </c>
      <c r="M563" s="5" t="str">
        <f t="shared" si="43"/>
        <v/>
      </c>
      <c r="N563" s="5" t="str">
        <f t="shared" si="44"/>
        <v/>
      </c>
    </row>
    <row r="564" spans="1:14" x14ac:dyDescent="0.25">
      <c r="A564" s="5">
        <v>563</v>
      </c>
      <c r="B564" s="5">
        <f t="shared" si="41"/>
        <v>0</v>
      </c>
      <c r="C564" s="5" t="str">
        <f t="shared" si="40"/>
        <v/>
      </c>
      <c r="D564" s="5" t="str">
        <f>IFERROR(IF(F564&lt;&gt;"",F564,VLOOKUP(MAX(C$2:C564),A$2:F564,2,FALSE)),"")</f>
        <v/>
      </c>
      <c r="E564" s="5" t="str">
        <f t="shared" si="42"/>
        <v/>
      </c>
      <c r="K564" t="str">
        <f>IFERROR(IF(VLOOKUP(E:E,'Old Report'!E:J,6,FALSE)="","",VLOOKUP(E:E,'Old Report'!E:J,6,FALSE)),"")</f>
        <v/>
      </c>
      <c r="L564" t="str">
        <f>IFERROR(IF(VLOOKUP(E:E,'Old Report'!E:L,8,FALSE)="","",VLOOKUP(E:E,'Old Report'!E:L,8,FALSE)),"")</f>
        <v/>
      </c>
      <c r="M564" s="5" t="str">
        <f t="shared" si="43"/>
        <v/>
      </c>
      <c r="N564" s="5" t="str">
        <f t="shared" si="44"/>
        <v/>
      </c>
    </row>
    <row r="565" spans="1:14" x14ac:dyDescent="0.25">
      <c r="A565" s="5">
        <v>564</v>
      </c>
      <c r="B565" s="5">
        <f t="shared" si="41"/>
        <v>0</v>
      </c>
      <c r="C565" s="5" t="str">
        <f t="shared" si="40"/>
        <v/>
      </c>
      <c r="D565" s="5" t="str">
        <f>IFERROR(IF(F565&lt;&gt;"",F565,VLOOKUP(MAX(C$2:C565),A$2:F565,2,FALSE)),"")</f>
        <v/>
      </c>
      <c r="E565" s="5" t="str">
        <f t="shared" si="42"/>
        <v/>
      </c>
      <c r="K565" t="str">
        <f>IFERROR(IF(VLOOKUP(E:E,'Old Report'!E:J,6,FALSE)="","",VLOOKUP(E:E,'Old Report'!E:J,6,FALSE)),"")</f>
        <v/>
      </c>
      <c r="L565" t="str">
        <f>IFERROR(IF(VLOOKUP(E:E,'Old Report'!E:L,8,FALSE)="","",VLOOKUP(E:E,'Old Report'!E:L,8,FALSE)),"")</f>
        <v/>
      </c>
      <c r="M565" s="5" t="str">
        <f t="shared" si="43"/>
        <v/>
      </c>
      <c r="N565" s="5" t="str">
        <f t="shared" si="44"/>
        <v/>
      </c>
    </row>
    <row r="566" spans="1:14" x14ac:dyDescent="0.25">
      <c r="A566" s="5">
        <v>565</v>
      </c>
      <c r="B566" s="5">
        <f t="shared" si="41"/>
        <v>0</v>
      </c>
      <c r="C566" s="5" t="str">
        <f t="shared" si="40"/>
        <v/>
      </c>
      <c r="D566" s="5" t="str">
        <f>IFERROR(IF(F566&lt;&gt;"",F566,VLOOKUP(MAX(C$2:C566),A$2:F566,2,FALSE)),"")</f>
        <v/>
      </c>
      <c r="E566" s="5" t="str">
        <f t="shared" si="42"/>
        <v/>
      </c>
      <c r="K566" t="str">
        <f>IFERROR(IF(VLOOKUP(E:E,'Old Report'!E:J,6,FALSE)="","",VLOOKUP(E:E,'Old Report'!E:J,6,FALSE)),"")</f>
        <v/>
      </c>
      <c r="L566" t="str">
        <f>IFERROR(IF(VLOOKUP(E:E,'Old Report'!E:L,8,FALSE)="","",VLOOKUP(E:E,'Old Report'!E:L,8,FALSE)),"")</f>
        <v/>
      </c>
      <c r="M566" s="5" t="str">
        <f t="shared" si="43"/>
        <v/>
      </c>
      <c r="N566" s="5" t="str">
        <f t="shared" si="44"/>
        <v/>
      </c>
    </row>
    <row r="567" spans="1:14" x14ac:dyDescent="0.25">
      <c r="A567" s="5">
        <v>566</v>
      </c>
      <c r="B567" s="5">
        <f t="shared" si="41"/>
        <v>0</v>
      </c>
      <c r="C567" s="5" t="str">
        <f t="shared" si="40"/>
        <v/>
      </c>
      <c r="D567" s="5" t="str">
        <f>IFERROR(IF(F567&lt;&gt;"",F567,VLOOKUP(MAX(C$2:C567),A$2:F567,2,FALSE)),"")</f>
        <v/>
      </c>
      <c r="E567" s="5" t="str">
        <f t="shared" si="42"/>
        <v/>
      </c>
      <c r="K567" t="str">
        <f>IFERROR(IF(VLOOKUP(E:E,'Old Report'!E:J,6,FALSE)="","",VLOOKUP(E:E,'Old Report'!E:J,6,FALSE)),"")</f>
        <v/>
      </c>
      <c r="L567" t="str">
        <f>IFERROR(IF(VLOOKUP(E:E,'Old Report'!E:L,8,FALSE)="","",VLOOKUP(E:E,'Old Report'!E:L,8,FALSE)),"")</f>
        <v/>
      </c>
      <c r="M567" s="5" t="str">
        <f t="shared" si="43"/>
        <v/>
      </c>
      <c r="N567" s="5" t="str">
        <f t="shared" si="44"/>
        <v/>
      </c>
    </row>
    <row r="568" spans="1:14" x14ac:dyDescent="0.25">
      <c r="A568" s="5">
        <v>567</v>
      </c>
      <c r="B568" s="5">
        <f t="shared" si="41"/>
        <v>0</v>
      </c>
      <c r="C568" s="5" t="str">
        <f t="shared" si="40"/>
        <v/>
      </c>
      <c r="D568" s="5" t="str">
        <f>IFERROR(IF(F568&lt;&gt;"",F568,VLOOKUP(MAX(C$2:C568),A$2:F568,2,FALSE)),"")</f>
        <v/>
      </c>
      <c r="E568" s="5" t="str">
        <f t="shared" si="42"/>
        <v/>
      </c>
      <c r="K568" t="str">
        <f>IFERROR(IF(VLOOKUP(E:E,'Old Report'!E:J,6,FALSE)="","",VLOOKUP(E:E,'Old Report'!E:J,6,FALSE)),"")</f>
        <v/>
      </c>
      <c r="L568" t="str">
        <f>IFERROR(IF(VLOOKUP(E:E,'Old Report'!E:L,8,FALSE)="","",VLOOKUP(E:E,'Old Report'!E:L,8,FALSE)),"")</f>
        <v/>
      </c>
      <c r="M568" s="5" t="str">
        <f t="shared" si="43"/>
        <v/>
      </c>
      <c r="N568" s="5" t="str">
        <f t="shared" si="44"/>
        <v/>
      </c>
    </row>
    <row r="569" spans="1:14" x14ac:dyDescent="0.25">
      <c r="A569" s="5">
        <v>568</v>
      </c>
      <c r="B569" s="5">
        <f t="shared" si="41"/>
        <v>0</v>
      </c>
      <c r="C569" s="5" t="str">
        <f t="shared" si="40"/>
        <v/>
      </c>
      <c r="D569" s="5" t="str">
        <f>IFERROR(IF(F569&lt;&gt;"",F569,VLOOKUP(MAX(C$2:C569),A$2:F569,2,FALSE)),"")</f>
        <v/>
      </c>
      <c r="E569" s="5" t="str">
        <f t="shared" si="42"/>
        <v/>
      </c>
      <c r="K569" t="str">
        <f>IFERROR(IF(VLOOKUP(E:E,'Old Report'!E:J,6,FALSE)="","",VLOOKUP(E:E,'Old Report'!E:J,6,FALSE)),"")</f>
        <v/>
      </c>
      <c r="L569" t="str">
        <f>IFERROR(IF(VLOOKUP(E:E,'Old Report'!E:L,8,FALSE)="","",VLOOKUP(E:E,'Old Report'!E:L,8,FALSE)),"")</f>
        <v/>
      </c>
      <c r="M569" s="5" t="str">
        <f t="shared" si="43"/>
        <v/>
      </c>
      <c r="N569" s="5" t="str">
        <f t="shared" si="44"/>
        <v/>
      </c>
    </row>
    <row r="570" spans="1:14" x14ac:dyDescent="0.25">
      <c r="A570" s="5">
        <v>569</v>
      </c>
      <c r="B570" s="5">
        <f t="shared" si="41"/>
        <v>0</v>
      </c>
      <c r="C570" s="5" t="str">
        <f t="shared" si="40"/>
        <v/>
      </c>
      <c r="D570" s="5" t="str">
        <f>IFERROR(IF(F570&lt;&gt;"",F570,VLOOKUP(MAX(C$2:C570),A$2:F570,2,FALSE)),"")</f>
        <v/>
      </c>
      <c r="E570" s="5" t="str">
        <f t="shared" si="42"/>
        <v/>
      </c>
      <c r="K570" t="str">
        <f>IFERROR(IF(VLOOKUP(E:E,'Old Report'!E:J,6,FALSE)="","",VLOOKUP(E:E,'Old Report'!E:J,6,FALSE)),"")</f>
        <v/>
      </c>
      <c r="L570" t="str">
        <f>IFERROR(IF(VLOOKUP(E:E,'Old Report'!E:L,8,FALSE)="","",VLOOKUP(E:E,'Old Report'!E:L,8,FALSE)),"")</f>
        <v/>
      </c>
      <c r="M570" s="5" t="str">
        <f t="shared" si="43"/>
        <v/>
      </c>
      <c r="N570" s="5" t="str">
        <f t="shared" si="44"/>
        <v/>
      </c>
    </row>
    <row r="571" spans="1:14" x14ac:dyDescent="0.25">
      <c r="A571" s="5">
        <v>570</v>
      </c>
      <c r="B571" s="5">
        <f t="shared" si="41"/>
        <v>0</v>
      </c>
      <c r="C571" s="5" t="str">
        <f t="shared" si="40"/>
        <v/>
      </c>
      <c r="D571" s="5" t="str">
        <f>IFERROR(IF(F571&lt;&gt;"",F571,VLOOKUP(MAX(C$2:C571),A$2:F571,2,FALSE)),"")</f>
        <v/>
      </c>
      <c r="E571" s="5" t="str">
        <f t="shared" si="42"/>
        <v/>
      </c>
      <c r="K571" t="str">
        <f>IFERROR(IF(VLOOKUP(E:E,'Old Report'!E:J,6,FALSE)="","",VLOOKUP(E:E,'Old Report'!E:J,6,FALSE)),"")</f>
        <v/>
      </c>
      <c r="L571" t="str">
        <f>IFERROR(IF(VLOOKUP(E:E,'Old Report'!E:L,8,FALSE)="","",VLOOKUP(E:E,'Old Report'!E:L,8,FALSE)),"")</f>
        <v/>
      </c>
      <c r="M571" s="5" t="str">
        <f t="shared" si="43"/>
        <v/>
      </c>
      <c r="N571" s="5" t="str">
        <f t="shared" si="44"/>
        <v/>
      </c>
    </row>
    <row r="572" spans="1:14" x14ac:dyDescent="0.25">
      <c r="A572" s="5">
        <v>571</v>
      </c>
      <c r="B572" s="5">
        <f t="shared" si="41"/>
        <v>0</v>
      </c>
      <c r="C572" s="5" t="str">
        <f t="shared" si="40"/>
        <v/>
      </c>
      <c r="D572" s="5" t="str">
        <f>IFERROR(IF(F572&lt;&gt;"",F572,VLOOKUP(MAX(C$2:C572),A$2:F572,2,FALSE)),"")</f>
        <v/>
      </c>
      <c r="E572" s="5" t="str">
        <f t="shared" si="42"/>
        <v/>
      </c>
      <c r="K572" t="str">
        <f>IFERROR(IF(VLOOKUP(E:E,'Old Report'!E:J,6,FALSE)="","",VLOOKUP(E:E,'Old Report'!E:J,6,FALSE)),"")</f>
        <v/>
      </c>
      <c r="L572" t="str">
        <f>IFERROR(IF(VLOOKUP(E:E,'Old Report'!E:L,8,FALSE)="","",VLOOKUP(E:E,'Old Report'!E:L,8,FALSE)),"")</f>
        <v/>
      </c>
      <c r="M572" s="5" t="str">
        <f t="shared" si="43"/>
        <v/>
      </c>
      <c r="N572" s="5" t="str">
        <f t="shared" si="44"/>
        <v/>
      </c>
    </row>
    <row r="573" spans="1:14" x14ac:dyDescent="0.25">
      <c r="A573" s="5">
        <v>572</v>
      </c>
      <c r="B573" s="5">
        <f t="shared" si="41"/>
        <v>0</v>
      </c>
      <c r="C573" s="5" t="str">
        <f t="shared" si="40"/>
        <v/>
      </c>
      <c r="D573" s="5" t="str">
        <f>IFERROR(IF(F573&lt;&gt;"",F573,VLOOKUP(MAX(C$2:C573),A$2:F573,2,FALSE)),"")</f>
        <v/>
      </c>
      <c r="E573" s="5" t="str">
        <f t="shared" si="42"/>
        <v/>
      </c>
      <c r="K573" t="str">
        <f>IFERROR(IF(VLOOKUP(E:E,'Old Report'!E:J,6,FALSE)="","",VLOOKUP(E:E,'Old Report'!E:J,6,FALSE)),"")</f>
        <v/>
      </c>
      <c r="L573" t="str">
        <f>IFERROR(IF(VLOOKUP(E:E,'Old Report'!E:L,8,FALSE)="","",VLOOKUP(E:E,'Old Report'!E:L,8,FALSE)),"")</f>
        <v/>
      </c>
      <c r="M573" s="5" t="str">
        <f t="shared" si="43"/>
        <v/>
      </c>
      <c r="N573" s="5" t="str">
        <f t="shared" si="44"/>
        <v/>
      </c>
    </row>
    <row r="574" spans="1:14" x14ac:dyDescent="0.25">
      <c r="A574" s="5">
        <v>573</v>
      </c>
      <c r="B574" s="5">
        <f t="shared" si="41"/>
        <v>0</v>
      </c>
      <c r="C574" s="5" t="str">
        <f t="shared" si="40"/>
        <v/>
      </c>
      <c r="D574" s="5" t="str">
        <f>IFERROR(IF(F574&lt;&gt;"",F574,VLOOKUP(MAX(C$2:C574),A$2:F574,2,FALSE)),"")</f>
        <v/>
      </c>
      <c r="E574" s="5" t="str">
        <f t="shared" si="42"/>
        <v/>
      </c>
      <c r="K574" t="str">
        <f>IFERROR(IF(VLOOKUP(E:E,'Old Report'!E:J,6,FALSE)="","",VLOOKUP(E:E,'Old Report'!E:J,6,FALSE)),"")</f>
        <v/>
      </c>
      <c r="L574" t="str">
        <f>IFERROR(IF(VLOOKUP(E:E,'Old Report'!E:L,8,FALSE)="","",VLOOKUP(E:E,'Old Report'!E:L,8,FALSE)),"")</f>
        <v/>
      </c>
      <c r="M574" s="5" t="str">
        <f t="shared" si="43"/>
        <v/>
      </c>
      <c r="N574" s="5" t="str">
        <f t="shared" si="44"/>
        <v/>
      </c>
    </row>
    <row r="575" spans="1:14" x14ac:dyDescent="0.25">
      <c r="A575" s="5">
        <v>574</v>
      </c>
      <c r="B575" s="5">
        <f t="shared" si="41"/>
        <v>0</v>
      </c>
      <c r="C575" s="5" t="str">
        <f t="shared" si="40"/>
        <v/>
      </c>
      <c r="D575" s="5" t="str">
        <f>IFERROR(IF(F575&lt;&gt;"",F575,VLOOKUP(MAX(C$2:C575),A$2:F575,2,FALSE)),"")</f>
        <v/>
      </c>
      <c r="E575" s="5" t="str">
        <f t="shared" si="42"/>
        <v/>
      </c>
      <c r="K575" t="str">
        <f>IFERROR(IF(VLOOKUP(E:E,'Old Report'!E:J,6,FALSE)="","",VLOOKUP(E:E,'Old Report'!E:J,6,FALSE)),"")</f>
        <v/>
      </c>
      <c r="L575" t="str">
        <f>IFERROR(IF(VLOOKUP(E:E,'Old Report'!E:L,8,FALSE)="","",VLOOKUP(E:E,'Old Report'!E:L,8,FALSE)),"")</f>
        <v/>
      </c>
      <c r="M575" s="5" t="str">
        <f t="shared" si="43"/>
        <v/>
      </c>
      <c r="N575" s="5" t="str">
        <f t="shared" si="44"/>
        <v/>
      </c>
    </row>
    <row r="576" spans="1:14" x14ac:dyDescent="0.25">
      <c r="A576" s="5">
        <v>575</v>
      </c>
      <c r="B576" s="5">
        <f t="shared" si="41"/>
        <v>0</v>
      </c>
      <c r="C576" s="5" t="str">
        <f t="shared" si="40"/>
        <v/>
      </c>
      <c r="D576" s="5" t="str">
        <f>IFERROR(IF(F576&lt;&gt;"",F576,VLOOKUP(MAX(C$2:C576),A$2:F576,2,FALSE)),"")</f>
        <v/>
      </c>
      <c r="E576" s="5" t="str">
        <f t="shared" si="42"/>
        <v/>
      </c>
      <c r="K576" t="str">
        <f>IFERROR(IF(VLOOKUP(E:E,'Old Report'!E:J,6,FALSE)="","",VLOOKUP(E:E,'Old Report'!E:J,6,FALSE)),"")</f>
        <v/>
      </c>
      <c r="L576" t="str">
        <f>IFERROR(IF(VLOOKUP(E:E,'Old Report'!E:L,8,FALSE)="","",VLOOKUP(E:E,'Old Report'!E:L,8,FALSE)),"")</f>
        <v/>
      </c>
      <c r="M576" s="5" t="str">
        <f t="shared" si="43"/>
        <v/>
      </c>
      <c r="N576" s="5" t="str">
        <f t="shared" si="44"/>
        <v/>
      </c>
    </row>
    <row r="577" spans="1:14" x14ac:dyDescent="0.25">
      <c r="A577" s="5">
        <v>576</v>
      </c>
      <c r="B577" s="5">
        <f t="shared" si="41"/>
        <v>0</v>
      </c>
      <c r="C577" s="5" t="str">
        <f t="shared" si="40"/>
        <v/>
      </c>
      <c r="D577" s="5" t="str">
        <f>IFERROR(IF(F577&lt;&gt;"",F577,VLOOKUP(MAX(C$2:C577),A$2:F577,2,FALSE)),"")</f>
        <v/>
      </c>
      <c r="E577" s="5" t="str">
        <f t="shared" si="42"/>
        <v/>
      </c>
      <c r="K577" t="str">
        <f>IFERROR(IF(VLOOKUP(E:E,'Old Report'!E:J,6,FALSE)="","",VLOOKUP(E:E,'Old Report'!E:J,6,FALSE)),"")</f>
        <v/>
      </c>
      <c r="L577" t="str">
        <f>IFERROR(IF(VLOOKUP(E:E,'Old Report'!E:L,8,FALSE)="","",VLOOKUP(E:E,'Old Report'!E:L,8,FALSE)),"")</f>
        <v/>
      </c>
      <c r="M577" s="5" t="str">
        <f t="shared" si="43"/>
        <v/>
      </c>
      <c r="N577" s="5" t="str">
        <f t="shared" si="44"/>
        <v/>
      </c>
    </row>
    <row r="578" spans="1:14" x14ac:dyDescent="0.25">
      <c r="A578" s="5">
        <v>577</v>
      </c>
      <c r="B578" s="5">
        <f t="shared" si="41"/>
        <v>0</v>
      </c>
      <c r="C578" s="5" t="str">
        <f t="shared" ref="C578:C641" si="45">IF(F578&lt;&gt;"",A578,"")</f>
        <v/>
      </c>
      <c r="D578" s="5" t="str">
        <f>IFERROR(IF(F578&lt;&gt;"",F578,VLOOKUP(MAX(C$2:C578),A$2:F578,2,FALSE)),"")</f>
        <v/>
      </c>
      <c r="E578" s="5" t="str">
        <f t="shared" si="42"/>
        <v/>
      </c>
      <c r="K578" t="str">
        <f>IFERROR(IF(VLOOKUP(E:E,'Old Report'!E:J,6,FALSE)="","",VLOOKUP(E:E,'Old Report'!E:J,6,FALSE)),"")</f>
        <v/>
      </c>
      <c r="L578" t="str">
        <f>IFERROR(IF(VLOOKUP(E:E,'Old Report'!E:L,8,FALSE)="","",VLOOKUP(E:E,'Old Report'!E:L,8,FALSE)),"")</f>
        <v/>
      </c>
      <c r="M578" s="5" t="str">
        <f t="shared" si="43"/>
        <v/>
      </c>
      <c r="N578" s="5" t="str">
        <f t="shared" si="44"/>
        <v/>
      </c>
    </row>
    <row r="579" spans="1:14" x14ac:dyDescent="0.25">
      <c r="A579" s="5">
        <v>578</v>
      </c>
      <c r="B579" s="5">
        <f t="shared" ref="B579:B642" si="46">IF(F580&lt;&gt;"",F580,F579)</f>
        <v>0</v>
      </c>
      <c r="C579" s="5" t="str">
        <f t="shared" si="45"/>
        <v/>
      </c>
      <c r="D579" s="5" t="str">
        <f>IFERROR(IF(F579&lt;&gt;"",F579,VLOOKUP(MAX(C$2:C579),A$2:F579,2,FALSE)),"")</f>
        <v/>
      </c>
      <c r="E579" s="5" t="str">
        <f t="shared" ref="E579:E642" si="47">IF(H579&lt;&gt;"",CONCATENATE(D579,".",H579),"")</f>
        <v/>
      </c>
      <c r="K579" t="str">
        <f>IFERROR(IF(VLOOKUP(E:E,'Old Report'!E:J,6,FALSE)="","",VLOOKUP(E:E,'Old Report'!E:J,6,FALSE)),"")</f>
        <v/>
      </c>
      <c r="L579" t="str">
        <f>IFERROR(IF(VLOOKUP(E:E,'Old Report'!E:L,8,FALSE)="","",VLOOKUP(E:E,'Old Report'!E:L,8,FALSE)),"")</f>
        <v/>
      </c>
      <c r="M579" s="5" t="str">
        <f t="shared" si="43"/>
        <v/>
      </c>
      <c r="N579" s="5" t="str">
        <f t="shared" si="44"/>
        <v/>
      </c>
    </row>
    <row r="580" spans="1:14" x14ac:dyDescent="0.25">
      <c r="A580" s="5">
        <v>579</v>
      </c>
      <c r="B580" s="5">
        <f t="shared" si="46"/>
        <v>0</v>
      </c>
      <c r="C580" s="5" t="str">
        <f t="shared" si="45"/>
        <v/>
      </c>
      <c r="D580" s="5" t="str">
        <f>IFERROR(IF(F580&lt;&gt;"",F580,VLOOKUP(MAX(C$2:C580),A$2:F580,2,FALSE)),"")</f>
        <v/>
      </c>
      <c r="E580" s="5" t="str">
        <f t="shared" si="47"/>
        <v/>
      </c>
      <c r="K580" t="str">
        <f>IFERROR(IF(VLOOKUP(E:E,'Old Report'!E:J,6,FALSE)="","",VLOOKUP(E:E,'Old Report'!E:J,6,FALSE)),"")</f>
        <v/>
      </c>
      <c r="L580" t="str">
        <f>IFERROR(IF(VLOOKUP(E:E,'Old Report'!E:L,8,FALSE)="","",VLOOKUP(E:E,'Old Report'!E:L,8,FALSE)),"")</f>
        <v/>
      </c>
      <c r="M580" s="5" t="str">
        <f t="shared" ref="M580:M643" si="48">IFERROR(L580,"")</f>
        <v/>
      </c>
      <c r="N580" s="5" t="str">
        <f t="shared" ref="N580:N643" si="49">IFERROR( IF(J580&lt;&gt;"",IF(K580 &lt;&gt; "",IF(J580 = K580,"No Change",IF(J580 &lt; K580,CONCATENATE("Issues reduced from ",K580," to ",J580),IF(J580&gt;K580,CONCATENATE("Issues increased from ",K580," to ",J580),""))),"New issue - needs to be checked"),""),"")</f>
        <v/>
      </c>
    </row>
    <row r="581" spans="1:14" x14ac:dyDescent="0.25">
      <c r="A581" s="5">
        <v>580</v>
      </c>
      <c r="B581" s="5">
        <f t="shared" si="46"/>
        <v>0</v>
      </c>
      <c r="C581" s="5" t="str">
        <f t="shared" si="45"/>
        <v/>
      </c>
      <c r="D581" s="5" t="str">
        <f>IFERROR(IF(F581&lt;&gt;"",F581,VLOOKUP(MAX(C$2:C581),A$2:F581,2,FALSE)),"")</f>
        <v/>
      </c>
      <c r="E581" s="5" t="str">
        <f t="shared" si="47"/>
        <v/>
      </c>
      <c r="K581" t="str">
        <f>IFERROR(IF(VLOOKUP(E:E,'Old Report'!E:J,6,FALSE)="","",VLOOKUP(E:E,'Old Report'!E:J,6,FALSE)),"")</f>
        <v/>
      </c>
      <c r="L581" t="str">
        <f>IFERROR(IF(VLOOKUP(E:E,'Old Report'!E:L,8,FALSE)="","",VLOOKUP(E:E,'Old Report'!E:L,8,FALSE)),"")</f>
        <v/>
      </c>
      <c r="M581" s="5" t="str">
        <f t="shared" si="48"/>
        <v/>
      </c>
      <c r="N581" s="5" t="str">
        <f t="shared" si="49"/>
        <v/>
      </c>
    </row>
    <row r="582" spans="1:14" x14ac:dyDescent="0.25">
      <c r="A582" s="5">
        <v>581</v>
      </c>
      <c r="B582" s="5">
        <f t="shared" si="46"/>
        <v>0</v>
      </c>
      <c r="C582" s="5" t="str">
        <f t="shared" si="45"/>
        <v/>
      </c>
      <c r="D582" s="5" t="str">
        <f>IFERROR(IF(F582&lt;&gt;"",F582,VLOOKUP(MAX(C$2:C582),A$2:F582,2,FALSE)),"")</f>
        <v/>
      </c>
      <c r="E582" s="5" t="str">
        <f t="shared" si="47"/>
        <v/>
      </c>
      <c r="K582" t="str">
        <f>IFERROR(IF(VLOOKUP(E:E,'Old Report'!E:J,6,FALSE)="","",VLOOKUP(E:E,'Old Report'!E:J,6,FALSE)),"")</f>
        <v/>
      </c>
      <c r="L582" t="str">
        <f>IFERROR(IF(VLOOKUP(E:E,'Old Report'!E:L,8,FALSE)="","",VLOOKUP(E:E,'Old Report'!E:L,8,FALSE)),"")</f>
        <v/>
      </c>
      <c r="M582" s="5" t="str">
        <f t="shared" si="48"/>
        <v/>
      </c>
      <c r="N582" s="5" t="str">
        <f t="shared" si="49"/>
        <v/>
      </c>
    </row>
    <row r="583" spans="1:14" x14ac:dyDescent="0.25">
      <c r="A583" s="5">
        <v>582</v>
      </c>
      <c r="B583" s="5">
        <f t="shared" si="46"/>
        <v>0</v>
      </c>
      <c r="C583" s="5" t="str">
        <f t="shared" si="45"/>
        <v/>
      </c>
      <c r="D583" s="5" t="str">
        <f>IFERROR(IF(F583&lt;&gt;"",F583,VLOOKUP(MAX(C$2:C583),A$2:F583,2,FALSE)),"")</f>
        <v/>
      </c>
      <c r="E583" s="5" t="str">
        <f t="shared" si="47"/>
        <v/>
      </c>
      <c r="K583" t="str">
        <f>IFERROR(IF(VLOOKUP(E:E,'Old Report'!E:J,6,FALSE)="","",VLOOKUP(E:E,'Old Report'!E:J,6,FALSE)),"")</f>
        <v/>
      </c>
      <c r="L583" t="str">
        <f>IFERROR(IF(VLOOKUP(E:E,'Old Report'!E:L,8,FALSE)="","",VLOOKUP(E:E,'Old Report'!E:L,8,FALSE)),"")</f>
        <v/>
      </c>
      <c r="M583" s="5" t="str">
        <f t="shared" si="48"/>
        <v/>
      </c>
      <c r="N583" s="5" t="str">
        <f t="shared" si="49"/>
        <v/>
      </c>
    </row>
    <row r="584" spans="1:14" x14ac:dyDescent="0.25">
      <c r="A584" s="5">
        <v>583</v>
      </c>
      <c r="B584" s="5">
        <f t="shared" si="46"/>
        <v>0</v>
      </c>
      <c r="C584" s="5" t="str">
        <f t="shared" si="45"/>
        <v/>
      </c>
      <c r="D584" s="5" t="str">
        <f>IFERROR(IF(F584&lt;&gt;"",F584,VLOOKUP(MAX(C$2:C584),A$2:F584,2,FALSE)),"")</f>
        <v/>
      </c>
      <c r="E584" s="5" t="str">
        <f t="shared" si="47"/>
        <v/>
      </c>
      <c r="K584" t="str">
        <f>IFERROR(IF(VLOOKUP(E:E,'Old Report'!E:J,6,FALSE)="","",VLOOKUP(E:E,'Old Report'!E:J,6,FALSE)),"")</f>
        <v/>
      </c>
      <c r="L584" t="str">
        <f>IFERROR(IF(VLOOKUP(E:E,'Old Report'!E:L,8,FALSE)="","",VLOOKUP(E:E,'Old Report'!E:L,8,FALSE)),"")</f>
        <v/>
      </c>
      <c r="M584" s="5" t="str">
        <f t="shared" si="48"/>
        <v/>
      </c>
      <c r="N584" s="5" t="str">
        <f t="shared" si="49"/>
        <v/>
      </c>
    </row>
    <row r="585" spans="1:14" x14ac:dyDescent="0.25">
      <c r="A585" s="5">
        <v>584</v>
      </c>
      <c r="B585" s="5">
        <f t="shared" si="46"/>
        <v>0</v>
      </c>
      <c r="C585" s="5" t="str">
        <f t="shared" si="45"/>
        <v/>
      </c>
      <c r="D585" s="5" t="str">
        <f>IFERROR(IF(F585&lt;&gt;"",F585,VLOOKUP(MAX(C$2:C585),A$2:F585,2,FALSE)),"")</f>
        <v/>
      </c>
      <c r="E585" s="5" t="str">
        <f t="shared" si="47"/>
        <v/>
      </c>
      <c r="K585" t="str">
        <f>IFERROR(IF(VLOOKUP(E:E,'Old Report'!E:J,6,FALSE)="","",VLOOKUP(E:E,'Old Report'!E:J,6,FALSE)),"")</f>
        <v/>
      </c>
      <c r="L585" t="str">
        <f>IFERROR(IF(VLOOKUP(E:E,'Old Report'!E:L,8,FALSE)="","",VLOOKUP(E:E,'Old Report'!E:L,8,FALSE)),"")</f>
        <v/>
      </c>
      <c r="M585" s="5" t="str">
        <f t="shared" si="48"/>
        <v/>
      </c>
      <c r="N585" s="5" t="str">
        <f t="shared" si="49"/>
        <v/>
      </c>
    </row>
    <row r="586" spans="1:14" x14ac:dyDescent="0.25">
      <c r="A586" s="5">
        <v>585</v>
      </c>
      <c r="B586" s="5">
        <f t="shared" si="46"/>
        <v>0</v>
      </c>
      <c r="C586" s="5" t="str">
        <f t="shared" si="45"/>
        <v/>
      </c>
      <c r="D586" s="5" t="str">
        <f>IFERROR(IF(F586&lt;&gt;"",F586,VLOOKUP(MAX(C$2:C586),A$2:F586,2,FALSE)),"")</f>
        <v/>
      </c>
      <c r="E586" s="5" t="str">
        <f t="shared" si="47"/>
        <v/>
      </c>
      <c r="K586" t="str">
        <f>IFERROR(IF(VLOOKUP(E:E,'Old Report'!E:J,6,FALSE)="","",VLOOKUP(E:E,'Old Report'!E:J,6,FALSE)),"")</f>
        <v/>
      </c>
      <c r="L586" t="str">
        <f>IFERROR(IF(VLOOKUP(E:E,'Old Report'!E:L,8,FALSE)="","",VLOOKUP(E:E,'Old Report'!E:L,8,FALSE)),"")</f>
        <v/>
      </c>
      <c r="M586" s="5" t="str">
        <f t="shared" si="48"/>
        <v/>
      </c>
      <c r="N586" s="5" t="str">
        <f t="shared" si="49"/>
        <v/>
      </c>
    </row>
    <row r="587" spans="1:14" x14ac:dyDescent="0.25">
      <c r="A587" s="5">
        <v>586</v>
      </c>
      <c r="B587" s="5">
        <f t="shared" si="46"/>
        <v>0</v>
      </c>
      <c r="C587" s="5" t="str">
        <f t="shared" si="45"/>
        <v/>
      </c>
      <c r="D587" s="5" t="str">
        <f>IFERROR(IF(F587&lt;&gt;"",F587,VLOOKUP(MAX(C$2:C587),A$2:F587,2,FALSE)),"")</f>
        <v/>
      </c>
      <c r="E587" s="5" t="str">
        <f t="shared" si="47"/>
        <v/>
      </c>
      <c r="K587" t="str">
        <f>IFERROR(IF(VLOOKUP(E:E,'Old Report'!E:J,6,FALSE)="","",VLOOKUP(E:E,'Old Report'!E:J,6,FALSE)),"")</f>
        <v/>
      </c>
      <c r="L587" t="str">
        <f>IFERROR(IF(VLOOKUP(E:E,'Old Report'!E:L,8,FALSE)="","",VLOOKUP(E:E,'Old Report'!E:L,8,FALSE)),"")</f>
        <v/>
      </c>
      <c r="M587" s="5" t="str">
        <f t="shared" si="48"/>
        <v/>
      </c>
      <c r="N587" s="5" t="str">
        <f t="shared" si="49"/>
        <v/>
      </c>
    </row>
    <row r="588" spans="1:14" x14ac:dyDescent="0.25">
      <c r="A588" s="5">
        <v>587</v>
      </c>
      <c r="B588" s="5">
        <f t="shared" si="46"/>
        <v>0</v>
      </c>
      <c r="C588" s="5" t="str">
        <f t="shared" si="45"/>
        <v/>
      </c>
      <c r="D588" s="5" t="str">
        <f>IFERROR(IF(F588&lt;&gt;"",F588,VLOOKUP(MAX(C$2:C588),A$2:F588,2,FALSE)),"")</f>
        <v/>
      </c>
      <c r="E588" s="5" t="str">
        <f t="shared" si="47"/>
        <v/>
      </c>
      <c r="K588" t="str">
        <f>IFERROR(IF(VLOOKUP(E:E,'Old Report'!E:J,6,FALSE)="","",VLOOKUP(E:E,'Old Report'!E:J,6,FALSE)),"")</f>
        <v/>
      </c>
      <c r="L588" t="str">
        <f>IFERROR(IF(VLOOKUP(E:E,'Old Report'!E:L,8,FALSE)="","",VLOOKUP(E:E,'Old Report'!E:L,8,FALSE)),"")</f>
        <v/>
      </c>
      <c r="M588" s="5" t="str">
        <f t="shared" si="48"/>
        <v/>
      </c>
      <c r="N588" s="5" t="str">
        <f t="shared" si="49"/>
        <v/>
      </c>
    </row>
    <row r="589" spans="1:14" x14ac:dyDescent="0.25">
      <c r="A589" s="5">
        <v>588</v>
      </c>
      <c r="B589" s="5">
        <f t="shared" si="46"/>
        <v>0</v>
      </c>
      <c r="C589" s="5" t="str">
        <f t="shared" si="45"/>
        <v/>
      </c>
      <c r="D589" s="5" t="str">
        <f>IFERROR(IF(F589&lt;&gt;"",F589,VLOOKUP(MAX(C$2:C589),A$2:F589,2,FALSE)),"")</f>
        <v/>
      </c>
      <c r="E589" s="5" t="str">
        <f t="shared" si="47"/>
        <v/>
      </c>
      <c r="K589" t="str">
        <f>IFERROR(IF(VLOOKUP(E:E,'Old Report'!E:J,6,FALSE)="","",VLOOKUP(E:E,'Old Report'!E:J,6,FALSE)),"")</f>
        <v/>
      </c>
      <c r="L589" t="str">
        <f>IFERROR(IF(VLOOKUP(E:E,'Old Report'!E:L,8,FALSE)="","",VLOOKUP(E:E,'Old Report'!E:L,8,FALSE)),"")</f>
        <v/>
      </c>
      <c r="M589" s="5" t="str">
        <f t="shared" si="48"/>
        <v/>
      </c>
      <c r="N589" s="5" t="str">
        <f t="shared" si="49"/>
        <v/>
      </c>
    </row>
    <row r="590" spans="1:14" x14ac:dyDescent="0.25">
      <c r="A590" s="5">
        <v>589</v>
      </c>
      <c r="B590" s="5">
        <f t="shared" si="46"/>
        <v>0</v>
      </c>
      <c r="C590" s="5" t="str">
        <f t="shared" si="45"/>
        <v/>
      </c>
      <c r="D590" s="5" t="str">
        <f>IFERROR(IF(F590&lt;&gt;"",F590,VLOOKUP(MAX(C$2:C590),A$2:F590,2,FALSE)),"")</f>
        <v/>
      </c>
      <c r="E590" s="5" t="str">
        <f t="shared" si="47"/>
        <v/>
      </c>
      <c r="K590" t="str">
        <f>IFERROR(IF(VLOOKUP(E:E,'Old Report'!E:J,6,FALSE)="","",VLOOKUP(E:E,'Old Report'!E:J,6,FALSE)),"")</f>
        <v/>
      </c>
      <c r="L590" t="str">
        <f>IFERROR(IF(VLOOKUP(E:E,'Old Report'!E:L,8,FALSE)="","",VLOOKUP(E:E,'Old Report'!E:L,8,FALSE)),"")</f>
        <v/>
      </c>
      <c r="M590" s="5" t="str">
        <f t="shared" si="48"/>
        <v/>
      </c>
      <c r="N590" s="5" t="str">
        <f t="shared" si="49"/>
        <v/>
      </c>
    </row>
    <row r="591" spans="1:14" x14ac:dyDescent="0.25">
      <c r="A591" s="5">
        <v>590</v>
      </c>
      <c r="B591" s="5">
        <f t="shared" si="46"/>
        <v>0</v>
      </c>
      <c r="C591" s="5" t="str">
        <f t="shared" si="45"/>
        <v/>
      </c>
      <c r="D591" s="5" t="str">
        <f>IFERROR(IF(F591&lt;&gt;"",F591,VLOOKUP(MAX(C$2:C591),A$2:F591,2,FALSE)),"")</f>
        <v/>
      </c>
      <c r="E591" s="5" t="str">
        <f t="shared" si="47"/>
        <v/>
      </c>
      <c r="K591" t="str">
        <f>IFERROR(IF(VLOOKUP(E:E,'Old Report'!E:J,6,FALSE)="","",VLOOKUP(E:E,'Old Report'!E:J,6,FALSE)),"")</f>
        <v/>
      </c>
      <c r="L591" t="str">
        <f>IFERROR(IF(VLOOKUP(E:E,'Old Report'!E:L,8,FALSE)="","",VLOOKUP(E:E,'Old Report'!E:L,8,FALSE)),"")</f>
        <v/>
      </c>
      <c r="M591" s="5" t="str">
        <f t="shared" si="48"/>
        <v/>
      </c>
      <c r="N591" s="5" t="str">
        <f t="shared" si="49"/>
        <v/>
      </c>
    </row>
    <row r="592" spans="1:14" x14ac:dyDescent="0.25">
      <c r="A592" s="5">
        <v>591</v>
      </c>
      <c r="B592" s="5">
        <f t="shared" si="46"/>
        <v>0</v>
      </c>
      <c r="C592" s="5" t="str">
        <f t="shared" si="45"/>
        <v/>
      </c>
      <c r="D592" s="5" t="str">
        <f>IFERROR(IF(F592&lt;&gt;"",F592,VLOOKUP(MAX(C$2:C592),A$2:F592,2,FALSE)),"")</f>
        <v/>
      </c>
      <c r="E592" s="5" t="str">
        <f t="shared" si="47"/>
        <v/>
      </c>
      <c r="K592" t="str">
        <f>IFERROR(IF(VLOOKUP(E:E,'Old Report'!E:J,6,FALSE)="","",VLOOKUP(E:E,'Old Report'!E:J,6,FALSE)),"")</f>
        <v/>
      </c>
      <c r="L592" t="str">
        <f>IFERROR(IF(VLOOKUP(E:E,'Old Report'!E:L,8,FALSE)="","",VLOOKUP(E:E,'Old Report'!E:L,8,FALSE)),"")</f>
        <v/>
      </c>
      <c r="M592" s="5" t="str">
        <f t="shared" si="48"/>
        <v/>
      </c>
      <c r="N592" s="5" t="str">
        <f t="shared" si="49"/>
        <v/>
      </c>
    </row>
    <row r="593" spans="1:14" x14ac:dyDescent="0.25">
      <c r="A593" s="5">
        <v>592</v>
      </c>
      <c r="B593" s="5">
        <f t="shared" si="46"/>
        <v>0</v>
      </c>
      <c r="C593" s="5" t="str">
        <f t="shared" si="45"/>
        <v/>
      </c>
      <c r="D593" s="5" t="str">
        <f>IFERROR(IF(F593&lt;&gt;"",F593,VLOOKUP(MAX(C$2:C593),A$2:F593,2,FALSE)),"")</f>
        <v/>
      </c>
      <c r="E593" s="5" t="str">
        <f t="shared" si="47"/>
        <v/>
      </c>
      <c r="K593" t="str">
        <f>IFERROR(IF(VLOOKUP(E:E,'Old Report'!E:J,6,FALSE)="","",VLOOKUP(E:E,'Old Report'!E:J,6,FALSE)),"")</f>
        <v/>
      </c>
      <c r="L593" t="str">
        <f>IFERROR(IF(VLOOKUP(E:E,'Old Report'!E:L,8,FALSE)="","",VLOOKUP(E:E,'Old Report'!E:L,8,FALSE)),"")</f>
        <v/>
      </c>
      <c r="M593" s="5" t="str">
        <f t="shared" si="48"/>
        <v/>
      </c>
      <c r="N593" s="5" t="str">
        <f t="shared" si="49"/>
        <v/>
      </c>
    </row>
    <row r="594" spans="1:14" x14ac:dyDescent="0.25">
      <c r="A594" s="5">
        <v>593</v>
      </c>
      <c r="B594" s="5">
        <f t="shared" si="46"/>
        <v>0</v>
      </c>
      <c r="C594" s="5" t="str">
        <f t="shared" si="45"/>
        <v/>
      </c>
      <c r="D594" s="5" t="str">
        <f>IFERROR(IF(F594&lt;&gt;"",F594,VLOOKUP(MAX(C$2:C594),A$2:F594,2,FALSE)),"")</f>
        <v/>
      </c>
      <c r="E594" s="5" t="str">
        <f t="shared" si="47"/>
        <v/>
      </c>
      <c r="K594" t="str">
        <f>IFERROR(IF(VLOOKUP(E:E,'Old Report'!E:J,6,FALSE)="","",VLOOKUP(E:E,'Old Report'!E:J,6,FALSE)),"")</f>
        <v/>
      </c>
      <c r="L594" t="str">
        <f>IFERROR(IF(VLOOKUP(E:E,'Old Report'!E:L,8,FALSE)="","",VLOOKUP(E:E,'Old Report'!E:L,8,FALSE)),"")</f>
        <v/>
      </c>
      <c r="M594" s="5" t="str">
        <f t="shared" si="48"/>
        <v/>
      </c>
      <c r="N594" s="5" t="str">
        <f t="shared" si="49"/>
        <v/>
      </c>
    </row>
    <row r="595" spans="1:14" x14ac:dyDescent="0.25">
      <c r="A595" s="5">
        <v>594</v>
      </c>
      <c r="B595" s="5">
        <f t="shared" si="46"/>
        <v>0</v>
      </c>
      <c r="C595" s="5" t="str">
        <f t="shared" si="45"/>
        <v/>
      </c>
      <c r="D595" s="5" t="str">
        <f>IFERROR(IF(F595&lt;&gt;"",F595,VLOOKUP(MAX(C$2:C595),A$2:F595,2,FALSE)),"")</f>
        <v/>
      </c>
      <c r="E595" s="5" t="str">
        <f t="shared" si="47"/>
        <v/>
      </c>
      <c r="K595" t="str">
        <f>IFERROR(IF(VLOOKUP(E:E,'Old Report'!E:J,6,FALSE)="","",VLOOKUP(E:E,'Old Report'!E:J,6,FALSE)),"")</f>
        <v/>
      </c>
      <c r="L595" t="str">
        <f>IFERROR(IF(VLOOKUP(E:E,'Old Report'!E:L,8,FALSE)="","",VLOOKUP(E:E,'Old Report'!E:L,8,FALSE)),"")</f>
        <v/>
      </c>
      <c r="M595" s="5" t="str">
        <f t="shared" si="48"/>
        <v/>
      </c>
      <c r="N595" s="5" t="str">
        <f t="shared" si="49"/>
        <v/>
      </c>
    </row>
    <row r="596" spans="1:14" x14ac:dyDescent="0.25">
      <c r="A596" s="5">
        <v>595</v>
      </c>
      <c r="B596" s="5">
        <f t="shared" si="46"/>
        <v>0</v>
      </c>
      <c r="C596" s="5" t="str">
        <f t="shared" si="45"/>
        <v/>
      </c>
      <c r="D596" s="5" t="str">
        <f>IFERROR(IF(F596&lt;&gt;"",F596,VLOOKUP(MAX(C$2:C596),A$2:F596,2,FALSE)),"")</f>
        <v/>
      </c>
      <c r="E596" s="5" t="str">
        <f t="shared" si="47"/>
        <v/>
      </c>
      <c r="K596" t="str">
        <f>IFERROR(IF(VLOOKUP(E:E,'Old Report'!E:J,6,FALSE)="","",VLOOKUP(E:E,'Old Report'!E:J,6,FALSE)),"")</f>
        <v/>
      </c>
      <c r="L596" t="str">
        <f>IFERROR(IF(VLOOKUP(E:E,'Old Report'!E:L,8,FALSE)="","",VLOOKUP(E:E,'Old Report'!E:L,8,FALSE)),"")</f>
        <v/>
      </c>
      <c r="M596" s="5" t="str">
        <f t="shared" si="48"/>
        <v/>
      </c>
      <c r="N596" s="5" t="str">
        <f t="shared" si="49"/>
        <v/>
      </c>
    </row>
    <row r="597" spans="1:14" x14ac:dyDescent="0.25">
      <c r="A597" s="5">
        <v>596</v>
      </c>
      <c r="B597" s="5">
        <f t="shared" si="46"/>
        <v>0</v>
      </c>
      <c r="C597" s="5" t="str">
        <f t="shared" si="45"/>
        <v/>
      </c>
      <c r="D597" s="5" t="str">
        <f>IFERROR(IF(F597&lt;&gt;"",F597,VLOOKUP(MAX(C$2:C597),A$2:F597,2,FALSE)),"")</f>
        <v/>
      </c>
      <c r="E597" s="5" t="str">
        <f t="shared" si="47"/>
        <v/>
      </c>
      <c r="K597" t="str">
        <f>IFERROR(IF(VLOOKUP(E:E,'Old Report'!E:J,6,FALSE)="","",VLOOKUP(E:E,'Old Report'!E:J,6,FALSE)),"")</f>
        <v/>
      </c>
      <c r="L597" t="str">
        <f>IFERROR(IF(VLOOKUP(E:E,'Old Report'!E:L,8,FALSE)="","",VLOOKUP(E:E,'Old Report'!E:L,8,FALSE)),"")</f>
        <v/>
      </c>
      <c r="M597" s="5" t="str">
        <f t="shared" si="48"/>
        <v/>
      </c>
      <c r="N597" s="5" t="str">
        <f t="shared" si="49"/>
        <v/>
      </c>
    </row>
    <row r="598" spans="1:14" x14ac:dyDescent="0.25">
      <c r="A598" s="5">
        <v>597</v>
      </c>
      <c r="B598" s="5">
        <f t="shared" si="46"/>
        <v>0</v>
      </c>
      <c r="C598" s="5" t="str">
        <f t="shared" si="45"/>
        <v/>
      </c>
      <c r="D598" s="5" t="str">
        <f>IFERROR(IF(F598&lt;&gt;"",F598,VLOOKUP(MAX(C$2:C598),A$2:F598,2,FALSE)),"")</f>
        <v/>
      </c>
      <c r="E598" s="5" t="str">
        <f t="shared" si="47"/>
        <v/>
      </c>
      <c r="K598" t="str">
        <f>IFERROR(IF(VLOOKUP(E:E,'Old Report'!E:J,6,FALSE)="","",VLOOKUP(E:E,'Old Report'!E:J,6,FALSE)),"")</f>
        <v/>
      </c>
      <c r="L598" t="str">
        <f>IFERROR(IF(VLOOKUP(E:E,'Old Report'!E:L,8,FALSE)="","",VLOOKUP(E:E,'Old Report'!E:L,8,FALSE)),"")</f>
        <v/>
      </c>
      <c r="M598" s="5" t="str">
        <f t="shared" si="48"/>
        <v/>
      </c>
      <c r="N598" s="5" t="str">
        <f t="shared" si="49"/>
        <v/>
      </c>
    </row>
    <row r="599" spans="1:14" x14ac:dyDescent="0.25">
      <c r="A599" s="5">
        <v>598</v>
      </c>
      <c r="B599" s="5">
        <f t="shared" si="46"/>
        <v>0</v>
      </c>
      <c r="C599" s="5" t="str">
        <f t="shared" si="45"/>
        <v/>
      </c>
      <c r="D599" s="5" t="str">
        <f>IFERROR(IF(F599&lt;&gt;"",F599,VLOOKUP(MAX(C$2:C599),A$2:F599,2,FALSE)),"")</f>
        <v/>
      </c>
      <c r="E599" s="5" t="str">
        <f t="shared" si="47"/>
        <v/>
      </c>
      <c r="K599" t="str">
        <f>IFERROR(IF(VLOOKUP(E:E,'Old Report'!E:J,6,FALSE)="","",VLOOKUP(E:E,'Old Report'!E:J,6,FALSE)),"")</f>
        <v/>
      </c>
      <c r="L599" t="str">
        <f>IFERROR(IF(VLOOKUP(E:E,'Old Report'!E:L,8,FALSE)="","",VLOOKUP(E:E,'Old Report'!E:L,8,FALSE)),"")</f>
        <v/>
      </c>
      <c r="M599" s="5" t="str">
        <f t="shared" si="48"/>
        <v/>
      </c>
      <c r="N599" s="5" t="str">
        <f t="shared" si="49"/>
        <v/>
      </c>
    </row>
    <row r="600" spans="1:14" x14ac:dyDescent="0.25">
      <c r="A600" s="5">
        <v>599</v>
      </c>
      <c r="B600" s="5">
        <f t="shared" si="46"/>
        <v>0</v>
      </c>
      <c r="C600" s="5" t="str">
        <f t="shared" si="45"/>
        <v/>
      </c>
      <c r="D600" s="5" t="str">
        <f>IFERROR(IF(F600&lt;&gt;"",F600,VLOOKUP(MAX(C$2:C600),A$2:F600,2,FALSE)),"")</f>
        <v/>
      </c>
      <c r="E600" s="5" t="str">
        <f t="shared" si="47"/>
        <v/>
      </c>
      <c r="K600" t="str">
        <f>IFERROR(IF(VLOOKUP(E:E,'Old Report'!E:J,6,FALSE)="","",VLOOKUP(E:E,'Old Report'!E:J,6,FALSE)),"")</f>
        <v/>
      </c>
      <c r="L600" t="str">
        <f>IFERROR(IF(VLOOKUP(E:E,'Old Report'!E:L,8,FALSE)="","",VLOOKUP(E:E,'Old Report'!E:L,8,FALSE)),"")</f>
        <v/>
      </c>
      <c r="M600" s="5" t="str">
        <f t="shared" si="48"/>
        <v/>
      </c>
      <c r="N600" s="5" t="str">
        <f t="shared" si="49"/>
        <v/>
      </c>
    </row>
    <row r="601" spans="1:14" x14ac:dyDescent="0.25">
      <c r="A601" s="5">
        <v>600</v>
      </c>
      <c r="B601" s="5">
        <f t="shared" si="46"/>
        <v>0</v>
      </c>
      <c r="C601" s="5" t="str">
        <f t="shared" si="45"/>
        <v/>
      </c>
      <c r="D601" s="5" t="str">
        <f>IFERROR(IF(F601&lt;&gt;"",F601,VLOOKUP(MAX(C$2:C601),A$2:F601,2,FALSE)),"")</f>
        <v/>
      </c>
      <c r="E601" s="5" t="str">
        <f t="shared" si="47"/>
        <v/>
      </c>
      <c r="K601" t="str">
        <f>IFERROR(IF(VLOOKUP(E:E,'Old Report'!E:J,6,FALSE)="","",VLOOKUP(E:E,'Old Report'!E:J,6,FALSE)),"")</f>
        <v/>
      </c>
      <c r="L601" t="str">
        <f>IFERROR(IF(VLOOKUP(E:E,'Old Report'!E:L,8,FALSE)="","",VLOOKUP(E:E,'Old Report'!E:L,8,FALSE)),"")</f>
        <v/>
      </c>
      <c r="M601" s="5" t="str">
        <f t="shared" si="48"/>
        <v/>
      </c>
      <c r="N601" s="5" t="str">
        <f t="shared" si="49"/>
        <v/>
      </c>
    </row>
    <row r="602" spans="1:14" x14ac:dyDescent="0.25">
      <c r="A602" s="5">
        <v>601</v>
      </c>
      <c r="B602" s="5">
        <f t="shared" si="46"/>
        <v>0</v>
      </c>
      <c r="C602" s="5" t="str">
        <f t="shared" si="45"/>
        <v/>
      </c>
      <c r="D602" s="5" t="str">
        <f>IFERROR(IF(F602&lt;&gt;"",F602,VLOOKUP(MAX(C$2:C602),A$2:F602,2,FALSE)),"")</f>
        <v/>
      </c>
      <c r="E602" s="5" t="str">
        <f t="shared" si="47"/>
        <v/>
      </c>
      <c r="K602" t="str">
        <f>IFERROR(IF(VLOOKUP(E:E,'Old Report'!E:J,6,FALSE)="","",VLOOKUP(E:E,'Old Report'!E:J,6,FALSE)),"")</f>
        <v/>
      </c>
      <c r="L602" t="str">
        <f>IFERROR(IF(VLOOKUP(E:E,'Old Report'!E:L,8,FALSE)="","",VLOOKUP(E:E,'Old Report'!E:L,8,FALSE)),"")</f>
        <v/>
      </c>
      <c r="M602" s="5" t="str">
        <f t="shared" si="48"/>
        <v/>
      </c>
      <c r="N602" s="5" t="str">
        <f t="shared" si="49"/>
        <v/>
      </c>
    </row>
    <row r="603" spans="1:14" x14ac:dyDescent="0.25">
      <c r="A603" s="5">
        <v>602</v>
      </c>
      <c r="B603" s="5">
        <f t="shared" si="46"/>
        <v>0</v>
      </c>
      <c r="C603" s="5" t="str">
        <f t="shared" si="45"/>
        <v/>
      </c>
      <c r="D603" s="5" t="str">
        <f>IFERROR(IF(F603&lt;&gt;"",F603,VLOOKUP(MAX(C$2:C603),A$2:F603,2,FALSE)),"")</f>
        <v/>
      </c>
      <c r="E603" s="5" t="str">
        <f t="shared" si="47"/>
        <v/>
      </c>
      <c r="K603" t="str">
        <f>IFERROR(IF(VLOOKUP(E:E,'Old Report'!E:J,6,FALSE)="","",VLOOKUP(E:E,'Old Report'!E:J,6,FALSE)),"")</f>
        <v/>
      </c>
      <c r="L603" t="str">
        <f>IFERROR(IF(VLOOKUP(E:E,'Old Report'!E:L,8,FALSE)="","",VLOOKUP(E:E,'Old Report'!E:L,8,FALSE)),"")</f>
        <v/>
      </c>
      <c r="M603" s="5" t="str">
        <f t="shared" si="48"/>
        <v/>
      </c>
      <c r="N603" s="5" t="str">
        <f t="shared" si="49"/>
        <v/>
      </c>
    </row>
    <row r="604" spans="1:14" x14ac:dyDescent="0.25">
      <c r="A604" s="5">
        <v>603</v>
      </c>
      <c r="B604" s="5">
        <f t="shared" si="46"/>
        <v>0</v>
      </c>
      <c r="C604" s="5" t="str">
        <f t="shared" si="45"/>
        <v/>
      </c>
      <c r="D604" s="5" t="str">
        <f>IFERROR(IF(F604&lt;&gt;"",F604,VLOOKUP(MAX(C$2:C604),A$2:F604,2,FALSE)),"")</f>
        <v/>
      </c>
      <c r="E604" s="5" t="str">
        <f t="shared" si="47"/>
        <v/>
      </c>
      <c r="K604" t="str">
        <f>IFERROR(IF(VLOOKUP(E:E,'Old Report'!E:J,6,FALSE)="","",VLOOKUP(E:E,'Old Report'!E:J,6,FALSE)),"")</f>
        <v/>
      </c>
      <c r="L604" t="str">
        <f>IFERROR(IF(VLOOKUP(E:E,'Old Report'!E:L,8,FALSE)="","",VLOOKUP(E:E,'Old Report'!E:L,8,FALSE)),"")</f>
        <v/>
      </c>
      <c r="M604" s="5" t="str">
        <f t="shared" si="48"/>
        <v/>
      </c>
      <c r="N604" s="5" t="str">
        <f t="shared" si="49"/>
        <v/>
      </c>
    </row>
    <row r="605" spans="1:14" x14ac:dyDescent="0.25">
      <c r="A605" s="5">
        <v>604</v>
      </c>
      <c r="B605" s="5">
        <f t="shared" si="46"/>
        <v>0</v>
      </c>
      <c r="C605" s="5" t="str">
        <f t="shared" si="45"/>
        <v/>
      </c>
      <c r="D605" s="5" t="str">
        <f>IFERROR(IF(F605&lt;&gt;"",F605,VLOOKUP(MAX(C$2:C605),A$2:F605,2,FALSE)),"")</f>
        <v/>
      </c>
      <c r="E605" s="5" t="str">
        <f t="shared" si="47"/>
        <v/>
      </c>
      <c r="K605" t="str">
        <f>IFERROR(IF(VLOOKUP(E:E,'Old Report'!E:J,6,FALSE)="","",VLOOKUP(E:E,'Old Report'!E:J,6,FALSE)),"")</f>
        <v/>
      </c>
      <c r="L605" t="str">
        <f>IFERROR(IF(VLOOKUP(E:E,'Old Report'!E:L,8,FALSE)="","",VLOOKUP(E:E,'Old Report'!E:L,8,FALSE)),"")</f>
        <v/>
      </c>
      <c r="M605" s="5" t="str">
        <f t="shared" si="48"/>
        <v/>
      </c>
      <c r="N605" s="5" t="str">
        <f t="shared" si="49"/>
        <v/>
      </c>
    </row>
    <row r="606" spans="1:14" x14ac:dyDescent="0.25">
      <c r="A606" s="5">
        <v>605</v>
      </c>
      <c r="B606" s="5">
        <f t="shared" si="46"/>
        <v>0</v>
      </c>
      <c r="C606" s="5" t="str">
        <f t="shared" si="45"/>
        <v/>
      </c>
      <c r="D606" s="5" t="str">
        <f>IFERROR(IF(F606&lt;&gt;"",F606,VLOOKUP(MAX(C$2:C606),A$2:F606,2,FALSE)),"")</f>
        <v/>
      </c>
      <c r="E606" s="5" t="str">
        <f t="shared" si="47"/>
        <v/>
      </c>
      <c r="K606" t="str">
        <f>IFERROR(IF(VLOOKUP(E:E,'Old Report'!E:J,6,FALSE)="","",VLOOKUP(E:E,'Old Report'!E:J,6,FALSE)),"")</f>
        <v/>
      </c>
      <c r="L606" t="str">
        <f>IFERROR(IF(VLOOKUP(E:E,'Old Report'!E:L,8,FALSE)="","",VLOOKUP(E:E,'Old Report'!E:L,8,FALSE)),"")</f>
        <v/>
      </c>
      <c r="M606" s="5" t="str">
        <f t="shared" si="48"/>
        <v/>
      </c>
      <c r="N606" s="5" t="str">
        <f t="shared" si="49"/>
        <v/>
      </c>
    </row>
    <row r="607" spans="1:14" x14ac:dyDescent="0.25">
      <c r="A607" s="5">
        <v>606</v>
      </c>
      <c r="B607" s="5">
        <f t="shared" si="46"/>
        <v>0</v>
      </c>
      <c r="C607" s="5" t="str">
        <f t="shared" si="45"/>
        <v/>
      </c>
      <c r="D607" s="5" t="str">
        <f>IFERROR(IF(F607&lt;&gt;"",F607,VLOOKUP(MAX(C$2:C607),A$2:F607,2,FALSE)),"")</f>
        <v/>
      </c>
      <c r="E607" s="5" t="str">
        <f t="shared" si="47"/>
        <v/>
      </c>
      <c r="K607" t="str">
        <f>IFERROR(IF(VLOOKUP(E:E,'Old Report'!E:J,6,FALSE)="","",VLOOKUP(E:E,'Old Report'!E:J,6,FALSE)),"")</f>
        <v/>
      </c>
      <c r="L607" t="str">
        <f>IFERROR(IF(VLOOKUP(E:E,'Old Report'!E:L,8,FALSE)="","",VLOOKUP(E:E,'Old Report'!E:L,8,FALSE)),"")</f>
        <v/>
      </c>
      <c r="M607" s="5" t="str">
        <f t="shared" si="48"/>
        <v/>
      </c>
      <c r="N607" s="5" t="str">
        <f t="shared" si="49"/>
        <v/>
      </c>
    </row>
    <row r="608" spans="1:14" x14ac:dyDescent="0.25">
      <c r="A608" s="5">
        <v>607</v>
      </c>
      <c r="B608" s="5">
        <f t="shared" si="46"/>
        <v>0</v>
      </c>
      <c r="C608" s="5" t="str">
        <f t="shared" si="45"/>
        <v/>
      </c>
      <c r="D608" s="5" t="str">
        <f>IFERROR(IF(F608&lt;&gt;"",F608,VLOOKUP(MAX(C$2:C608),A$2:F608,2,FALSE)),"")</f>
        <v/>
      </c>
      <c r="E608" s="5" t="str">
        <f t="shared" si="47"/>
        <v/>
      </c>
      <c r="K608" t="str">
        <f>IFERROR(IF(VLOOKUP(E:E,'Old Report'!E:J,6,FALSE)="","",VLOOKUP(E:E,'Old Report'!E:J,6,FALSE)),"")</f>
        <v/>
      </c>
      <c r="L608" t="str">
        <f>IFERROR(IF(VLOOKUP(E:E,'Old Report'!E:L,8,FALSE)="","",VLOOKUP(E:E,'Old Report'!E:L,8,FALSE)),"")</f>
        <v/>
      </c>
      <c r="M608" s="5" t="str">
        <f t="shared" si="48"/>
        <v/>
      </c>
      <c r="N608" s="5" t="str">
        <f t="shared" si="49"/>
        <v/>
      </c>
    </row>
    <row r="609" spans="1:14" x14ac:dyDescent="0.25">
      <c r="A609" s="5">
        <v>608</v>
      </c>
      <c r="B609" s="5">
        <f t="shared" si="46"/>
        <v>0</v>
      </c>
      <c r="C609" s="5" t="str">
        <f t="shared" si="45"/>
        <v/>
      </c>
      <c r="D609" s="5" t="str">
        <f>IFERROR(IF(F609&lt;&gt;"",F609,VLOOKUP(MAX(C$2:C609),A$2:F609,2,FALSE)),"")</f>
        <v/>
      </c>
      <c r="E609" s="5" t="str">
        <f t="shared" si="47"/>
        <v/>
      </c>
      <c r="K609" t="str">
        <f>IFERROR(IF(VLOOKUP(E:E,'Old Report'!E:J,6,FALSE)="","",VLOOKUP(E:E,'Old Report'!E:J,6,FALSE)),"")</f>
        <v/>
      </c>
      <c r="L609" t="str">
        <f>IFERROR(IF(VLOOKUP(E:E,'Old Report'!E:L,8,FALSE)="","",VLOOKUP(E:E,'Old Report'!E:L,8,FALSE)),"")</f>
        <v/>
      </c>
      <c r="M609" s="5" t="str">
        <f t="shared" si="48"/>
        <v/>
      </c>
      <c r="N609" s="5" t="str">
        <f t="shared" si="49"/>
        <v/>
      </c>
    </row>
    <row r="610" spans="1:14" x14ac:dyDescent="0.25">
      <c r="A610" s="5">
        <v>609</v>
      </c>
      <c r="B610" s="5">
        <f t="shared" si="46"/>
        <v>0</v>
      </c>
      <c r="C610" s="5" t="str">
        <f t="shared" si="45"/>
        <v/>
      </c>
      <c r="D610" s="5" t="str">
        <f>IFERROR(IF(F610&lt;&gt;"",F610,VLOOKUP(MAX(C$2:C610),A$2:F610,2,FALSE)),"")</f>
        <v/>
      </c>
      <c r="E610" s="5" t="str">
        <f t="shared" si="47"/>
        <v/>
      </c>
      <c r="K610" t="str">
        <f>IFERROR(IF(VLOOKUP(E:E,'Old Report'!E:J,6,FALSE)="","",VLOOKUP(E:E,'Old Report'!E:J,6,FALSE)),"")</f>
        <v/>
      </c>
      <c r="L610" t="str">
        <f>IFERROR(IF(VLOOKUP(E:E,'Old Report'!E:L,8,FALSE)="","",VLOOKUP(E:E,'Old Report'!E:L,8,FALSE)),"")</f>
        <v/>
      </c>
      <c r="M610" s="5" t="str">
        <f t="shared" si="48"/>
        <v/>
      </c>
      <c r="N610" s="5" t="str">
        <f t="shared" si="49"/>
        <v/>
      </c>
    </row>
    <row r="611" spans="1:14" x14ac:dyDescent="0.25">
      <c r="A611" s="5">
        <v>610</v>
      </c>
      <c r="B611" s="5">
        <f t="shared" si="46"/>
        <v>0</v>
      </c>
      <c r="C611" s="5" t="str">
        <f t="shared" si="45"/>
        <v/>
      </c>
      <c r="D611" s="5" t="str">
        <f>IFERROR(IF(F611&lt;&gt;"",F611,VLOOKUP(MAX(C$2:C611),A$2:F611,2,FALSE)),"")</f>
        <v/>
      </c>
      <c r="E611" s="5" t="str">
        <f t="shared" si="47"/>
        <v/>
      </c>
      <c r="K611" t="str">
        <f>IFERROR(IF(VLOOKUP(E:E,'Old Report'!E:J,6,FALSE)="","",VLOOKUP(E:E,'Old Report'!E:J,6,FALSE)),"")</f>
        <v/>
      </c>
      <c r="L611" t="str">
        <f>IFERROR(IF(VLOOKUP(E:E,'Old Report'!E:L,8,FALSE)="","",VLOOKUP(E:E,'Old Report'!E:L,8,FALSE)),"")</f>
        <v/>
      </c>
      <c r="M611" s="5" t="str">
        <f t="shared" si="48"/>
        <v/>
      </c>
      <c r="N611" s="5" t="str">
        <f t="shared" si="49"/>
        <v/>
      </c>
    </row>
    <row r="612" spans="1:14" x14ac:dyDescent="0.25">
      <c r="A612" s="5">
        <v>611</v>
      </c>
      <c r="B612" s="5">
        <f t="shared" si="46"/>
        <v>0</v>
      </c>
      <c r="C612" s="5" t="str">
        <f t="shared" si="45"/>
        <v/>
      </c>
      <c r="D612" s="5" t="str">
        <f>IFERROR(IF(F612&lt;&gt;"",F612,VLOOKUP(MAX(C$2:C612),A$2:F612,2,FALSE)),"")</f>
        <v/>
      </c>
      <c r="E612" s="5" t="str">
        <f t="shared" si="47"/>
        <v/>
      </c>
      <c r="K612" t="str">
        <f>IFERROR(IF(VLOOKUP(E:E,'Old Report'!E:J,6,FALSE)="","",VLOOKUP(E:E,'Old Report'!E:J,6,FALSE)),"")</f>
        <v/>
      </c>
      <c r="L612" t="str">
        <f>IFERROR(IF(VLOOKUP(E:E,'Old Report'!E:L,8,FALSE)="","",VLOOKUP(E:E,'Old Report'!E:L,8,FALSE)),"")</f>
        <v/>
      </c>
      <c r="M612" s="5" t="str">
        <f t="shared" si="48"/>
        <v/>
      </c>
      <c r="N612" s="5" t="str">
        <f t="shared" si="49"/>
        <v/>
      </c>
    </row>
    <row r="613" spans="1:14" x14ac:dyDescent="0.25">
      <c r="A613" s="5">
        <v>612</v>
      </c>
      <c r="B613" s="5">
        <f t="shared" si="46"/>
        <v>0</v>
      </c>
      <c r="C613" s="5" t="str">
        <f t="shared" si="45"/>
        <v/>
      </c>
      <c r="D613" s="5" t="str">
        <f>IFERROR(IF(F613&lt;&gt;"",F613,VLOOKUP(MAX(C$2:C613),A$2:F613,2,FALSE)),"")</f>
        <v/>
      </c>
      <c r="E613" s="5" t="str">
        <f t="shared" si="47"/>
        <v/>
      </c>
      <c r="K613" t="str">
        <f>IFERROR(IF(VLOOKUP(E:E,'Old Report'!E:J,6,FALSE)="","",VLOOKUP(E:E,'Old Report'!E:J,6,FALSE)),"")</f>
        <v/>
      </c>
      <c r="L613" t="str">
        <f>IFERROR(IF(VLOOKUP(E:E,'Old Report'!E:L,8,FALSE)="","",VLOOKUP(E:E,'Old Report'!E:L,8,FALSE)),"")</f>
        <v/>
      </c>
      <c r="M613" s="5" t="str">
        <f t="shared" si="48"/>
        <v/>
      </c>
      <c r="N613" s="5" t="str">
        <f t="shared" si="49"/>
        <v/>
      </c>
    </row>
    <row r="614" spans="1:14" x14ac:dyDescent="0.25">
      <c r="A614" s="5">
        <v>613</v>
      </c>
      <c r="B614" s="5">
        <f t="shared" si="46"/>
        <v>0</v>
      </c>
      <c r="C614" s="5" t="str">
        <f t="shared" si="45"/>
        <v/>
      </c>
      <c r="D614" s="5" t="str">
        <f>IFERROR(IF(F614&lt;&gt;"",F614,VLOOKUP(MAX(C$2:C614),A$2:F614,2,FALSE)),"")</f>
        <v/>
      </c>
      <c r="E614" s="5" t="str">
        <f t="shared" si="47"/>
        <v/>
      </c>
      <c r="K614" t="str">
        <f>IFERROR(IF(VLOOKUP(E:E,'Old Report'!E:J,6,FALSE)="","",VLOOKUP(E:E,'Old Report'!E:J,6,FALSE)),"")</f>
        <v/>
      </c>
      <c r="L614" t="str">
        <f>IFERROR(IF(VLOOKUP(E:E,'Old Report'!E:L,8,FALSE)="","",VLOOKUP(E:E,'Old Report'!E:L,8,FALSE)),"")</f>
        <v/>
      </c>
      <c r="M614" s="5" t="str">
        <f t="shared" si="48"/>
        <v/>
      </c>
      <c r="N614" s="5" t="str">
        <f t="shared" si="49"/>
        <v/>
      </c>
    </row>
    <row r="615" spans="1:14" x14ac:dyDescent="0.25">
      <c r="A615" s="5">
        <v>614</v>
      </c>
      <c r="B615" s="5">
        <f t="shared" si="46"/>
        <v>0</v>
      </c>
      <c r="C615" s="5" t="str">
        <f t="shared" si="45"/>
        <v/>
      </c>
      <c r="D615" s="5" t="str">
        <f>IFERROR(IF(F615&lt;&gt;"",F615,VLOOKUP(MAX(C$2:C615),A$2:F615,2,FALSE)),"")</f>
        <v/>
      </c>
      <c r="E615" s="5" t="str">
        <f t="shared" si="47"/>
        <v/>
      </c>
      <c r="K615" t="str">
        <f>IFERROR(IF(VLOOKUP(E:E,'Old Report'!E:J,6,FALSE)="","",VLOOKUP(E:E,'Old Report'!E:J,6,FALSE)),"")</f>
        <v/>
      </c>
      <c r="L615" t="str">
        <f>IFERROR(IF(VLOOKUP(E:E,'Old Report'!E:L,8,FALSE)="","",VLOOKUP(E:E,'Old Report'!E:L,8,FALSE)),"")</f>
        <v/>
      </c>
      <c r="M615" s="5" t="str">
        <f t="shared" si="48"/>
        <v/>
      </c>
      <c r="N615" s="5" t="str">
        <f t="shared" si="49"/>
        <v/>
      </c>
    </row>
    <row r="616" spans="1:14" x14ac:dyDescent="0.25">
      <c r="A616" s="5">
        <v>615</v>
      </c>
      <c r="B616" s="5">
        <f t="shared" si="46"/>
        <v>0</v>
      </c>
      <c r="C616" s="5" t="str">
        <f t="shared" si="45"/>
        <v/>
      </c>
      <c r="D616" s="5" t="str">
        <f>IFERROR(IF(F616&lt;&gt;"",F616,VLOOKUP(MAX(C$2:C616),A$2:F616,2,FALSE)),"")</f>
        <v/>
      </c>
      <c r="E616" s="5" t="str">
        <f t="shared" si="47"/>
        <v/>
      </c>
      <c r="K616" t="str">
        <f>IFERROR(IF(VLOOKUP(E:E,'Old Report'!E:J,6,FALSE)="","",VLOOKUP(E:E,'Old Report'!E:J,6,FALSE)),"")</f>
        <v/>
      </c>
      <c r="L616" t="str">
        <f>IFERROR(IF(VLOOKUP(E:E,'Old Report'!E:L,8,FALSE)="","",VLOOKUP(E:E,'Old Report'!E:L,8,FALSE)),"")</f>
        <v/>
      </c>
      <c r="M616" s="5" t="str">
        <f t="shared" si="48"/>
        <v/>
      </c>
      <c r="N616" s="5" t="str">
        <f t="shared" si="49"/>
        <v/>
      </c>
    </row>
    <row r="617" spans="1:14" x14ac:dyDescent="0.25">
      <c r="A617" s="5">
        <v>616</v>
      </c>
      <c r="B617" s="5">
        <f t="shared" si="46"/>
        <v>0</v>
      </c>
      <c r="C617" s="5" t="str">
        <f t="shared" si="45"/>
        <v/>
      </c>
      <c r="D617" s="5" t="str">
        <f>IFERROR(IF(F617&lt;&gt;"",F617,VLOOKUP(MAX(C$2:C617),A$2:F617,2,FALSE)),"")</f>
        <v/>
      </c>
      <c r="E617" s="5" t="str">
        <f t="shared" si="47"/>
        <v/>
      </c>
      <c r="K617" t="str">
        <f>IFERROR(IF(VLOOKUP(E:E,'Old Report'!E:J,6,FALSE)="","",VLOOKUP(E:E,'Old Report'!E:J,6,FALSE)),"")</f>
        <v/>
      </c>
      <c r="L617" t="str">
        <f>IFERROR(IF(VLOOKUP(E:E,'Old Report'!E:L,8,FALSE)="","",VLOOKUP(E:E,'Old Report'!E:L,8,FALSE)),"")</f>
        <v/>
      </c>
      <c r="M617" s="5" t="str">
        <f t="shared" si="48"/>
        <v/>
      </c>
      <c r="N617" s="5" t="str">
        <f t="shared" si="49"/>
        <v/>
      </c>
    </row>
    <row r="618" spans="1:14" x14ac:dyDescent="0.25">
      <c r="A618" s="5">
        <v>617</v>
      </c>
      <c r="B618" s="5">
        <f t="shared" si="46"/>
        <v>0</v>
      </c>
      <c r="C618" s="5" t="str">
        <f t="shared" si="45"/>
        <v/>
      </c>
      <c r="D618" s="5" t="str">
        <f>IFERROR(IF(F618&lt;&gt;"",F618,VLOOKUP(MAX(C$2:C618),A$2:F618,2,FALSE)),"")</f>
        <v/>
      </c>
      <c r="E618" s="5" t="str">
        <f t="shared" si="47"/>
        <v/>
      </c>
      <c r="K618" t="str">
        <f>IFERROR(IF(VLOOKUP(E:E,'Old Report'!E:J,6,FALSE)="","",VLOOKUP(E:E,'Old Report'!E:J,6,FALSE)),"")</f>
        <v/>
      </c>
      <c r="L618" t="str">
        <f>IFERROR(IF(VLOOKUP(E:E,'Old Report'!E:L,8,FALSE)="","",VLOOKUP(E:E,'Old Report'!E:L,8,FALSE)),"")</f>
        <v/>
      </c>
      <c r="M618" s="5" t="str">
        <f t="shared" si="48"/>
        <v/>
      </c>
      <c r="N618" s="5" t="str">
        <f t="shared" si="49"/>
        <v/>
      </c>
    </row>
    <row r="619" spans="1:14" x14ac:dyDescent="0.25">
      <c r="A619" s="5">
        <v>618</v>
      </c>
      <c r="B619" s="5">
        <f t="shared" si="46"/>
        <v>0</v>
      </c>
      <c r="C619" s="5" t="str">
        <f t="shared" si="45"/>
        <v/>
      </c>
      <c r="D619" s="5" t="str">
        <f>IFERROR(IF(F619&lt;&gt;"",F619,VLOOKUP(MAX(C$2:C619),A$2:F619,2,FALSE)),"")</f>
        <v/>
      </c>
      <c r="E619" s="5" t="str">
        <f t="shared" si="47"/>
        <v/>
      </c>
      <c r="K619" t="str">
        <f>IFERROR(IF(VLOOKUP(E:E,'Old Report'!E:J,6,FALSE)="","",VLOOKUP(E:E,'Old Report'!E:J,6,FALSE)),"")</f>
        <v/>
      </c>
      <c r="L619" t="str">
        <f>IFERROR(IF(VLOOKUP(E:E,'Old Report'!E:L,8,FALSE)="","",VLOOKUP(E:E,'Old Report'!E:L,8,FALSE)),"")</f>
        <v/>
      </c>
      <c r="M619" s="5" t="str">
        <f t="shared" si="48"/>
        <v/>
      </c>
      <c r="N619" s="5" t="str">
        <f t="shared" si="49"/>
        <v/>
      </c>
    </row>
    <row r="620" spans="1:14" x14ac:dyDescent="0.25">
      <c r="A620" s="5">
        <v>619</v>
      </c>
      <c r="B620" s="5">
        <f t="shared" si="46"/>
        <v>0</v>
      </c>
      <c r="C620" s="5" t="str">
        <f t="shared" si="45"/>
        <v/>
      </c>
      <c r="D620" s="5" t="str">
        <f>IFERROR(IF(F620&lt;&gt;"",F620,VLOOKUP(MAX(C$2:C620),A$2:F620,2,FALSE)),"")</f>
        <v/>
      </c>
      <c r="E620" s="5" t="str">
        <f t="shared" si="47"/>
        <v/>
      </c>
      <c r="K620" t="str">
        <f>IFERROR(IF(VLOOKUP(E:E,'Old Report'!E:J,6,FALSE)="","",VLOOKUP(E:E,'Old Report'!E:J,6,FALSE)),"")</f>
        <v/>
      </c>
      <c r="L620" t="str">
        <f>IFERROR(IF(VLOOKUP(E:E,'Old Report'!E:L,8,FALSE)="","",VLOOKUP(E:E,'Old Report'!E:L,8,FALSE)),"")</f>
        <v/>
      </c>
      <c r="M620" s="5" t="str">
        <f t="shared" si="48"/>
        <v/>
      </c>
      <c r="N620" s="5" t="str">
        <f t="shared" si="49"/>
        <v/>
      </c>
    </row>
    <row r="621" spans="1:14" x14ac:dyDescent="0.25">
      <c r="A621" s="5">
        <v>620</v>
      </c>
      <c r="B621" s="5">
        <f t="shared" si="46"/>
        <v>0</v>
      </c>
      <c r="C621" s="5" t="str">
        <f t="shared" si="45"/>
        <v/>
      </c>
      <c r="D621" s="5" t="str">
        <f>IFERROR(IF(F621&lt;&gt;"",F621,VLOOKUP(MAX(C$2:C621),A$2:F621,2,FALSE)),"")</f>
        <v/>
      </c>
      <c r="E621" s="5" t="str">
        <f t="shared" si="47"/>
        <v/>
      </c>
      <c r="K621" t="str">
        <f>IFERROR(IF(VLOOKUP(E:E,'Old Report'!E:J,6,FALSE)="","",VLOOKUP(E:E,'Old Report'!E:J,6,FALSE)),"")</f>
        <v/>
      </c>
      <c r="L621" t="str">
        <f>IFERROR(IF(VLOOKUP(E:E,'Old Report'!E:L,8,FALSE)="","",VLOOKUP(E:E,'Old Report'!E:L,8,FALSE)),"")</f>
        <v/>
      </c>
      <c r="M621" s="5" t="str">
        <f t="shared" si="48"/>
        <v/>
      </c>
      <c r="N621" s="5" t="str">
        <f t="shared" si="49"/>
        <v/>
      </c>
    </row>
    <row r="622" spans="1:14" x14ac:dyDescent="0.25">
      <c r="A622" s="5">
        <v>621</v>
      </c>
      <c r="B622" s="5">
        <f t="shared" si="46"/>
        <v>0</v>
      </c>
      <c r="C622" s="5" t="str">
        <f t="shared" si="45"/>
        <v/>
      </c>
      <c r="D622" s="5" t="str">
        <f>IFERROR(IF(F622&lt;&gt;"",F622,VLOOKUP(MAX(C$2:C622),A$2:F622,2,FALSE)),"")</f>
        <v/>
      </c>
      <c r="E622" s="5" t="str">
        <f t="shared" si="47"/>
        <v/>
      </c>
      <c r="K622" t="str">
        <f>IFERROR(IF(VLOOKUP(E:E,'Old Report'!E:J,6,FALSE)="","",VLOOKUP(E:E,'Old Report'!E:J,6,FALSE)),"")</f>
        <v/>
      </c>
      <c r="L622" t="str">
        <f>IFERROR(IF(VLOOKUP(E:E,'Old Report'!E:L,8,FALSE)="","",VLOOKUP(E:E,'Old Report'!E:L,8,FALSE)),"")</f>
        <v/>
      </c>
      <c r="M622" s="5" t="str">
        <f t="shared" si="48"/>
        <v/>
      </c>
      <c r="N622" s="5" t="str">
        <f t="shared" si="49"/>
        <v/>
      </c>
    </row>
    <row r="623" spans="1:14" x14ac:dyDescent="0.25">
      <c r="A623" s="5">
        <v>622</v>
      </c>
      <c r="B623" s="5">
        <f t="shared" si="46"/>
        <v>0</v>
      </c>
      <c r="C623" s="5" t="str">
        <f t="shared" si="45"/>
        <v/>
      </c>
      <c r="D623" s="5" t="str">
        <f>IFERROR(IF(F623&lt;&gt;"",F623,VLOOKUP(MAX(C$2:C623),A$2:F623,2,FALSE)),"")</f>
        <v/>
      </c>
      <c r="E623" s="5" t="str">
        <f t="shared" si="47"/>
        <v/>
      </c>
      <c r="K623" t="str">
        <f>IFERROR(IF(VLOOKUP(E:E,'Old Report'!E:J,6,FALSE)="","",VLOOKUP(E:E,'Old Report'!E:J,6,FALSE)),"")</f>
        <v/>
      </c>
      <c r="L623" t="str">
        <f>IFERROR(IF(VLOOKUP(E:E,'Old Report'!E:L,8,FALSE)="","",VLOOKUP(E:E,'Old Report'!E:L,8,FALSE)),"")</f>
        <v/>
      </c>
      <c r="M623" s="5" t="str">
        <f t="shared" si="48"/>
        <v/>
      </c>
      <c r="N623" s="5" t="str">
        <f t="shared" si="49"/>
        <v/>
      </c>
    </row>
    <row r="624" spans="1:14" x14ac:dyDescent="0.25">
      <c r="A624" s="5">
        <v>623</v>
      </c>
      <c r="B624" s="5">
        <f t="shared" si="46"/>
        <v>0</v>
      </c>
      <c r="C624" s="5" t="str">
        <f t="shared" si="45"/>
        <v/>
      </c>
      <c r="D624" s="5" t="str">
        <f>IFERROR(IF(F624&lt;&gt;"",F624,VLOOKUP(MAX(C$2:C624),A$2:F624,2,FALSE)),"")</f>
        <v/>
      </c>
      <c r="E624" s="5" t="str">
        <f t="shared" si="47"/>
        <v/>
      </c>
      <c r="K624" t="str">
        <f>IFERROR(IF(VLOOKUP(E:E,'Old Report'!E:J,6,FALSE)="","",VLOOKUP(E:E,'Old Report'!E:J,6,FALSE)),"")</f>
        <v/>
      </c>
      <c r="L624" t="str">
        <f>IFERROR(IF(VLOOKUP(E:E,'Old Report'!E:L,8,FALSE)="","",VLOOKUP(E:E,'Old Report'!E:L,8,FALSE)),"")</f>
        <v/>
      </c>
      <c r="M624" s="5" t="str">
        <f t="shared" si="48"/>
        <v/>
      </c>
      <c r="N624" s="5" t="str">
        <f t="shared" si="49"/>
        <v/>
      </c>
    </row>
    <row r="625" spans="1:14" x14ac:dyDescent="0.25">
      <c r="A625" s="5">
        <v>624</v>
      </c>
      <c r="B625" s="5">
        <f t="shared" si="46"/>
        <v>0</v>
      </c>
      <c r="C625" s="5" t="str">
        <f t="shared" si="45"/>
        <v/>
      </c>
      <c r="D625" s="5" t="str">
        <f>IFERROR(IF(F625&lt;&gt;"",F625,VLOOKUP(MAX(C$2:C625),A$2:F625,2,FALSE)),"")</f>
        <v/>
      </c>
      <c r="E625" s="5" t="str">
        <f t="shared" si="47"/>
        <v/>
      </c>
      <c r="K625" t="str">
        <f>IFERROR(IF(VLOOKUP(E:E,'Old Report'!E:J,6,FALSE)="","",VLOOKUP(E:E,'Old Report'!E:J,6,FALSE)),"")</f>
        <v/>
      </c>
      <c r="L625" t="str">
        <f>IFERROR(IF(VLOOKUP(E:E,'Old Report'!E:L,8,FALSE)="","",VLOOKUP(E:E,'Old Report'!E:L,8,FALSE)),"")</f>
        <v/>
      </c>
      <c r="M625" s="5" t="str">
        <f t="shared" si="48"/>
        <v/>
      </c>
      <c r="N625" s="5" t="str">
        <f t="shared" si="49"/>
        <v/>
      </c>
    </row>
    <row r="626" spans="1:14" x14ac:dyDescent="0.25">
      <c r="A626" s="5">
        <v>625</v>
      </c>
      <c r="B626" s="5">
        <f t="shared" si="46"/>
        <v>0</v>
      </c>
      <c r="C626" s="5" t="str">
        <f t="shared" si="45"/>
        <v/>
      </c>
      <c r="D626" s="5" t="str">
        <f>IFERROR(IF(F626&lt;&gt;"",F626,VLOOKUP(MAX(C$2:C626),A$2:F626,2,FALSE)),"")</f>
        <v/>
      </c>
      <c r="E626" s="5" t="str">
        <f t="shared" si="47"/>
        <v/>
      </c>
      <c r="K626" t="str">
        <f>IFERROR(IF(VLOOKUP(E:E,'Old Report'!E:J,6,FALSE)="","",VLOOKUP(E:E,'Old Report'!E:J,6,FALSE)),"")</f>
        <v/>
      </c>
      <c r="L626" t="str">
        <f>IFERROR(IF(VLOOKUP(E:E,'Old Report'!E:L,8,FALSE)="","",VLOOKUP(E:E,'Old Report'!E:L,8,FALSE)),"")</f>
        <v/>
      </c>
      <c r="M626" s="5" t="str">
        <f t="shared" si="48"/>
        <v/>
      </c>
      <c r="N626" s="5" t="str">
        <f t="shared" si="49"/>
        <v/>
      </c>
    </row>
    <row r="627" spans="1:14" x14ac:dyDescent="0.25">
      <c r="A627" s="5">
        <v>626</v>
      </c>
      <c r="B627" s="5">
        <f t="shared" si="46"/>
        <v>0</v>
      </c>
      <c r="C627" s="5" t="str">
        <f t="shared" si="45"/>
        <v/>
      </c>
      <c r="D627" s="5" t="str">
        <f>IFERROR(IF(F627&lt;&gt;"",F627,VLOOKUP(MAX(C$2:C627),A$2:F627,2,FALSE)),"")</f>
        <v/>
      </c>
      <c r="E627" s="5" t="str">
        <f t="shared" si="47"/>
        <v/>
      </c>
      <c r="K627" t="str">
        <f>IFERROR(IF(VLOOKUP(E:E,'Old Report'!E:J,6,FALSE)="","",VLOOKUP(E:E,'Old Report'!E:J,6,FALSE)),"")</f>
        <v/>
      </c>
      <c r="L627" t="str">
        <f>IFERROR(IF(VLOOKUP(E:E,'Old Report'!E:L,8,FALSE)="","",VLOOKUP(E:E,'Old Report'!E:L,8,FALSE)),"")</f>
        <v/>
      </c>
      <c r="M627" s="5" t="str">
        <f t="shared" si="48"/>
        <v/>
      </c>
      <c r="N627" s="5" t="str">
        <f t="shared" si="49"/>
        <v/>
      </c>
    </row>
    <row r="628" spans="1:14" x14ac:dyDescent="0.25">
      <c r="A628" s="5">
        <v>627</v>
      </c>
      <c r="B628" s="5">
        <f t="shared" si="46"/>
        <v>0</v>
      </c>
      <c r="C628" s="5" t="str">
        <f t="shared" si="45"/>
        <v/>
      </c>
      <c r="D628" s="5" t="str">
        <f>IFERROR(IF(F628&lt;&gt;"",F628,VLOOKUP(MAX(C$2:C628),A$2:F628,2,FALSE)),"")</f>
        <v/>
      </c>
      <c r="E628" s="5" t="str">
        <f t="shared" si="47"/>
        <v/>
      </c>
      <c r="K628" t="str">
        <f>IFERROR(IF(VLOOKUP(E:E,'Old Report'!E:J,6,FALSE)="","",VLOOKUP(E:E,'Old Report'!E:J,6,FALSE)),"")</f>
        <v/>
      </c>
      <c r="L628" t="str">
        <f>IFERROR(IF(VLOOKUP(E:E,'Old Report'!E:L,8,FALSE)="","",VLOOKUP(E:E,'Old Report'!E:L,8,FALSE)),"")</f>
        <v/>
      </c>
      <c r="M628" s="5" t="str">
        <f t="shared" si="48"/>
        <v/>
      </c>
      <c r="N628" s="5" t="str">
        <f t="shared" si="49"/>
        <v/>
      </c>
    </row>
    <row r="629" spans="1:14" x14ac:dyDescent="0.25">
      <c r="A629" s="5">
        <v>628</v>
      </c>
      <c r="B629" s="5">
        <f t="shared" si="46"/>
        <v>0</v>
      </c>
      <c r="C629" s="5" t="str">
        <f t="shared" si="45"/>
        <v/>
      </c>
      <c r="D629" s="5" t="str">
        <f>IFERROR(IF(F629&lt;&gt;"",F629,VLOOKUP(MAX(C$2:C629),A$2:F629,2,FALSE)),"")</f>
        <v/>
      </c>
      <c r="E629" s="5" t="str">
        <f t="shared" si="47"/>
        <v/>
      </c>
      <c r="K629" t="str">
        <f>IFERROR(IF(VLOOKUP(E:E,'Old Report'!E:J,6,FALSE)="","",VLOOKUP(E:E,'Old Report'!E:J,6,FALSE)),"")</f>
        <v/>
      </c>
      <c r="L629" t="str">
        <f>IFERROR(IF(VLOOKUP(E:E,'Old Report'!E:L,8,FALSE)="","",VLOOKUP(E:E,'Old Report'!E:L,8,FALSE)),"")</f>
        <v/>
      </c>
      <c r="M629" s="5" t="str">
        <f t="shared" si="48"/>
        <v/>
      </c>
      <c r="N629" s="5" t="str">
        <f t="shared" si="49"/>
        <v/>
      </c>
    </row>
    <row r="630" spans="1:14" x14ac:dyDescent="0.25">
      <c r="A630" s="5">
        <v>629</v>
      </c>
      <c r="B630" s="5">
        <f t="shared" si="46"/>
        <v>0</v>
      </c>
      <c r="C630" s="5" t="str">
        <f t="shared" si="45"/>
        <v/>
      </c>
      <c r="D630" s="5" t="str">
        <f>IFERROR(IF(F630&lt;&gt;"",F630,VLOOKUP(MAX(C$2:C630),A$2:F630,2,FALSE)),"")</f>
        <v/>
      </c>
      <c r="E630" s="5" t="str">
        <f t="shared" si="47"/>
        <v/>
      </c>
      <c r="K630" t="str">
        <f>IFERROR(IF(VLOOKUP(E:E,'Old Report'!E:J,6,FALSE)="","",VLOOKUP(E:E,'Old Report'!E:J,6,FALSE)),"")</f>
        <v/>
      </c>
      <c r="L630" t="str">
        <f>IFERROR(IF(VLOOKUP(E:E,'Old Report'!E:L,8,FALSE)="","",VLOOKUP(E:E,'Old Report'!E:L,8,FALSE)),"")</f>
        <v/>
      </c>
      <c r="M630" s="5" t="str">
        <f t="shared" si="48"/>
        <v/>
      </c>
      <c r="N630" s="5" t="str">
        <f t="shared" si="49"/>
        <v/>
      </c>
    </row>
    <row r="631" spans="1:14" x14ac:dyDescent="0.25">
      <c r="A631" s="5">
        <v>630</v>
      </c>
      <c r="B631" s="5">
        <f t="shared" si="46"/>
        <v>0</v>
      </c>
      <c r="C631" s="5" t="str">
        <f t="shared" si="45"/>
        <v/>
      </c>
      <c r="D631" s="5" t="str">
        <f>IFERROR(IF(F631&lt;&gt;"",F631,VLOOKUP(MAX(C$2:C631),A$2:F631,2,FALSE)),"")</f>
        <v/>
      </c>
      <c r="E631" s="5" t="str">
        <f t="shared" si="47"/>
        <v/>
      </c>
      <c r="K631" t="str">
        <f>IFERROR(IF(VLOOKUP(E:E,'Old Report'!E:J,6,FALSE)="","",VLOOKUP(E:E,'Old Report'!E:J,6,FALSE)),"")</f>
        <v/>
      </c>
      <c r="L631" t="str">
        <f>IFERROR(IF(VLOOKUP(E:E,'Old Report'!E:L,8,FALSE)="","",VLOOKUP(E:E,'Old Report'!E:L,8,FALSE)),"")</f>
        <v/>
      </c>
      <c r="M631" s="5" t="str">
        <f t="shared" si="48"/>
        <v/>
      </c>
      <c r="N631" s="5" t="str">
        <f t="shared" si="49"/>
        <v/>
      </c>
    </row>
    <row r="632" spans="1:14" x14ac:dyDescent="0.25">
      <c r="A632" s="5">
        <v>631</v>
      </c>
      <c r="B632" s="5">
        <f t="shared" si="46"/>
        <v>0</v>
      </c>
      <c r="C632" s="5" t="str">
        <f t="shared" si="45"/>
        <v/>
      </c>
      <c r="D632" s="5" t="str">
        <f>IFERROR(IF(F632&lt;&gt;"",F632,VLOOKUP(MAX(C$2:C632),A$2:F632,2,FALSE)),"")</f>
        <v/>
      </c>
      <c r="E632" s="5" t="str">
        <f t="shared" si="47"/>
        <v/>
      </c>
      <c r="K632" t="str">
        <f>IFERROR(IF(VLOOKUP(E:E,'Old Report'!E:J,6,FALSE)="","",VLOOKUP(E:E,'Old Report'!E:J,6,FALSE)),"")</f>
        <v/>
      </c>
      <c r="L632" t="str">
        <f>IFERROR(IF(VLOOKUP(E:E,'Old Report'!E:L,8,FALSE)="","",VLOOKUP(E:E,'Old Report'!E:L,8,FALSE)),"")</f>
        <v/>
      </c>
      <c r="M632" s="5" t="str">
        <f t="shared" si="48"/>
        <v/>
      </c>
      <c r="N632" s="5" t="str">
        <f t="shared" si="49"/>
        <v/>
      </c>
    </row>
    <row r="633" spans="1:14" x14ac:dyDescent="0.25">
      <c r="A633" s="5">
        <v>632</v>
      </c>
      <c r="B633" s="5">
        <f t="shared" si="46"/>
        <v>0</v>
      </c>
      <c r="C633" s="5" t="str">
        <f t="shared" si="45"/>
        <v/>
      </c>
      <c r="D633" s="5" t="str">
        <f>IFERROR(IF(F633&lt;&gt;"",F633,VLOOKUP(MAX(C$2:C633),A$2:F633,2,FALSE)),"")</f>
        <v/>
      </c>
      <c r="E633" s="5" t="str">
        <f t="shared" si="47"/>
        <v/>
      </c>
      <c r="K633" t="str">
        <f>IFERROR(IF(VLOOKUP(E:E,'Old Report'!E:J,6,FALSE)="","",VLOOKUP(E:E,'Old Report'!E:J,6,FALSE)),"")</f>
        <v/>
      </c>
      <c r="L633" t="str">
        <f>IFERROR(IF(VLOOKUP(E:E,'Old Report'!E:L,8,FALSE)="","",VLOOKUP(E:E,'Old Report'!E:L,8,FALSE)),"")</f>
        <v/>
      </c>
      <c r="M633" s="5" t="str">
        <f t="shared" si="48"/>
        <v/>
      </c>
      <c r="N633" s="5" t="str">
        <f t="shared" si="49"/>
        <v/>
      </c>
    </row>
    <row r="634" spans="1:14" x14ac:dyDescent="0.25">
      <c r="A634" s="5">
        <v>633</v>
      </c>
      <c r="B634" s="5">
        <f t="shared" si="46"/>
        <v>0</v>
      </c>
      <c r="C634" s="5" t="str">
        <f t="shared" si="45"/>
        <v/>
      </c>
      <c r="D634" s="5" t="str">
        <f>IFERROR(IF(F634&lt;&gt;"",F634,VLOOKUP(MAX(C$2:C634),A$2:F634,2,FALSE)),"")</f>
        <v/>
      </c>
      <c r="E634" s="5" t="str">
        <f t="shared" si="47"/>
        <v/>
      </c>
      <c r="K634" t="str">
        <f>IFERROR(IF(VLOOKUP(E:E,'Old Report'!E:J,6,FALSE)="","",VLOOKUP(E:E,'Old Report'!E:J,6,FALSE)),"")</f>
        <v/>
      </c>
      <c r="L634" t="str">
        <f>IFERROR(IF(VLOOKUP(E:E,'Old Report'!E:L,8,FALSE)="","",VLOOKUP(E:E,'Old Report'!E:L,8,FALSE)),"")</f>
        <v/>
      </c>
      <c r="M634" s="5" t="str">
        <f t="shared" si="48"/>
        <v/>
      </c>
      <c r="N634" s="5" t="str">
        <f t="shared" si="49"/>
        <v/>
      </c>
    </row>
    <row r="635" spans="1:14" x14ac:dyDescent="0.25">
      <c r="A635" s="5">
        <v>634</v>
      </c>
      <c r="B635" s="5">
        <f t="shared" si="46"/>
        <v>0</v>
      </c>
      <c r="C635" s="5" t="str">
        <f t="shared" si="45"/>
        <v/>
      </c>
      <c r="D635" s="5" t="str">
        <f>IFERROR(IF(F635&lt;&gt;"",F635,VLOOKUP(MAX(C$2:C635),A$2:F635,2,FALSE)),"")</f>
        <v/>
      </c>
      <c r="E635" s="5" t="str">
        <f t="shared" si="47"/>
        <v/>
      </c>
      <c r="K635" t="str">
        <f>IFERROR(IF(VLOOKUP(E:E,'Old Report'!E:J,6,FALSE)="","",VLOOKUP(E:E,'Old Report'!E:J,6,FALSE)),"")</f>
        <v/>
      </c>
      <c r="L635" t="str">
        <f>IFERROR(IF(VLOOKUP(E:E,'Old Report'!E:L,8,FALSE)="","",VLOOKUP(E:E,'Old Report'!E:L,8,FALSE)),"")</f>
        <v/>
      </c>
      <c r="M635" s="5" t="str">
        <f t="shared" si="48"/>
        <v/>
      </c>
      <c r="N635" s="5" t="str">
        <f t="shared" si="49"/>
        <v/>
      </c>
    </row>
    <row r="636" spans="1:14" x14ac:dyDescent="0.25">
      <c r="A636" s="5">
        <v>635</v>
      </c>
      <c r="B636" s="5">
        <f t="shared" si="46"/>
        <v>0</v>
      </c>
      <c r="C636" s="5" t="str">
        <f t="shared" si="45"/>
        <v/>
      </c>
      <c r="D636" s="5" t="str">
        <f>IFERROR(IF(F636&lt;&gt;"",F636,VLOOKUP(MAX(C$2:C636),A$2:F636,2,FALSE)),"")</f>
        <v/>
      </c>
      <c r="E636" s="5" t="str">
        <f t="shared" si="47"/>
        <v/>
      </c>
      <c r="K636" t="str">
        <f>IFERROR(IF(VLOOKUP(E:E,'Old Report'!E:J,6,FALSE)="","",VLOOKUP(E:E,'Old Report'!E:J,6,FALSE)),"")</f>
        <v/>
      </c>
      <c r="L636" t="str">
        <f>IFERROR(IF(VLOOKUP(E:E,'Old Report'!E:L,8,FALSE)="","",VLOOKUP(E:E,'Old Report'!E:L,8,FALSE)),"")</f>
        <v/>
      </c>
      <c r="M636" s="5" t="str">
        <f t="shared" si="48"/>
        <v/>
      </c>
      <c r="N636" s="5" t="str">
        <f t="shared" si="49"/>
        <v/>
      </c>
    </row>
    <row r="637" spans="1:14" x14ac:dyDescent="0.25">
      <c r="A637" s="5">
        <v>636</v>
      </c>
      <c r="B637" s="5">
        <f t="shared" si="46"/>
        <v>0</v>
      </c>
      <c r="C637" s="5" t="str">
        <f t="shared" si="45"/>
        <v/>
      </c>
      <c r="D637" s="5" t="str">
        <f>IFERROR(IF(F637&lt;&gt;"",F637,VLOOKUP(MAX(C$2:C637),A$2:F637,2,FALSE)),"")</f>
        <v/>
      </c>
      <c r="E637" s="5" t="str">
        <f t="shared" si="47"/>
        <v/>
      </c>
      <c r="K637" t="str">
        <f>IFERROR(IF(VLOOKUP(E:E,'Old Report'!E:J,6,FALSE)="","",VLOOKUP(E:E,'Old Report'!E:J,6,FALSE)),"")</f>
        <v/>
      </c>
      <c r="L637" t="str">
        <f>IFERROR(IF(VLOOKUP(E:E,'Old Report'!E:L,8,FALSE)="","",VLOOKUP(E:E,'Old Report'!E:L,8,FALSE)),"")</f>
        <v/>
      </c>
      <c r="M637" s="5" t="str">
        <f t="shared" si="48"/>
        <v/>
      </c>
      <c r="N637" s="5" t="str">
        <f t="shared" si="49"/>
        <v/>
      </c>
    </row>
    <row r="638" spans="1:14" x14ac:dyDescent="0.25">
      <c r="A638" s="5">
        <v>637</v>
      </c>
      <c r="B638" s="5">
        <f t="shared" si="46"/>
        <v>0</v>
      </c>
      <c r="C638" s="5" t="str">
        <f t="shared" si="45"/>
        <v/>
      </c>
      <c r="D638" s="5" t="str">
        <f>IFERROR(IF(F638&lt;&gt;"",F638,VLOOKUP(MAX(C$2:C638),A$2:F638,2,FALSE)),"")</f>
        <v/>
      </c>
      <c r="E638" s="5" t="str">
        <f t="shared" si="47"/>
        <v/>
      </c>
      <c r="K638" t="str">
        <f>IFERROR(IF(VLOOKUP(E:E,'Old Report'!E:J,6,FALSE)="","",VLOOKUP(E:E,'Old Report'!E:J,6,FALSE)),"")</f>
        <v/>
      </c>
      <c r="L638" t="str">
        <f>IFERROR(IF(VLOOKUP(E:E,'Old Report'!E:L,8,FALSE)="","",VLOOKUP(E:E,'Old Report'!E:L,8,FALSE)),"")</f>
        <v/>
      </c>
      <c r="M638" s="5" t="str">
        <f t="shared" si="48"/>
        <v/>
      </c>
      <c r="N638" s="5" t="str">
        <f t="shared" si="49"/>
        <v/>
      </c>
    </row>
    <row r="639" spans="1:14" x14ac:dyDescent="0.25">
      <c r="A639" s="5">
        <v>638</v>
      </c>
      <c r="B639" s="5">
        <f t="shared" si="46"/>
        <v>0</v>
      </c>
      <c r="C639" s="5" t="str">
        <f t="shared" si="45"/>
        <v/>
      </c>
      <c r="D639" s="5" t="str">
        <f>IFERROR(IF(F639&lt;&gt;"",F639,VLOOKUP(MAX(C$2:C639),A$2:F639,2,FALSE)),"")</f>
        <v/>
      </c>
      <c r="E639" s="5" t="str">
        <f t="shared" si="47"/>
        <v/>
      </c>
      <c r="K639" t="str">
        <f>IFERROR(IF(VLOOKUP(E:E,'Old Report'!E:J,6,FALSE)="","",VLOOKUP(E:E,'Old Report'!E:J,6,FALSE)),"")</f>
        <v/>
      </c>
      <c r="L639" t="str">
        <f>IFERROR(IF(VLOOKUP(E:E,'Old Report'!E:L,8,FALSE)="","",VLOOKUP(E:E,'Old Report'!E:L,8,FALSE)),"")</f>
        <v/>
      </c>
      <c r="M639" s="5" t="str">
        <f t="shared" si="48"/>
        <v/>
      </c>
      <c r="N639" s="5" t="str">
        <f t="shared" si="49"/>
        <v/>
      </c>
    </row>
    <row r="640" spans="1:14" x14ac:dyDescent="0.25">
      <c r="A640" s="5">
        <v>639</v>
      </c>
      <c r="B640" s="5">
        <f t="shared" si="46"/>
        <v>0</v>
      </c>
      <c r="C640" s="5" t="str">
        <f t="shared" si="45"/>
        <v/>
      </c>
      <c r="D640" s="5" t="str">
        <f>IFERROR(IF(F640&lt;&gt;"",F640,VLOOKUP(MAX(C$2:C640),A$2:F640,2,FALSE)),"")</f>
        <v/>
      </c>
      <c r="E640" s="5" t="str">
        <f t="shared" si="47"/>
        <v/>
      </c>
      <c r="K640" t="str">
        <f>IFERROR(IF(VLOOKUP(E:E,'Old Report'!E:J,6,FALSE)="","",VLOOKUP(E:E,'Old Report'!E:J,6,FALSE)),"")</f>
        <v/>
      </c>
      <c r="L640" t="str">
        <f>IFERROR(IF(VLOOKUP(E:E,'Old Report'!E:L,8,FALSE)="","",VLOOKUP(E:E,'Old Report'!E:L,8,FALSE)),"")</f>
        <v/>
      </c>
      <c r="M640" s="5" t="str">
        <f t="shared" si="48"/>
        <v/>
      </c>
      <c r="N640" s="5" t="str">
        <f t="shared" si="49"/>
        <v/>
      </c>
    </row>
    <row r="641" spans="1:14" x14ac:dyDescent="0.25">
      <c r="A641" s="5">
        <v>640</v>
      </c>
      <c r="B641" s="5">
        <f t="shared" si="46"/>
        <v>0</v>
      </c>
      <c r="C641" s="5" t="str">
        <f t="shared" si="45"/>
        <v/>
      </c>
      <c r="D641" s="5" t="str">
        <f>IFERROR(IF(F641&lt;&gt;"",F641,VLOOKUP(MAX(C$2:C641),A$2:F641,2,FALSE)),"")</f>
        <v/>
      </c>
      <c r="E641" s="5" t="str">
        <f t="shared" si="47"/>
        <v/>
      </c>
      <c r="K641" t="str">
        <f>IFERROR(IF(VLOOKUP(E:E,'Old Report'!E:J,6,FALSE)="","",VLOOKUP(E:E,'Old Report'!E:J,6,FALSE)),"")</f>
        <v/>
      </c>
      <c r="L641" t="str">
        <f>IFERROR(IF(VLOOKUP(E:E,'Old Report'!E:L,8,FALSE)="","",VLOOKUP(E:E,'Old Report'!E:L,8,FALSE)),"")</f>
        <v/>
      </c>
      <c r="M641" s="5" t="str">
        <f t="shared" si="48"/>
        <v/>
      </c>
      <c r="N641" s="5" t="str">
        <f t="shared" si="49"/>
        <v/>
      </c>
    </row>
    <row r="642" spans="1:14" x14ac:dyDescent="0.25">
      <c r="A642" s="5">
        <v>641</v>
      </c>
      <c r="B642" s="5">
        <f t="shared" si="46"/>
        <v>0</v>
      </c>
      <c r="C642" s="5" t="str">
        <f t="shared" ref="C642:C705" si="50">IF(F642&lt;&gt;"",A642,"")</f>
        <v/>
      </c>
      <c r="D642" s="5" t="str">
        <f>IFERROR(IF(F642&lt;&gt;"",F642,VLOOKUP(MAX(C$2:C642),A$2:F642,2,FALSE)),"")</f>
        <v/>
      </c>
      <c r="E642" s="5" t="str">
        <f t="shared" si="47"/>
        <v/>
      </c>
      <c r="K642" t="str">
        <f>IFERROR(IF(VLOOKUP(E:E,'Old Report'!E:J,6,FALSE)="","",VLOOKUP(E:E,'Old Report'!E:J,6,FALSE)),"")</f>
        <v/>
      </c>
      <c r="L642" t="str">
        <f>IFERROR(IF(VLOOKUP(E:E,'Old Report'!E:L,8,FALSE)="","",VLOOKUP(E:E,'Old Report'!E:L,8,FALSE)),"")</f>
        <v/>
      </c>
      <c r="M642" s="5" t="str">
        <f t="shared" si="48"/>
        <v/>
      </c>
      <c r="N642" s="5" t="str">
        <f t="shared" si="49"/>
        <v/>
      </c>
    </row>
    <row r="643" spans="1:14" x14ac:dyDescent="0.25">
      <c r="A643" s="5">
        <v>642</v>
      </c>
      <c r="B643" s="5">
        <f t="shared" ref="B643:B706" si="51">IF(F644&lt;&gt;"",F644,F643)</f>
        <v>0</v>
      </c>
      <c r="C643" s="5" t="str">
        <f t="shared" si="50"/>
        <v/>
      </c>
      <c r="D643" s="5" t="str">
        <f>IFERROR(IF(F643&lt;&gt;"",F643,VLOOKUP(MAX(C$2:C643),A$2:F643,2,FALSE)),"")</f>
        <v/>
      </c>
      <c r="E643" s="5" t="str">
        <f t="shared" ref="E643:E706" si="52">IF(H643&lt;&gt;"",CONCATENATE(D643,".",H643),"")</f>
        <v/>
      </c>
      <c r="K643" t="str">
        <f>IFERROR(IF(VLOOKUP(E:E,'Old Report'!E:J,6,FALSE)="","",VLOOKUP(E:E,'Old Report'!E:J,6,FALSE)),"")</f>
        <v/>
      </c>
      <c r="L643" t="str">
        <f>IFERROR(IF(VLOOKUP(E:E,'Old Report'!E:L,8,FALSE)="","",VLOOKUP(E:E,'Old Report'!E:L,8,FALSE)),"")</f>
        <v/>
      </c>
      <c r="M643" s="5" t="str">
        <f t="shared" si="48"/>
        <v/>
      </c>
      <c r="N643" s="5" t="str">
        <f t="shared" si="49"/>
        <v/>
      </c>
    </row>
    <row r="644" spans="1:14" x14ac:dyDescent="0.25">
      <c r="A644" s="5">
        <v>643</v>
      </c>
      <c r="B644" s="5">
        <f t="shared" si="51"/>
        <v>0</v>
      </c>
      <c r="C644" s="5" t="str">
        <f t="shared" si="50"/>
        <v/>
      </c>
      <c r="D644" s="5" t="str">
        <f>IFERROR(IF(F644&lt;&gt;"",F644,VLOOKUP(MAX(C$2:C644),A$2:F644,2,FALSE)),"")</f>
        <v/>
      </c>
      <c r="E644" s="5" t="str">
        <f t="shared" si="52"/>
        <v/>
      </c>
      <c r="K644" t="str">
        <f>IFERROR(IF(VLOOKUP(E:E,'Old Report'!E:J,6,FALSE)="","",VLOOKUP(E:E,'Old Report'!E:J,6,FALSE)),"")</f>
        <v/>
      </c>
      <c r="L644" t="str">
        <f>IFERROR(IF(VLOOKUP(E:E,'Old Report'!E:L,8,FALSE)="","",VLOOKUP(E:E,'Old Report'!E:L,8,FALSE)),"")</f>
        <v/>
      </c>
      <c r="M644" s="5" t="str">
        <f t="shared" ref="M644:M707" si="53">IFERROR(L644,"")</f>
        <v/>
      </c>
      <c r="N644" s="5" t="str">
        <f t="shared" ref="N644:N707" si="54">IFERROR( IF(J644&lt;&gt;"",IF(K644 &lt;&gt; "",IF(J644 = K644,"No Change",IF(J644 &lt; K644,CONCATENATE("Issues reduced from ",K644," to ",J644),IF(J644&gt;K644,CONCATENATE("Issues increased from ",K644," to ",J644),""))),"New issue - needs to be checked"),""),"")</f>
        <v/>
      </c>
    </row>
    <row r="645" spans="1:14" x14ac:dyDescent="0.25">
      <c r="A645" s="5">
        <v>644</v>
      </c>
      <c r="B645" s="5">
        <f t="shared" si="51"/>
        <v>0</v>
      </c>
      <c r="C645" s="5" t="str">
        <f t="shared" si="50"/>
        <v/>
      </c>
      <c r="D645" s="5" t="str">
        <f>IFERROR(IF(F645&lt;&gt;"",F645,VLOOKUP(MAX(C$2:C645),A$2:F645,2,FALSE)),"")</f>
        <v/>
      </c>
      <c r="E645" s="5" t="str">
        <f t="shared" si="52"/>
        <v/>
      </c>
      <c r="K645" t="str">
        <f>IFERROR(IF(VLOOKUP(E:E,'Old Report'!E:J,6,FALSE)="","",VLOOKUP(E:E,'Old Report'!E:J,6,FALSE)),"")</f>
        <v/>
      </c>
      <c r="L645" t="str">
        <f>IFERROR(IF(VLOOKUP(E:E,'Old Report'!E:L,8,FALSE)="","",VLOOKUP(E:E,'Old Report'!E:L,8,FALSE)),"")</f>
        <v/>
      </c>
      <c r="M645" s="5" t="str">
        <f t="shared" si="53"/>
        <v/>
      </c>
      <c r="N645" s="5" t="str">
        <f t="shared" si="54"/>
        <v/>
      </c>
    </row>
    <row r="646" spans="1:14" x14ac:dyDescent="0.25">
      <c r="A646" s="5">
        <v>645</v>
      </c>
      <c r="B646" s="5">
        <f t="shared" si="51"/>
        <v>0</v>
      </c>
      <c r="C646" s="5" t="str">
        <f t="shared" si="50"/>
        <v/>
      </c>
      <c r="D646" s="5" t="str">
        <f>IFERROR(IF(F646&lt;&gt;"",F646,VLOOKUP(MAX(C$2:C646),A$2:F646,2,FALSE)),"")</f>
        <v/>
      </c>
      <c r="E646" s="5" t="str">
        <f t="shared" si="52"/>
        <v/>
      </c>
      <c r="K646" t="str">
        <f>IFERROR(IF(VLOOKUP(E:E,'Old Report'!E:J,6,FALSE)="","",VLOOKUP(E:E,'Old Report'!E:J,6,FALSE)),"")</f>
        <v/>
      </c>
      <c r="L646" t="str">
        <f>IFERROR(IF(VLOOKUP(E:E,'Old Report'!E:L,8,FALSE)="","",VLOOKUP(E:E,'Old Report'!E:L,8,FALSE)),"")</f>
        <v/>
      </c>
      <c r="M646" s="5" t="str">
        <f t="shared" si="53"/>
        <v/>
      </c>
      <c r="N646" s="5" t="str">
        <f t="shared" si="54"/>
        <v/>
      </c>
    </row>
    <row r="647" spans="1:14" x14ac:dyDescent="0.25">
      <c r="A647" s="5">
        <v>646</v>
      </c>
      <c r="B647" s="5">
        <f t="shared" si="51"/>
        <v>0</v>
      </c>
      <c r="C647" s="5" t="str">
        <f t="shared" si="50"/>
        <v/>
      </c>
      <c r="D647" s="5" t="str">
        <f>IFERROR(IF(F647&lt;&gt;"",F647,VLOOKUP(MAX(C$2:C647),A$2:F647,2,FALSE)),"")</f>
        <v/>
      </c>
      <c r="E647" s="5" t="str">
        <f t="shared" si="52"/>
        <v/>
      </c>
      <c r="K647" t="str">
        <f>IFERROR(IF(VLOOKUP(E:E,'Old Report'!E:J,6,FALSE)="","",VLOOKUP(E:E,'Old Report'!E:J,6,FALSE)),"")</f>
        <v/>
      </c>
      <c r="L647" t="str">
        <f>IFERROR(IF(VLOOKUP(E:E,'Old Report'!E:L,8,FALSE)="","",VLOOKUP(E:E,'Old Report'!E:L,8,FALSE)),"")</f>
        <v/>
      </c>
      <c r="M647" s="5" t="str">
        <f t="shared" si="53"/>
        <v/>
      </c>
      <c r="N647" s="5" t="str">
        <f t="shared" si="54"/>
        <v/>
      </c>
    </row>
    <row r="648" spans="1:14" x14ac:dyDescent="0.25">
      <c r="A648" s="5">
        <v>647</v>
      </c>
      <c r="B648" s="5">
        <f t="shared" si="51"/>
        <v>0</v>
      </c>
      <c r="C648" s="5" t="str">
        <f t="shared" si="50"/>
        <v/>
      </c>
      <c r="D648" s="5" t="str">
        <f>IFERROR(IF(F648&lt;&gt;"",F648,VLOOKUP(MAX(C$2:C648),A$2:F648,2,FALSE)),"")</f>
        <v/>
      </c>
      <c r="E648" s="5" t="str">
        <f t="shared" si="52"/>
        <v/>
      </c>
      <c r="K648" t="str">
        <f>IFERROR(IF(VLOOKUP(E:E,'Old Report'!E:J,6,FALSE)="","",VLOOKUP(E:E,'Old Report'!E:J,6,FALSE)),"")</f>
        <v/>
      </c>
      <c r="L648" t="str">
        <f>IFERROR(IF(VLOOKUP(E:E,'Old Report'!E:L,8,FALSE)="","",VLOOKUP(E:E,'Old Report'!E:L,8,FALSE)),"")</f>
        <v/>
      </c>
      <c r="M648" s="5" t="str">
        <f t="shared" si="53"/>
        <v/>
      </c>
      <c r="N648" s="5" t="str">
        <f t="shared" si="54"/>
        <v/>
      </c>
    </row>
    <row r="649" spans="1:14" x14ac:dyDescent="0.25">
      <c r="A649" s="5">
        <v>648</v>
      </c>
      <c r="B649" s="5">
        <f t="shared" si="51"/>
        <v>0</v>
      </c>
      <c r="C649" s="5" t="str">
        <f t="shared" si="50"/>
        <v/>
      </c>
      <c r="D649" s="5" t="str">
        <f>IFERROR(IF(F649&lt;&gt;"",F649,VLOOKUP(MAX(C$2:C649),A$2:F649,2,FALSE)),"")</f>
        <v/>
      </c>
      <c r="E649" s="5" t="str">
        <f t="shared" si="52"/>
        <v/>
      </c>
      <c r="K649" t="str">
        <f>IFERROR(IF(VLOOKUP(E:E,'Old Report'!E:J,6,FALSE)="","",VLOOKUP(E:E,'Old Report'!E:J,6,FALSE)),"")</f>
        <v/>
      </c>
      <c r="L649" t="str">
        <f>IFERROR(IF(VLOOKUP(E:E,'Old Report'!E:L,8,FALSE)="","",VLOOKUP(E:E,'Old Report'!E:L,8,FALSE)),"")</f>
        <v/>
      </c>
      <c r="M649" s="5" t="str">
        <f t="shared" si="53"/>
        <v/>
      </c>
      <c r="N649" s="5" t="str">
        <f t="shared" si="54"/>
        <v/>
      </c>
    </row>
    <row r="650" spans="1:14" x14ac:dyDescent="0.25">
      <c r="A650" s="5">
        <v>649</v>
      </c>
      <c r="B650" s="5">
        <f t="shared" si="51"/>
        <v>0</v>
      </c>
      <c r="C650" s="5" t="str">
        <f t="shared" si="50"/>
        <v/>
      </c>
      <c r="D650" s="5" t="str">
        <f>IFERROR(IF(F650&lt;&gt;"",F650,VLOOKUP(MAX(C$2:C650),A$2:F650,2,FALSE)),"")</f>
        <v/>
      </c>
      <c r="E650" s="5" t="str">
        <f t="shared" si="52"/>
        <v/>
      </c>
      <c r="K650" t="str">
        <f>IFERROR(IF(VLOOKUP(E:E,'Old Report'!E:J,6,FALSE)="","",VLOOKUP(E:E,'Old Report'!E:J,6,FALSE)),"")</f>
        <v/>
      </c>
      <c r="L650" t="str">
        <f>IFERROR(IF(VLOOKUP(E:E,'Old Report'!E:L,8,FALSE)="","",VLOOKUP(E:E,'Old Report'!E:L,8,FALSE)),"")</f>
        <v/>
      </c>
      <c r="M650" s="5" t="str">
        <f t="shared" si="53"/>
        <v/>
      </c>
      <c r="N650" s="5" t="str">
        <f t="shared" si="54"/>
        <v/>
      </c>
    </row>
    <row r="651" spans="1:14" x14ac:dyDescent="0.25">
      <c r="A651" s="5">
        <v>650</v>
      </c>
      <c r="B651" s="5">
        <f t="shared" si="51"/>
        <v>0</v>
      </c>
      <c r="C651" s="5" t="str">
        <f t="shared" si="50"/>
        <v/>
      </c>
      <c r="D651" s="5" t="str">
        <f>IFERROR(IF(F651&lt;&gt;"",F651,VLOOKUP(MAX(C$2:C651),A$2:F651,2,FALSE)),"")</f>
        <v/>
      </c>
      <c r="E651" s="5" t="str">
        <f t="shared" si="52"/>
        <v/>
      </c>
      <c r="K651" t="str">
        <f>IFERROR(IF(VLOOKUP(E:E,'Old Report'!E:J,6,FALSE)="","",VLOOKUP(E:E,'Old Report'!E:J,6,FALSE)),"")</f>
        <v/>
      </c>
      <c r="L651" t="str">
        <f>IFERROR(IF(VLOOKUP(E:E,'Old Report'!E:L,8,FALSE)="","",VLOOKUP(E:E,'Old Report'!E:L,8,FALSE)),"")</f>
        <v/>
      </c>
      <c r="M651" s="5" t="str">
        <f t="shared" si="53"/>
        <v/>
      </c>
      <c r="N651" s="5" t="str">
        <f t="shared" si="54"/>
        <v/>
      </c>
    </row>
    <row r="652" spans="1:14" x14ac:dyDescent="0.25">
      <c r="A652" s="5">
        <v>651</v>
      </c>
      <c r="B652" s="5">
        <f t="shared" si="51"/>
        <v>0</v>
      </c>
      <c r="C652" s="5" t="str">
        <f t="shared" si="50"/>
        <v/>
      </c>
      <c r="D652" s="5" t="str">
        <f>IFERROR(IF(F652&lt;&gt;"",F652,VLOOKUP(MAX(C$2:C652),A$2:F652,2,FALSE)),"")</f>
        <v/>
      </c>
      <c r="E652" s="5" t="str">
        <f t="shared" si="52"/>
        <v/>
      </c>
      <c r="K652" t="str">
        <f>IFERROR(IF(VLOOKUP(E:E,'Old Report'!E:J,6,FALSE)="","",VLOOKUP(E:E,'Old Report'!E:J,6,FALSE)),"")</f>
        <v/>
      </c>
      <c r="L652" t="str">
        <f>IFERROR(IF(VLOOKUP(E:E,'Old Report'!E:L,8,FALSE)="","",VLOOKUP(E:E,'Old Report'!E:L,8,FALSE)),"")</f>
        <v/>
      </c>
      <c r="M652" s="5" t="str">
        <f t="shared" si="53"/>
        <v/>
      </c>
      <c r="N652" s="5" t="str">
        <f t="shared" si="54"/>
        <v/>
      </c>
    </row>
    <row r="653" spans="1:14" x14ac:dyDescent="0.25">
      <c r="A653" s="5">
        <v>652</v>
      </c>
      <c r="B653" s="5">
        <f t="shared" si="51"/>
        <v>0</v>
      </c>
      <c r="C653" s="5" t="str">
        <f t="shared" si="50"/>
        <v/>
      </c>
      <c r="D653" s="5" t="str">
        <f>IFERROR(IF(F653&lt;&gt;"",F653,VLOOKUP(MAX(C$2:C653),A$2:F653,2,FALSE)),"")</f>
        <v/>
      </c>
      <c r="E653" s="5" t="str">
        <f t="shared" si="52"/>
        <v/>
      </c>
      <c r="K653" t="str">
        <f>IFERROR(IF(VLOOKUP(E:E,'Old Report'!E:J,6,FALSE)="","",VLOOKUP(E:E,'Old Report'!E:J,6,FALSE)),"")</f>
        <v/>
      </c>
      <c r="L653" t="str">
        <f>IFERROR(IF(VLOOKUP(E:E,'Old Report'!E:L,8,FALSE)="","",VLOOKUP(E:E,'Old Report'!E:L,8,FALSE)),"")</f>
        <v/>
      </c>
      <c r="M653" s="5" t="str">
        <f t="shared" si="53"/>
        <v/>
      </c>
      <c r="N653" s="5" t="str">
        <f t="shared" si="54"/>
        <v/>
      </c>
    </row>
    <row r="654" spans="1:14" x14ac:dyDescent="0.25">
      <c r="A654" s="5">
        <v>653</v>
      </c>
      <c r="B654" s="5">
        <f t="shared" si="51"/>
        <v>0</v>
      </c>
      <c r="C654" s="5" t="str">
        <f t="shared" si="50"/>
        <v/>
      </c>
      <c r="D654" s="5" t="str">
        <f>IFERROR(IF(F654&lt;&gt;"",F654,VLOOKUP(MAX(C$2:C654),A$2:F654,2,FALSE)),"")</f>
        <v/>
      </c>
      <c r="E654" s="5" t="str">
        <f t="shared" si="52"/>
        <v/>
      </c>
      <c r="K654" t="str">
        <f>IFERROR(IF(VLOOKUP(E:E,'Old Report'!E:J,6,FALSE)="","",VLOOKUP(E:E,'Old Report'!E:J,6,FALSE)),"")</f>
        <v/>
      </c>
      <c r="L654" t="str">
        <f>IFERROR(IF(VLOOKUP(E:E,'Old Report'!E:L,8,FALSE)="","",VLOOKUP(E:E,'Old Report'!E:L,8,FALSE)),"")</f>
        <v/>
      </c>
      <c r="M654" s="5" t="str">
        <f t="shared" si="53"/>
        <v/>
      </c>
      <c r="N654" s="5" t="str">
        <f t="shared" si="54"/>
        <v/>
      </c>
    </row>
    <row r="655" spans="1:14" x14ac:dyDescent="0.25">
      <c r="A655" s="5">
        <v>654</v>
      </c>
      <c r="B655" s="5">
        <f t="shared" si="51"/>
        <v>0</v>
      </c>
      <c r="C655" s="5" t="str">
        <f t="shared" si="50"/>
        <v/>
      </c>
      <c r="D655" s="5" t="str">
        <f>IFERROR(IF(F655&lt;&gt;"",F655,VLOOKUP(MAX(C$2:C655),A$2:F655,2,FALSE)),"")</f>
        <v/>
      </c>
      <c r="E655" s="5" t="str">
        <f t="shared" si="52"/>
        <v/>
      </c>
      <c r="K655" t="str">
        <f>IFERROR(IF(VLOOKUP(E:E,'Old Report'!E:J,6,FALSE)="","",VLOOKUP(E:E,'Old Report'!E:J,6,FALSE)),"")</f>
        <v/>
      </c>
      <c r="L655" t="str">
        <f>IFERROR(IF(VLOOKUP(E:E,'Old Report'!E:L,8,FALSE)="","",VLOOKUP(E:E,'Old Report'!E:L,8,FALSE)),"")</f>
        <v/>
      </c>
      <c r="M655" s="5" t="str">
        <f t="shared" si="53"/>
        <v/>
      </c>
      <c r="N655" s="5" t="str">
        <f t="shared" si="54"/>
        <v/>
      </c>
    </row>
    <row r="656" spans="1:14" x14ac:dyDescent="0.25">
      <c r="A656" s="5">
        <v>655</v>
      </c>
      <c r="B656" s="5">
        <f t="shared" si="51"/>
        <v>0</v>
      </c>
      <c r="C656" s="5" t="str">
        <f t="shared" si="50"/>
        <v/>
      </c>
      <c r="D656" s="5" t="str">
        <f>IFERROR(IF(F656&lt;&gt;"",F656,VLOOKUP(MAX(C$2:C656),A$2:F656,2,FALSE)),"")</f>
        <v/>
      </c>
      <c r="E656" s="5" t="str">
        <f t="shared" si="52"/>
        <v/>
      </c>
      <c r="K656" t="str">
        <f>IFERROR(IF(VLOOKUP(E:E,'Old Report'!E:J,6,FALSE)="","",VLOOKUP(E:E,'Old Report'!E:J,6,FALSE)),"")</f>
        <v/>
      </c>
      <c r="L656" t="str">
        <f>IFERROR(IF(VLOOKUP(E:E,'Old Report'!E:L,8,FALSE)="","",VLOOKUP(E:E,'Old Report'!E:L,8,FALSE)),"")</f>
        <v/>
      </c>
      <c r="M656" s="5" t="str">
        <f t="shared" si="53"/>
        <v/>
      </c>
      <c r="N656" s="5" t="str">
        <f t="shared" si="54"/>
        <v/>
      </c>
    </row>
    <row r="657" spans="1:14" x14ac:dyDescent="0.25">
      <c r="A657" s="5">
        <v>656</v>
      </c>
      <c r="B657" s="5">
        <f t="shared" si="51"/>
        <v>0</v>
      </c>
      <c r="C657" s="5" t="str">
        <f t="shared" si="50"/>
        <v/>
      </c>
      <c r="D657" s="5" t="str">
        <f>IFERROR(IF(F657&lt;&gt;"",F657,VLOOKUP(MAX(C$2:C657),A$2:F657,2,FALSE)),"")</f>
        <v/>
      </c>
      <c r="E657" s="5" t="str">
        <f t="shared" si="52"/>
        <v/>
      </c>
      <c r="K657" t="str">
        <f>IFERROR(IF(VLOOKUP(E:E,'Old Report'!E:J,6,FALSE)="","",VLOOKUP(E:E,'Old Report'!E:J,6,FALSE)),"")</f>
        <v/>
      </c>
      <c r="L657" t="str">
        <f>IFERROR(IF(VLOOKUP(E:E,'Old Report'!E:L,8,FALSE)="","",VLOOKUP(E:E,'Old Report'!E:L,8,FALSE)),"")</f>
        <v/>
      </c>
      <c r="M657" s="5" t="str">
        <f t="shared" si="53"/>
        <v/>
      </c>
      <c r="N657" s="5" t="str">
        <f t="shared" si="54"/>
        <v/>
      </c>
    </row>
    <row r="658" spans="1:14" x14ac:dyDescent="0.25">
      <c r="A658" s="5">
        <v>657</v>
      </c>
      <c r="B658" s="5">
        <f t="shared" si="51"/>
        <v>0</v>
      </c>
      <c r="C658" s="5" t="str">
        <f t="shared" si="50"/>
        <v/>
      </c>
      <c r="D658" s="5" t="str">
        <f>IFERROR(IF(F658&lt;&gt;"",F658,VLOOKUP(MAX(C$2:C658),A$2:F658,2,FALSE)),"")</f>
        <v/>
      </c>
      <c r="E658" s="5" t="str">
        <f t="shared" si="52"/>
        <v/>
      </c>
      <c r="K658" t="str">
        <f>IFERROR(IF(VLOOKUP(E:E,'Old Report'!E:J,6,FALSE)="","",VLOOKUP(E:E,'Old Report'!E:J,6,FALSE)),"")</f>
        <v/>
      </c>
      <c r="L658" t="str">
        <f>IFERROR(IF(VLOOKUP(E:E,'Old Report'!E:L,8,FALSE)="","",VLOOKUP(E:E,'Old Report'!E:L,8,FALSE)),"")</f>
        <v/>
      </c>
      <c r="M658" s="5" t="str">
        <f t="shared" si="53"/>
        <v/>
      </c>
      <c r="N658" s="5" t="str">
        <f t="shared" si="54"/>
        <v/>
      </c>
    </row>
    <row r="659" spans="1:14" x14ac:dyDescent="0.25">
      <c r="A659" s="5">
        <v>658</v>
      </c>
      <c r="B659" s="5">
        <f t="shared" si="51"/>
        <v>0</v>
      </c>
      <c r="C659" s="5" t="str">
        <f t="shared" si="50"/>
        <v/>
      </c>
      <c r="D659" s="5" t="str">
        <f>IFERROR(IF(F659&lt;&gt;"",F659,VLOOKUP(MAX(C$2:C659),A$2:F659,2,FALSE)),"")</f>
        <v/>
      </c>
      <c r="E659" s="5" t="str">
        <f t="shared" si="52"/>
        <v/>
      </c>
      <c r="K659" t="str">
        <f>IFERROR(IF(VLOOKUP(E:E,'Old Report'!E:J,6,FALSE)="","",VLOOKUP(E:E,'Old Report'!E:J,6,FALSE)),"")</f>
        <v/>
      </c>
      <c r="L659" t="str">
        <f>IFERROR(IF(VLOOKUP(E:E,'Old Report'!E:L,8,FALSE)="","",VLOOKUP(E:E,'Old Report'!E:L,8,FALSE)),"")</f>
        <v/>
      </c>
      <c r="M659" s="5" t="str">
        <f t="shared" si="53"/>
        <v/>
      </c>
      <c r="N659" s="5" t="str">
        <f t="shared" si="54"/>
        <v/>
      </c>
    </row>
    <row r="660" spans="1:14" x14ac:dyDescent="0.25">
      <c r="A660" s="5">
        <v>659</v>
      </c>
      <c r="B660" s="5">
        <f t="shared" si="51"/>
        <v>0</v>
      </c>
      <c r="C660" s="5" t="str">
        <f t="shared" si="50"/>
        <v/>
      </c>
      <c r="D660" s="5" t="str">
        <f>IFERROR(IF(F660&lt;&gt;"",F660,VLOOKUP(MAX(C$2:C660),A$2:F660,2,FALSE)),"")</f>
        <v/>
      </c>
      <c r="E660" s="5" t="str">
        <f t="shared" si="52"/>
        <v/>
      </c>
      <c r="K660" t="str">
        <f>IFERROR(IF(VLOOKUP(E:E,'Old Report'!E:J,6,FALSE)="","",VLOOKUP(E:E,'Old Report'!E:J,6,FALSE)),"")</f>
        <v/>
      </c>
      <c r="L660" t="str">
        <f>IFERROR(IF(VLOOKUP(E:E,'Old Report'!E:L,8,FALSE)="","",VLOOKUP(E:E,'Old Report'!E:L,8,FALSE)),"")</f>
        <v/>
      </c>
      <c r="M660" s="5" t="str">
        <f t="shared" si="53"/>
        <v/>
      </c>
      <c r="N660" s="5" t="str">
        <f t="shared" si="54"/>
        <v/>
      </c>
    </row>
    <row r="661" spans="1:14" x14ac:dyDescent="0.25">
      <c r="A661" s="5">
        <v>660</v>
      </c>
      <c r="B661" s="5">
        <f t="shared" si="51"/>
        <v>0</v>
      </c>
      <c r="C661" s="5" t="str">
        <f t="shared" si="50"/>
        <v/>
      </c>
      <c r="D661" s="5" t="str">
        <f>IFERROR(IF(F661&lt;&gt;"",F661,VLOOKUP(MAX(C$2:C661),A$2:F661,2,FALSE)),"")</f>
        <v/>
      </c>
      <c r="E661" s="5" t="str">
        <f t="shared" si="52"/>
        <v/>
      </c>
      <c r="K661" t="str">
        <f>IFERROR(IF(VLOOKUP(E:E,'Old Report'!E:J,6,FALSE)="","",VLOOKUP(E:E,'Old Report'!E:J,6,FALSE)),"")</f>
        <v/>
      </c>
      <c r="L661" t="str">
        <f>IFERROR(IF(VLOOKUP(E:E,'Old Report'!E:L,8,FALSE)="","",VLOOKUP(E:E,'Old Report'!E:L,8,FALSE)),"")</f>
        <v/>
      </c>
      <c r="M661" s="5" t="str">
        <f t="shared" si="53"/>
        <v/>
      </c>
      <c r="N661" s="5" t="str">
        <f t="shared" si="54"/>
        <v/>
      </c>
    </row>
    <row r="662" spans="1:14" x14ac:dyDescent="0.25">
      <c r="A662" s="5">
        <v>661</v>
      </c>
      <c r="B662" s="5">
        <f t="shared" si="51"/>
        <v>0</v>
      </c>
      <c r="C662" s="5" t="str">
        <f t="shared" si="50"/>
        <v/>
      </c>
      <c r="D662" s="5" t="str">
        <f>IFERROR(IF(F662&lt;&gt;"",F662,VLOOKUP(MAX(C$2:C662),A$2:F662,2,FALSE)),"")</f>
        <v/>
      </c>
      <c r="E662" s="5" t="str">
        <f t="shared" si="52"/>
        <v/>
      </c>
      <c r="K662" t="str">
        <f>IFERROR(IF(VLOOKUP(E:E,'Old Report'!E:J,6,FALSE)="","",VLOOKUP(E:E,'Old Report'!E:J,6,FALSE)),"")</f>
        <v/>
      </c>
      <c r="L662" t="str">
        <f>IFERROR(IF(VLOOKUP(E:E,'Old Report'!E:L,8,FALSE)="","",VLOOKUP(E:E,'Old Report'!E:L,8,FALSE)),"")</f>
        <v/>
      </c>
      <c r="M662" s="5" t="str">
        <f t="shared" si="53"/>
        <v/>
      </c>
      <c r="N662" s="5" t="str">
        <f t="shared" si="54"/>
        <v/>
      </c>
    </row>
    <row r="663" spans="1:14" x14ac:dyDescent="0.25">
      <c r="A663" s="5">
        <v>662</v>
      </c>
      <c r="B663" s="5">
        <f t="shared" si="51"/>
        <v>0</v>
      </c>
      <c r="C663" s="5" t="str">
        <f t="shared" si="50"/>
        <v/>
      </c>
      <c r="D663" s="5" t="str">
        <f>IFERROR(IF(F663&lt;&gt;"",F663,VLOOKUP(MAX(C$2:C663),A$2:F663,2,FALSE)),"")</f>
        <v/>
      </c>
      <c r="E663" s="5" t="str">
        <f t="shared" si="52"/>
        <v/>
      </c>
      <c r="K663" t="str">
        <f>IFERROR(IF(VLOOKUP(E:E,'Old Report'!E:J,6,FALSE)="","",VLOOKUP(E:E,'Old Report'!E:J,6,FALSE)),"")</f>
        <v/>
      </c>
      <c r="L663" t="str">
        <f>IFERROR(IF(VLOOKUP(E:E,'Old Report'!E:L,8,FALSE)="","",VLOOKUP(E:E,'Old Report'!E:L,8,FALSE)),"")</f>
        <v/>
      </c>
      <c r="M663" s="5" t="str">
        <f t="shared" si="53"/>
        <v/>
      </c>
      <c r="N663" s="5" t="str">
        <f t="shared" si="54"/>
        <v/>
      </c>
    </row>
    <row r="664" spans="1:14" x14ac:dyDescent="0.25">
      <c r="A664" s="5">
        <v>663</v>
      </c>
      <c r="B664" s="5">
        <f t="shared" si="51"/>
        <v>0</v>
      </c>
      <c r="C664" s="5" t="str">
        <f t="shared" si="50"/>
        <v/>
      </c>
      <c r="D664" s="5" t="str">
        <f>IFERROR(IF(F664&lt;&gt;"",F664,VLOOKUP(MAX(C$2:C664),A$2:F664,2,FALSE)),"")</f>
        <v/>
      </c>
      <c r="E664" s="5" t="str">
        <f t="shared" si="52"/>
        <v/>
      </c>
      <c r="K664" t="str">
        <f>IFERROR(IF(VLOOKUP(E:E,'Old Report'!E:J,6,FALSE)="","",VLOOKUP(E:E,'Old Report'!E:J,6,FALSE)),"")</f>
        <v/>
      </c>
      <c r="L664" t="str">
        <f>IFERROR(IF(VLOOKUP(E:E,'Old Report'!E:L,8,FALSE)="","",VLOOKUP(E:E,'Old Report'!E:L,8,FALSE)),"")</f>
        <v/>
      </c>
      <c r="M664" s="5" t="str">
        <f t="shared" si="53"/>
        <v/>
      </c>
      <c r="N664" s="5" t="str">
        <f t="shared" si="54"/>
        <v/>
      </c>
    </row>
    <row r="665" spans="1:14" x14ac:dyDescent="0.25">
      <c r="A665" s="5">
        <v>664</v>
      </c>
      <c r="B665" s="5">
        <f t="shared" si="51"/>
        <v>0</v>
      </c>
      <c r="C665" s="5" t="str">
        <f t="shared" si="50"/>
        <v/>
      </c>
      <c r="D665" s="5" t="str">
        <f>IFERROR(IF(F665&lt;&gt;"",F665,VLOOKUP(MAX(C$2:C665),A$2:F665,2,FALSE)),"")</f>
        <v/>
      </c>
      <c r="E665" s="5" t="str">
        <f t="shared" si="52"/>
        <v/>
      </c>
      <c r="K665" t="str">
        <f>IFERROR(IF(VLOOKUP(E:E,'Old Report'!E:J,6,FALSE)="","",VLOOKUP(E:E,'Old Report'!E:J,6,FALSE)),"")</f>
        <v/>
      </c>
      <c r="L665" t="str">
        <f>IFERROR(IF(VLOOKUP(E:E,'Old Report'!E:L,8,FALSE)="","",VLOOKUP(E:E,'Old Report'!E:L,8,FALSE)),"")</f>
        <v/>
      </c>
      <c r="M665" s="5" t="str">
        <f t="shared" si="53"/>
        <v/>
      </c>
      <c r="N665" s="5" t="str">
        <f t="shared" si="54"/>
        <v/>
      </c>
    </row>
    <row r="666" spans="1:14" x14ac:dyDescent="0.25">
      <c r="A666" s="5">
        <v>665</v>
      </c>
      <c r="B666" s="5">
        <f t="shared" si="51"/>
        <v>0</v>
      </c>
      <c r="C666" s="5" t="str">
        <f t="shared" si="50"/>
        <v/>
      </c>
      <c r="D666" s="5" t="str">
        <f>IFERROR(IF(F666&lt;&gt;"",F666,VLOOKUP(MAX(C$2:C666),A$2:F666,2,FALSE)),"")</f>
        <v/>
      </c>
      <c r="E666" s="5" t="str">
        <f t="shared" si="52"/>
        <v/>
      </c>
      <c r="K666" t="str">
        <f>IFERROR(IF(VLOOKUP(E:E,'Old Report'!E:J,6,FALSE)="","",VLOOKUP(E:E,'Old Report'!E:J,6,FALSE)),"")</f>
        <v/>
      </c>
      <c r="L666" t="str">
        <f>IFERROR(IF(VLOOKUP(E:E,'Old Report'!E:L,8,FALSE)="","",VLOOKUP(E:E,'Old Report'!E:L,8,FALSE)),"")</f>
        <v/>
      </c>
      <c r="M666" s="5" t="str">
        <f t="shared" si="53"/>
        <v/>
      </c>
      <c r="N666" s="5" t="str">
        <f t="shared" si="54"/>
        <v/>
      </c>
    </row>
    <row r="667" spans="1:14" x14ac:dyDescent="0.25">
      <c r="A667" s="5">
        <v>666</v>
      </c>
      <c r="B667" s="5">
        <f t="shared" si="51"/>
        <v>0</v>
      </c>
      <c r="C667" s="5" t="str">
        <f t="shared" si="50"/>
        <v/>
      </c>
      <c r="D667" s="5" t="str">
        <f>IFERROR(IF(F667&lt;&gt;"",F667,VLOOKUP(MAX(C$2:C667),A$2:F667,2,FALSE)),"")</f>
        <v/>
      </c>
      <c r="E667" s="5" t="str">
        <f t="shared" si="52"/>
        <v/>
      </c>
      <c r="K667" t="str">
        <f>IFERROR(IF(VLOOKUP(E:E,'Old Report'!E:J,6,FALSE)="","",VLOOKUP(E:E,'Old Report'!E:J,6,FALSE)),"")</f>
        <v/>
      </c>
      <c r="L667" t="str">
        <f>IFERROR(IF(VLOOKUP(E:E,'Old Report'!E:L,8,FALSE)="","",VLOOKUP(E:E,'Old Report'!E:L,8,FALSE)),"")</f>
        <v/>
      </c>
      <c r="M667" s="5" t="str">
        <f t="shared" si="53"/>
        <v/>
      </c>
      <c r="N667" s="5" t="str">
        <f t="shared" si="54"/>
        <v/>
      </c>
    </row>
    <row r="668" spans="1:14" x14ac:dyDescent="0.25">
      <c r="A668" s="5">
        <v>667</v>
      </c>
      <c r="B668" s="5">
        <f t="shared" si="51"/>
        <v>0</v>
      </c>
      <c r="C668" s="5" t="str">
        <f t="shared" si="50"/>
        <v/>
      </c>
      <c r="D668" s="5" t="str">
        <f>IFERROR(IF(F668&lt;&gt;"",F668,VLOOKUP(MAX(C$2:C668),A$2:F668,2,FALSE)),"")</f>
        <v/>
      </c>
      <c r="E668" s="5" t="str">
        <f t="shared" si="52"/>
        <v/>
      </c>
      <c r="K668" t="str">
        <f>IFERROR(IF(VLOOKUP(E:E,'Old Report'!E:J,6,FALSE)="","",VLOOKUP(E:E,'Old Report'!E:J,6,FALSE)),"")</f>
        <v/>
      </c>
      <c r="L668" t="str">
        <f>IFERROR(IF(VLOOKUP(E:E,'Old Report'!E:L,8,FALSE)="","",VLOOKUP(E:E,'Old Report'!E:L,8,FALSE)),"")</f>
        <v/>
      </c>
      <c r="M668" s="5" t="str">
        <f t="shared" si="53"/>
        <v/>
      </c>
      <c r="N668" s="5" t="str">
        <f t="shared" si="54"/>
        <v/>
      </c>
    </row>
    <row r="669" spans="1:14" x14ac:dyDescent="0.25">
      <c r="A669" s="5">
        <v>668</v>
      </c>
      <c r="B669" s="5">
        <f t="shared" si="51"/>
        <v>0</v>
      </c>
      <c r="C669" s="5" t="str">
        <f t="shared" si="50"/>
        <v/>
      </c>
      <c r="D669" s="5" t="str">
        <f>IFERROR(IF(F669&lt;&gt;"",F669,VLOOKUP(MAX(C$2:C669),A$2:F669,2,FALSE)),"")</f>
        <v/>
      </c>
      <c r="E669" s="5" t="str">
        <f t="shared" si="52"/>
        <v/>
      </c>
      <c r="K669" t="str">
        <f>IFERROR(IF(VLOOKUP(E:E,'Old Report'!E:J,6,FALSE)="","",VLOOKUP(E:E,'Old Report'!E:J,6,FALSE)),"")</f>
        <v/>
      </c>
      <c r="L669" t="str">
        <f>IFERROR(IF(VLOOKUP(E:E,'Old Report'!E:L,8,FALSE)="","",VLOOKUP(E:E,'Old Report'!E:L,8,FALSE)),"")</f>
        <v/>
      </c>
      <c r="M669" s="5" t="str">
        <f t="shared" si="53"/>
        <v/>
      </c>
      <c r="N669" s="5" t="str">
        <f t="shared" si="54"/>
        <v/>
      </c>
    </row>
    <row r="670" spans="1:14" x14ac:dyDescent="0.25">
      <c r="A670" s="5">
        <v>669</v>
      </c>
      <c r="B670" s="5">
        <f t="shared" si="51"/>
        <v>0</v>
      </c>
      <c r="C670" s="5" t="str">
        <f t="shared" si="50"/>
        <v/>
      </c>
      <c r="D670" s="5" t="str">
        <f>IFERROR(IF(F670&lt;&gt;"",F670,VLOOKUP(MAX(C$2:C670),A$2:F670,2,FALSE)),"")</f>
        <v/>
      </c>
      <c r="E670" s="5" t="str">
        <f t="shared" si="52"/>
        <v/>
      </c>
      <c r="K670" t="str">
        <f>IFERROR(IF(VLOOKUP(E:E,'Old Report'!E:J,6,FALSE)="","",VLOOKUP(E:E,'Old Report'!E:J,6,FALSE)),"")</f>
        <v/>
      </c>
      <c r="L670" t="str">
        <f>IFERROR(IF(VLOOKUP(E:E,'Old Report'!E:L,8,FALSE)="","",VLOOKUP(E:E,'Old Report'!E:L,8,FALSE)),"")</f>
        <v/>
      </c>
      <c r="M670" s="5" t="str">
        <f t="shared" si="53"/>
        <v/>
      </c>
      <c r="N670" s="5" t="str">
        <f t="shared" si="54"/>
        <v/>
      </c>
    </row>
    <row r="671" spans="1:14" x14ac:dyDescent="0.25">
      <c r="A671" s="5">
        <v>670</v>
      </c>
      <c r="B671" s="5">
        <f t="shared" si="51"/>
        <v>0</v>
      </c>
      <c r="C671" s="5" t="str">
        <f t="shared" si="50"/>
        <v/>
      </c>
      <c r="D671" s="5" t="str">
        <f>IFERROR(IF(F671&lt;&gt;"",F671,VLOOKUP(MAX(C$2:C671),A$2:F671,2,FALSE)),"")</f>
        <v/>
      </c>
      <c r="E671" s="5" t="str">
        <f t="shared" si="52"/>
        <v/>
      </c>
      <c r="K671" t="str">
        <f>IFERROR(IF(VLOOKUP(E:E,'Old Report'!E:J,6,FALSE)="","",VLOOKUP(E:E,'Old Report'!E:J,6,FALSE)),"")</f>
        <v/>
      </c>
      <c r="L671" t="str">
        <f>IFERROR(IF(VLOOKUP(E:E,'Old Report'!E:L,8,FALSE)="","",VLOOKUP(E:E,'Old Report'!E:L,8,FALSE)),"")</f>
        <v/>
      </c>
      <c r="M671" s="5" t="str">
        <f t="shared" si="53"/>
        <v/>
      </c>
      <c r="N671" s="5" t="str">
        <f t="shared" si="54"/>
        <v/>
      </c>
    </row>
    <row r="672" spans="1:14" x14ac:dyDescent="0.25">
      <c r="A672" s="5">
        <v>671</v>
      </c>
      <c r="B672" s="5">
        <f t="shared" si="51"/>
        <v>0</v>
      </c>
      <c r="C672" s="5" t="str">
        <f t="shared" si="50"/>
        <v/>
      </c>
      <c r="D672" s="5" t="str">
        <f>IFERROR(IF(F672&lt;&gt;"",F672,VLOOKUP(MAX(C$2:C672),A$2:F672,2,FALSE)),"")</f>
        <v/>
      </c>
      <c r="E672" s="5" t="str">
        <f t="shared" si="52"/>
        <v/>
      </c>
      <c r="K672" t="str">
        <f>IFERROR(IF(VLOOKUP(E:E,'Old Report'!E:J,6,FALSE)="","",VLOOKUP(E:E,'Old Report'!E:J,6,FALSE)),"")</f>
        <v/>
      </c>
      <c r="L672" t="str">
        <f>IFERROR(IF(VLOOKUP(E:E,'Old Report'!E:L,8,FALSE)="","",VLOOKUP(E:E,'Old Report'!E:L,8,FALSE)),"")</f>
        <v/>
      </c>
      <c r="M672" s="5" t="str">
        <f t="shared" si="53"/>
        <v/>
      </c>
      <c r="N672" s="5" t="str">
        <f t="shared" si="54"/>
        <v/>
      </c>
    </row>
    <row r="673" spans="1:14" x14ac:dyDescent="0.25">
      <c r="A673" s="5">
        <v>672</v>
      </c>
      <c r="B673" s="5">
        <f t="shared" si="51"/>
        <v>0</v>
      </c>
      <c r="C673" s="5" t="str">
        <f t="shared" si="50"/>
        <v/>
      </c>
      <c r="D673" s="5" t="str">
        <f>IFERROR(IF(F673&lt;&gt;"",F673,VLOOKUP(MAX(C$2:C673),A$2:F673,2,FALSE)),"")</f>
        <v/>
      </c>
      <c r="E673" s="5" t="str">
        <f t="shared" si="52"/>
        <v/>
      </c>
      <c r="K673" t="str">
        <f>IFERROR(IF(VLOOKUP(E:E,'Old Report'!E:J,6,FALSE)="","",VLOOKUP(E:E,'Old Report'!E:J,6,FALSE)),"")</f>
        <v/>
      </c>
      <c r="L673" t="str">
        <f>IFERROR(IF(VLOOKUP(E:E,'Old Report'!E:L,8,FALSE)="","",VLOOKUP(E:E,'Old Report'!E:L,8,FALSE)),"")</f>
        <v/>
      </c>
      <c r="M673" s="5" t="str">
        <f t="shared" si="53"/>
        <v/>
      </c>
      <c r="N673" s="5" t="str">
        <f t="shared" si="54"/>
        <v/>
      </c>
    </row>
    <row r="674" spans="1:14" x14ac:dyDescent="0.25">
      <c r="A674" s="5">
        <v>673</v>
      </c>
      <c r="B674" s="5">
        <f t="shared" si="51"/>
        <v>0</v>
      </c>
      <c r="C674" s="5" t="str">
        <f t="shared" si="50"/>
        <v/>
      </c>
      <c r="D674" s="5" t="str">
        <f>IFERROR(IF(F674&lt;&gt;"",F674,VLOOKUP(MAX(C$2:C674),A$2:F674,2,FALSE)),"")</f>
        <v/>
      </c>
      <c r="E674" s="5" t="str">
        <f t="shared" si="52"/>
        <v/>
      </c>
      <c r="K674" t="str">
        <f>IFERROR(IF(VLOOKUP(E:E,'Old Report'!E:J,6,FALSE)="","",VLOOKUP(E:E,'Old Report'!E:J,6,FALSE)),"")</f>
        <v/>
      </c>
      <c r="L674" t="str">
        <f>IFERROR(IF(VLOOKUP(E:E,'Old Report'!E:L,8,FALSE)="","",VLOOKUP(E:E,'Old Report'!E:L,8,FALSE)),"")</f>
        <v/>
      </c>
      <c r="M674" s="5" t="str">
        <f t="shared" si="53"/>
        <v/>
      </c>
      <c r="N674" s="5" t="str">
        <f t="shared" si="54"/>
        <v/>
      </c>
    </row>
    <row r="675" spans="1:14" x14ac:dyDescent="0.25">
      <c r="A675" s="5">
        <v>674</v>
      </c>
      <c r="B675" s="5">
        <f t="shared" si="51"/>
        <v>0</v>
      </c>
      <c r="C675" s="5" t="str">
        <f t="shared" si="50"/>
        <v/>
      </c>
      <c r="D675" s="5" t="str">
        <f>IFERROR(IF(F675&lt;&gt;"",F675,VLOOKUP(MAX(C$2:C675),A$2:F675,2,FALSE)),"")</f>
        <v/>
      </c>
      <c r="E675" s="5" t="str">
        <f t="shared" si="52"/>
        <v/>
      </c>
      <c r="K675" t="str">
        <f>IFERROR(IF(VLOOKUP(E:E,'Old Report'!E:J,6,FALSE)="","",VLOOKUP(E:E,'Old Report'!E:J,6,FALSE)),"")</f>
        <v/>
      </c>
      <c r="L675" t="str">
        <f>IFERROR(IF(VLOOKUP(E:E,'Old Report'!E:L,8,FALSE)="","",VLOOKUP(E:E,'Old Report'!E:L,8,FALSE)),"")</f>
        <v/>
      </c>
      <c r="M675" s="5" t="str">
        <f t="shared" si="53"/>
        <v/>
      </c>
      <c r="N675" s="5" t="str">
        <f t="shared" si="54"/>
        <v/>
      </c>
    </row>
    <row r="676" spans="1:14" x14ac:dyDescent="0.25">
      <c r="A676" s="5">
        <v>675</v>
      </c>
      <c r="B676" s="5">
        <f t="shared" si="51"/>
        <v>0</v>
      </c>
      <c r="C676" s="5" t="str">
        <f t="shared" si="50"/>
        <v/>
      </c>
      <c r="D676" s="5" t="str">
        <f>IFERROR(IF(F676&lt;&gt;"",F676,VLOOKUP(MAX(C$2:C676),A$2:F676,2,FALSE)),"")</f>
        <v/>
      </c>
      <c r="E676" s="5" t="str">
        <f t="shared" si="52"/>
        <v/>
      </c>
      <c r="K676" t="str">
        <f>IFERROR(IF(VLOOKUP(E:E,'Old Report'!E:J,6,FALSE)="","",VLOOKUP(E:E,'Old Report'!E:J,6,FALSE)),"")</f>
        <v/>
      </c>
      <c r="L676" t="str">
        <f>IFERROR(IF(VLOOKUP(E:E,'Old Report'!E:L,8,FALSE)="","",VLOOKUP(E:E,'Old Report'!E:L,8,FALSE)),"")</f>
        <v/>
      </c>
      <c r="M676" s="5" t="str">
        <f t="shared" si="53"/>
        <v/>
      </c>
      <c r="N676" s="5" t="str">
        <f t="shared" si="54"/>
        <v/>
      </c>
    </row>
    <row r="677" spans="1:14" x14ac:dyDescent="0.25">
      <c r="A677" s="5">
        <v>676</v>
      </c>
      <c r="B677" s="5">
        <f t="shared" si="51"/>
        <v>0</v>
      </c>
      <c r="C677" s="5" t="str">
        <f t="shared" si="50"/>
        <v/>
      </c>
      <c r="D677" s="5" t="str">
        <f>IFERROR(IF(F677&lt;&gt;"",F677,VLOOKUP(MAX(C$2:C677),A$2:F677,2,FALSE)),"")</f>
        <v/>
      </c>
      <c r="E677" s="5" t="str">
        <f t="shared" si="52"/>
        <v/>
      </c>
      <c r="K677" t="str">
        <f>IFERROR(IF(VLOOKUP(E:E,'Old Report'!E:J,6,FALSE)="","",VLOOKUP(E:E,'Old Report'!E:J,6,FALSE)),"")</f>
        <v/>
      </c>
      <c r="L677" t="str">
        <f>IFERROR(IF(VLOOKUP(E:E,'Old Report'!E:L,8,FALSE)="","",VLOOKUP(E:E,'Old Report'!E:L,8,FALSE)),"")</f>
        <v/>
      </c>
      <c r="M677" s="5" t="str">
        <f t="shared" si="53"/>
        <v/>
      </c>
      <c r="N677" s="5" t="str">
        <f t="shared" si="54"/>
        <v/>
      </c>
    </row>
    <row r="678" spans="1:14" x14ac:dyDescent="0.25">
      <c r="A678" s="5">
        <v>677</v>
      </c>
      <c r="B678" s="5">
        <f t="shared" si="51"/>
        <v>0</v>
      </c>
      <c r="C678" s="5" t="str">
        <f t="shared" si="50"/>
        <v/>
      </c>
      <c r="D678" s="5" t="str">
        <f>IFERROR(IF(F678&lt;&gt;"",F678,VLOOKUP(MAX(C$2:C678),A$2:F678,2,FALSE)),"")</f>
        <v/>
      </c>
      <c r="E678" s="5" t="str">
        <f t="shared" si="52"/>
        <v/>
      </c>
      <c r="K678" t="str">
        <f>IFERROR(IF(VLOOKUP(E:E,'Old Report'!E:J,6,FALSE)="","",VLOOKUP(E:E,'Old Report'!E:J,6,FALSE)),"")</f>
        <v/>
      </c>
      <c r="L678" t="str">
        <f>IFERROR(IF(VLOOKUP(E:E,'Old Report'!E:L,8,FALSE)="","",VLOOKUP(E:E,'Old Report'!E:L,8,FALSE)),"")</f>
        <v/>
      </c>
      <c r="M678" s="5" t="str">
        <f t="shared" si="53"/>
        <v/>
      </c>
      <c r="N678" s="5" t="str">
        <f t="shared" si="54"/>
        <v/>
      </c>
    </row>
    <row r="679" spans="1:14" x14ac:dyDescent="0.25">
      <c r="A679" s="5">
        <v>678</v>
      </c>
      <c r="B679" s="5">
        <f t="shared" si="51"/>
        <v>0</v>
      </c>
      <c r="C679" s="5" t="str">
        <f t="shared" si="50"/>
        <v/>
      </c>
      <c r="D679" s="5" t="str">
        <f>IFERROR(IF(F679&lt;&gt;"",F679,VLOOKUP(MAX(C$2:C679),A$2:F679,2,FALSE)),"")</f>
        <v/>
      </c>
      <c r="E679" s="5" t="str">
        <f t="shared" si="52"/>
        <v/>
      </c>
      <c r="K679" t="str">
        <f>IFERROR(IF(VLOOKUP(E:E,'Old Report'!E:J,6,FALSE)="","",VLOOKUP(E:E,'Old Report'!E:J,6,FALSE)),"")</f>
        <v/>
      </c>
      <c r="L679" t="str">
        <f>IFERROR(IF(VLOOKUP(E:E,'Old Report'!E:L,8,FALSE)="","",VLOOKUP(E:E,'Old Report'!E:L,8,FALSE)),"")</f>
        <v/>
      </c>
      <c r="M679" s="5" t="str">
        <f t="shared" si="53"/>
        <v/>
      </c>
      <c r="N679" s="5" t="str">
        <f t="shared" si="54"/>
        <v/>
      </c>
    </row>
    <row r="680" spans="1:14" x14ac:dyDescent="0.25">
      <c r="A680" s="5">
        <v>679</v>
      </c>
      <c r="B680" s="5">
        <f t="shared" si="51"/>
        <v>0</v>
      </c>
      <c r="C680" s="5" t="str">
        <f t="shared" si="50"/>
        <v/>
      </c>
      <c r="D680" s="5" t="str">
        <f>IFERROR(IF(F680&lt;&gt;"",F680,VLOOKUP(MAX(C$2:C680),A$2:F680,2,FALSE)),"")</f>
        <v/>
      </c>
      <c r="E680" s="5" t="str">
        <f t="shared" si="52"/>
        <v/>
      </c>
      <c r="K680" t="str">
        <f>IFERROR(IF(VLOOKUP(E:E,'Old Report'!E:J,6,FALSE)="","",VLOOKUP(E:E,'Old Report'!E:J,6,FALSE)),"")</f>
        <v/>
      </c>
      <c r="L680" t="str">
        <f>IFERROR(IF(VLOOKUP(E:E,'Old Report'!E:L,8,FALSE)="","",VLOOKUP(E:E,'Old Report'!E:L,8,FALSE)),"")</f>
        <v/>
      </c>
      <c r="M680" s="5" t="str">
        <f t="shared" si="53"/>
        <v/>
      </c>
      <c r="N680" s="5" t="str">
        <f t="shared" si="54"/>
        <v/>
      </c>
    </row>
    <row r="681" spans="1:14" x14ac:dyDescent="0.25">
      <c r="A681" s="5">
        <v>680</v>
      </c>
      <c r="B681" s="5">
        <f t="shared" si="51"/>
        <v>0</v>
      </c>
      <c r="C681" s="5" t="str">
        <f t="shared" si="50"/>
        <v/>
      </c>
      <c r="D681" s="5" t="str">
        <f>IFERROR(IF(F681&lt;&gt;"",F681,VLOOKUP(MAX(C$2:C681),A$2:F681,2,FALSE)),"")</f>
        <v/>
      </c>
      <c r="E681" s="5" t="str">
        <f t="shared" si="52"/>
        <v/>
      </c>
      <c r="K681" t="str">
        <f>IFERROR(IF(VLOOKUP(E:E,'Old Report'!E:J,6,FALSE)="","",VLOOKUP(E:E,'Old Report'!E:J,6,FALSE)),"")</f>
        <v/>
      </c>
      <c r="L681" t="str">
        <f>IFERROR(IF(VLOOKUP(E:E,'Old Report'!E:L,8,FALSE)="","",VLOOKUP(E:E,'Old Report'!E:L,8,FALSE)),"")</f>
        <v/>
      </c>
      <c r="M681" s="5" t="str">
        <f t="shared" si="53"/>
        <v/>
      </c>
      <c r="N681" s="5" t="str">
        <f t="shared" si="54"/>
        <v/>
      </c>
    </row>
    <row r="682" spans="1:14" x14ac:dyDescent="0.25">
      <c r="A682" s="5">
        <v>681</v>
      </c>
      <c r="B682" s="5">
        <f t="shared" si="51"/>
        <v>0</v>
      </c>
      <c r="C682" s="5" t="str">
        <f t="shared" si="50"/>
        <v/>
      </c>
      <c r="D682" s="5" t="str">
        <f>IFERROR(IF(F682&lt;&gt;"",F682,VLOOKUP(MAX(C$2:C682),A$2:F682,2,FALSE)),"")</f>
        <v/>
      </c>
      <c r="E682" s="5" t="str">
        <f t="shared" si="52"/>
        <v/>
      </c>
      <c r="K682" t="str">
        <f>IFERROR(IF(VLOOKUP(E:E,'Old Report'!E:J,6,FALSE)="","",VLOOKUP(E:E,'Old Report'!E:J,6,FALSE)),"")</f>
        <v/>
      </c>
      <c r="L682" t="str">
        <f>IFERROR(IF(VLOOKUP(E:E,'Old Report'!E:L,8,FALSE)="","",VLOOKUP(E:E,'Old Report'!E:L,8,FALSE)),"")</f>
        <v/>
      </c>
      <c r="M682" s="5" t="str">
        <f t="shared" si="53"/>
        <v/>
      </c>
      <c r="N682" s="5" t="str">
        <f t="shared" si="54"/>
        <v/>
      </c>
    </row>
    <row r="683" spans="1:14" x14ac:dyDescent="0.25">
      <c r="A683" s="5">
        <v>682</v>
      </c>
      <c r="B683" s="5">
        <f t="shared" si="51"/>
        <v>0</v>
      </c>
      <c r="C683" s="5" t="str">
        <f t="shared" si="50"/>
        <v/>
      </c>
      <c r="D683" s="5" t="str">
        <f>IFERROR(IF(F683&lt;&gt;"",F683,VLOOKUP(MAX(C$2:C683),A$2:F683,2,FALSE)),"")</f>
        <v/>
      </c>
      <c r="E683" s="5" t="str">
        <f t="shared" si="52"/>
        <v/>
      </c>
      <c r="K683" t="str">
        <f>IFERROR(IF(VLOOKUP(E:E,'Old Report'!E:J,6,FALSE)="","",VLOOKUP(E:E,'Old Report'!E:J,6,FALSE)),"")</f>
        <v/>
      </c>
      <c r="L683" t="str">
        <f>IFERROR(IF(VLOOKUP(E:E,'Old Report'!E:L,8,FALSE)="","",VLOOKUP(E:E,'Old Report'!E:L,8,FALSE)),"")</f>
        <v/>
      </c>
      <c r="M683" s="5" t="str">
        <f t="shared" si="53"/>
        <v/>
      </c>
      <c r="N683" s="5" t="str">
        <f t="shared" si="54"/>
        <v/>
      </c>
    </row>
    <row r="684" spans="1:14" x14ac:dyDescent="0.25">
      <c r="A684" s="5">
        <v>683</v>
      </c>
      <c r="B684" s="5">
        <f t="shared" si="51"/>
        <v>0</v>
      </c>
      <c r="C684" s="5" t="str">
        <f t="shared" si="50"/>
        <v/>
      </c>
      <c r="D684" s="5" t="str">
        <f>IFERROR(IF(F684&lt;&gt;"",F684,VLOOKUP(MAX(C$2:C684),A$2:F684,2,FALSE)),"")</f>
        <v/>
      </c>
      <c r="E684" s="5" t="str">
        <f t="shared" si="52"/>
        <v/>
      </c>
      <c r="K684" t="str">
        <f>IFERROR(IF(VLOOKUP(E:E,'Old Report'!E:J,6,FALSE)="","",VLOOKUP(E:E,'Old Report'!E:J,6,FALSE)),"")</f>
        <v/>
      </c>
      <c r="L684" t="str">
        <f>IFERROR(IF(VLOOKUP(E:E,'Old Report'!E:L,8,FALSE)="","",VLOOKUP(E:E,'Old Report'!E:L,8,FALSE)),"")</f>
        <v/>
      </c>
      <c r="M684" s="5" t="str">
        <f t="shared" si="53"/>
        <v/>
      </c>
      <c r="N684" s="5" t="str">
        <f t="shared" si="54"/>
        <v/>
      </c>
    </row>
    <row r="685" spans="1:14" x14ac:dyDescent="0.25">
      <c r="A685" s="5">
        <v>684</v>
      </c>
      <c r="B685" s="5">
        <f t="shared" si="51"/>
        <v>0</v>
      </c>
      <c r="C685" s="5" t="str">
        <f t="shared" si="50"/>
        <v/>
      </c>
      <c r="D685" s="5" t="str">
        <f>IFERROR(IF(F685&lt;&gt;"",F685,VLOOKUP(MAX(C$2:C685),A$2:F685,2,FALSE)),"")</f>
        <v/>
      </c>
      <c r="E685" s="5" t="str">
        <f t="shared" si="52"/>
        <v/>
      </c>
      <c r="K685" t="str">
        <f>IFERROR(IF(VLOOKUP(E:E,'Old Report'!E:J,6,FALSE)="","",VLOOKUP(E:E,'Old Report'!E:J,6,FALSE)),"")</f>
        <v/>
      </c>
      <c r="L685" t="str">
        <f>IFERROR(IF(VLOOKUP(E:E,'Old Report'!E:L,8,FALSE)="","",VLOOKUP(E:E,'Old Report'!E:L,8,FALSE)),"")</f>
        <v/>
      </c>
      <c r="M685" s="5" t="str">
        <f t="shared" si="53"/>
        <v/>
      </c>
      <c r="N685" s="5" t="str">
        <f t="shared" si="54"/>
        <v/>
      </c>
    </row>
    <row r="686" spans="1:14" x14ac:dyDescent="0.25">
      <c r="A686" s="5">
        <v>685</v>
      </c>
      <c r="B686" s="5">
        <f t="shared" si="51"/>
        <v>0</v>
      </c>
      <c r="C686" s="5" t="str">
        <f t="shared" si="50"/>
        <v/>
      </c>
      <c r="D686" s="5" t="str">
        <f>IFERROR(IF(F686&lt;&gt;"",F686,VLOOKUP(MAX(C$2:C686),A$2:F686,2,FALSE)),"")</f>
        <v/>
      </c>
      <c r="E686" s="5" t="str">
        <f t="shared" si="52"/>
        <v/>
      </c>
      <c r="K686" t="str">
        <f>IFERROR(IF(VLOOKUP(E:E,'Old Report'!E:J,6,FALSE)="","",VLOOKUP(E:E,'Old Report'!E:J,6,FALSE)),"")</f>
        <v/>
      </c>
      <c r="L686" t="str">
        <f>IFERROR(IF(VLOOKUP(E:E,'Old Report'!E:L,8,FALSE)="","",VLOOKUP(E:E,'Old Report'!E:L,8,FALSE)),"")</f>
        <v/>
      </c>
      <c r="M686" s="5" t="str">
        <f t="shared" si="53"/>
        <v/>
      </c>
      <c r="N686" s="5" t="str">
        <f t="shared" si="54"/>
        <v/>
      </c>
    </row>
    <row r="687" spans="1:14" x14ac:dyDescent="0.25">
      <c r="A687" s="5">
        <v>686</v>
      </c>
      <c r="B687" s="5">
        <f t="shared" si="51"/>
        <v>0</v>
      </c>
      <c r="C687" s="5" t="str">
        <f t="shared" si="50"/>
        <v/>
      </c>
      <c r="D687" s="5" t="str">
        <f>IFERROR(IF(F687&lt;&gt;"",F687,VLOOKUP(MAX(C$2:C687),A$2:F687,2,FALSE)),"")</f>
        <v/>
      </c>
      <c r="E687" s="5" t="str">
        <f t="shared" si="52"/>
        <v/>
      </c>
      <c r="K687" t="str">
        <f>IFERROR(IF(VLOOKUP(E:E,'Old Report'!E:J,6,FALSE)="","",VLOOKUP(E:E,'Old Report'!E:J,6,FALSE)),"")</f>
        <v/>
      </c>
      <c r="L687" t="str">
        <f>IFERROR(IF(VLOOKUP(E:E,'Old Report'!E:L,8,FALSE)="","",VLOOKUP(E:E,'Old Report'!E:L,8,FALSE)),"")</f>
        <v/>
      </c>
      <c r="M687" s="5" t="str">
        <f t="shared" si="53"/>
        <v/>
      </c>
      <c r="N687" s="5" t="str">
        <f t="shared" si="54"/>
        <v/>
      </c>
    </row>
    <row r="688" spans="1:14" x14ac:dyDescent="0.25">
      <c r="A688" s="5">
        <v>687</v>
      </c>
      <c r="B688" s="5">
        <f t="shared" si="51"/>
        <v>0</v>
      </c>
      <c r="C688" s="5" t="str">
        <f t="shared" si="50"/>
        <v/>
      </c>
      <c r="D688" s="5" t="str">
        <f>IFERROR(IF(F688&lt;&gt;"",F688,VLOOKUP(MAX(C$2:C688),A$2:F688,2,FALSE)),"")</f>
        <v/>
      </c>
      <c r="E688" s="5" t="str">
        <f t="shared" si="52"/>
        <v/>
      </c>
      <c r="K688" t="str">
        <f>IFERROR(IF(VLOOKUP(E:E,'Old Report'!E:J,6,FALSE)="","",VLOOKUP(E:E,'Old Report'!E:J,6,FALSE)),"")</f>
        <v/>
      </c>
      <c r="L688" t="str">
        <f>IFERROR(IF(VLOOKUP(E:E,'Old Report'!E:L,8,FALSE)="","",VLOOKUP(E:E,'Old Report'!E:L,8,FALSE)),"")</f>
        <v/>
      </c>
      <c r="M688" s="5" t="str">
        <f t="shared" si="53"/>
        <v/>
      </c>
      <c r="N688" s="5" t="str">
        <f t="shared" si="54"/>
        <v/>
      </c>
    </row>
    <row r="689" spans="1:14" x14ac:dyDescent="0.25">
      <c r="A689" s="5">
        <v>688</v>
      </c>
      <c r="B689" s="5">
        <f t="shared" si="51"/>
        <v>0</v>
      </c>
      <c r="C689" s="5" t="str">
        <f t="shared" si="50"/>
        <v/>
      </c>
      <c r="D689" s="5" t="str">
        <f>IFERROR(IF(F689&lt;&gt;"",F689,VLOOKUP(MAX(C$2:C689),A$2:F689,2,FALSE)),"")</f>
        <v/>
      </c>
      <c r="E689" s="5" t="str">
        <f t="shared" si="52"/>
        <v/>
      </c>
      <c r="K689" t="str">
        <f>IFERROR(IF(VLOOKUP(E:E,'Old Report'!E:J,6,FALSE)="","",VLOOKUP(E:E,'Old Report'!E:J,6,FALSE)),"")</f>
        <v/>
      </c>
      <c r="L689" t="str">
        <f>IFERROR(IF(VLOOKUP(E:E,'Old Report'!E:L,8,FALSE)="","",VLOOKUP(E:E,'Old Report'!E:L,8,FALSE)),"")</f>
        <v/>
      </c>
      <c r="M689" s="5" t="str">
        <f t="shared" si="53"/>
        <v/>
      </c>
      <c r="N689" s="5" t="str">
        <f t="shared" si="54"/>
        <v/>
      </c>
    </row>
    <row r="690" spans="1:14" x14ac:dyDescent="0.25">
      <c r="A690" s="5">
        <v>689</v>
      </c>
      <c r="B690" s="5">
        <f t="shared" si="51"/>
        <v>0</v>
      </c>
      <c r="C690" s="5" t="str">
        <f t="shared" si="50"/>
        <v/>
      </c>
      <c r="D690" s="5" t="str">
        <f>IFERROR(IF(F690&lt;&gt;"",F690,VLOOKUP(MAX(C$2:C690),A$2:F690,2,FALSE)),"")</f>
        <v/>
      </c>
      <c r="E690" s="5" t="str">
        <f t="shared" si="52"/>
        <v/>
      </c>
      <c r="K690" t="str">
        <f>IFERROR(IF(VLOOKUP(E:E,'Old Report'!E:J,6,FALSE)="","",VLOOKUP(E:E,'Old Report'!E:J,6,FALSE)),"")</f>
        <v/>
      </c>
      <c r="L690" t="str">
        <f>IFERROR(IF(VLOOKUP(E:E,'Old Report'!E:L,8,FALSE)="","",VLOOKUP(E:E,'Old Report'!E:L,8,FALSE)),"")</f>
        <v/>
      </c>
      <c r="M690" s="5" t="str">
        <f t="shared" si="53"/>
        <v/>
      </c>
      <c r="N690" s="5" t="str">
        <f t="shared" si="54"/>
        <v/>
      </c>
    </row>
    <row r="691" spans="1:14" x14ac:dyDescent="0.25">
      <c r="A691" s="5">
        <v>690</v>
      </c>
      <c r="B691" s="5">
        <f t="shared" si="51"/>
        <v>0</v>
      </c>
      <c r="C691" s="5" t="str">
        <f t="shared" si="50"/>
        <v/>
      </c>
      <c r="D691" s="5" t="str">
        <f>IFERROR(IF(F691&lt;&gt;"",F691,VLOOKUP(MAX(C$2:C691),A$2:F691,2,FALSE)),"")</f>
        <v/>
      </c>
      <c r="E691" s="5" t="str">
        <f t="shared" si="52"/>
        <v/>
      </c>
      <c r="K691" t="str">
        <f>IFERROR(IF(VLOOKUP(E:E,'Old Report'!E:J,6,FALSE)="","",VLOOKUP(E:E,'Old Report'!E:J,6,FALSE)),"")</f>
        <v/>
      </c>
      <c r="L691" t="str">
        <f>IFERROR(IF(VLOOKUP(E:E,'Old Report'!E:L,8,FALSE)="","",VLOOKUP(E:E,'Old Report'!E:L,8,FALSE)),"")</f>
        <v/>
      </c>
      <c r="M691" s="5" t="str">
        <f t="shared" si="53"/>
        <v/>
      </c>
      <c r="N691" s="5" t="str">
        <f t="shared" si="54"/>
        <v/>
      </c>
    </row>
    <row r="692" spans="1:14" x14ac:dyDescent="0.25">
      <c r="A692" s="5">
        <v>691</v>
      </c>
      <c r="B692" s="5">
        <f t="shared" si="51"/>
        <v>0</v>
      </c>
      <c r="C692" s="5" t="str">
        <f t="shared" si="50"/>
        <v/>
      </c>
      <c r="D692" s="5" t="str">
        <f>IFERROR(IF(F692&lt;&gt;"",F692,VLOOKUP(MAX(C$2:C692),A$2:F692,2,FALSE)),"")</f>
        <v/>
      </c>
      <c r="E692" s="5" t="str">
        <f t="shared" si="52"/>
        <v/>
      </c>
      <c r="K692" t="str">
        <f>IFERROR(IF(VLOOKUP(E:E,'Old Report'!E:J,6,FALSE)="","",VLOOKUP(E:E,'Old Report'!E:J,6,FALSE)),"")</f>
        <v/>
      </c>
      <c r="L692" t="str">
        <f>IFERROR(IF(VLOOKUP(E:E,'Old Report'!E:L,8,FALSE)="","",VLOOKUP(E:E,'Old Report'!E:L,8,FALSE)),"")</f>
        <v/>
      </c>
      <c r="M692" s="5" t="str">
        <f t="shared" si="53"/>
        <v/>
      </c>
      <c r="N692" s="5" t="str">
        <f t="shared" si="54"/>
        <v/>
      </c>
    </row>
    <row r="693" spans="1:14" x14ac:dyDescent="0.25">
      <c r="A693" s="5">
        <v>692</v>
      </c>
      <c r="B693" s="5">
        <f t="shared" si="51"/>
        <v>0</v>
      </c>
      <c r="C693" s="5" t="str">
        <f t="shared" si="50"/>
        <v/>
      </c>
      <c r="D693" s="5" t="str">
        <f>IFERROR(IF(F693&lt;&gt;"",F693,VLOOKUP(MAX(C$2:C693),A$2:F693,2,FALSE)),"")</f>
        <v/>
      </c>
      <c r="E693" s="5" t="str">
        <f t="shared" si="52"/>
        <v/>
      </c>
      <c r="K693" t="str">
        <f>IFERROR(IF(VLOOKUP(E:E,'Old Report'!E:J,6,FALSE)="","",VLOOKUP(E:E,'Old Report'!E:J,6,FALSE)),"")</f>
        <v/>
      </c>
      <c r="L693" t="str">
        <f>IFERROR(IF(VLOOKUP(E:E,'Old Report'!E:L,8,FALSE)="","",VLOOKUP(E:E,'Old Report'!E:L,8,FALSE)),"")</f>
        <v/>
      </c>
      <c r="M693" s="5" t="str">
        <f t="shared" si="53"/>
        <v/>
      </c>
      <c r="N693" s="5" t="str">
        <f t="shared" si="54"/>
        <v/>
      </c>
    </row>
    <row r="694" spans="1:14" x14ac:dyDescent="0.25">
      <c r="A694" s="5">
        <v>693</v>
      </c>
      <c r="B694" s="5">
        <f t="shared" si="51"/>
        <v>0</v>
      </c>
      <c r="C694" s="5" t="str">
        <f t="shared" si="50"/>
        <v/>
      </c>
      <c r="D694" s="5" t="str">
        <f>IFERROR(IF(F694&lt;&gt;"",F694,VLOOKUP(MAX(C$2:C694),A$2:F694,2,FALSE)),"")</f>
        <v/>
      </c>
      <c r="E694" s="5" t="str">
        <f t="shared" si="52"/>
        <v/>
      </c>
      <c r="K694" t="str">
        <f>IFERROR(IF(VLOOKUP(E:E,'Old Report'!E:J,6,FALSE)="","",VLOOKUP(E:E,'Old Report'!E:J,6,FALSE)),"")</f>
        <v/>
      </c>
      <c r="L694" t="str">
        <f>IFERROR(IF(VLOOKUP(E:E,'Old Report'!E:L,8,FALSE)="","",VLOOKUP(E:E,'Old Report'!E:L,8,FALSE)),"")</f>
        <v/>
      </c>
      <c r="M694" s="5" t="str">
        <f t="shared" si="53"/>
        <v/>
      </c>
      <c r="N694" s="5" t="str">
        <f t="shared" si="54"/>
        <v/>
      </c>
    </row>
    <row r="695" spans="1:14" x14ac:dyDescent="0.25">
      <c r="A695" s="5">
        <v>694</v>
      </c>
      <c r="B695" s="5">
        <f t="shared" si="51"/>
        <v>0</v>
      </c>
      <c r="C695" s="5" t="str">
        <f t="shared" si="50"/>
        <v/>
      </c>
      <c r="D695" s="5" t="str">
        <f>IFERROR(IF(F695&lt;&gt;"",F695,VLOOKUP(MAX(C$2:C695),A$2:F695,2,FALSE)),"")</f>
        <v/>
      </c>
      <c r="E695" s="5" t="str">
        <f t="shared" si="52"/>
        <v/>
      </c>
      <c r="K695" t="str">
        <f>IFERROR(IF(VLOOKUP(E:E,'Old Report'!E:J,6,FALSE)="","",VLOOKUP(E:E,'Old Report'!E:J,6,FALSE)),"")</f>
        <v/>
      </c>
      <c r="L695" t="str">
        <f>IFERROR(IF(VLOOKUP(E:E,'Old Report'!E:L,8,FALSE)="","",VLOOKUP(E:E,'Old Report'!E:L,8,FALSE)),"")</f>
        <v/>
      </c>
      <c r="M695" s="5" t="str">
        <f t="shared" si="53"/>
        <v/>
      </c>
      <c r="N695" s="5" t="str">
        <f t="shared" si="54"/>
        <v/>
      </c>
    </row>
    <row r="696" spans="1:14" x14ac:dyDescent="0.25">
      <c r="A696" s="5">
        <v>695</v>
      </c>
      <c r="B696" s="5">
        <f t="shared" si="51"/>
        <v>0</v>
      </c>
      <c r="C696" s="5" t="str">
        <f t="shared" si="50"/>
        <v/>
      </c>
      <c r="D696" s="5" t="str">
        <f>IFERROR(IF(F696&lt;&gt;"",F696,VLOOKUP(MAX(C$2:C696),A$2:F696,2,FALSE)),"")</f>
        <v/>
      </c>
      <c r="E696" s="5" t="str">
        <f t="shared" si="52"/>
        <v/>
      </c>
      <c r="K696" t="str">
        <f>IFERROR(IF(VLOOKUP(E:E,'Old Report'!E:J,6,FALSE)="","",VLOOKUP(E:E,'Old Report'!E:J,6,FALSE)),"")</f>
        <v/>
      </c>
      <c r="L696" t="str">
        <f>IFERROR(IF(VLOOKUP(E:E,'Old Report'!E:L,8,FALSE)="","",VLOOKUP(E:E,'Old Report'!E:L,8,FALSE)),"")</f>
        <v/>
      </c>
      <c r="M696" s="5" t="str">
        <f t="shared" si="53"/>
        <v/>
      </c>
      <c r="N696" s="5" t="str">
        <f t="shared" si="54"/>
        <v/>
      </c>
    </row>
    <row r="697" spans="1:14" x14ac:dyDescent="0.25">
      <c r="A697" s="5">
        <v>696</v>
      </c>
      <c r="B697" s="5">
        <f t="shared" si="51"/>
        <v>0</v>
      </c>
      <c r="C697" s="5" t="str">
        <f t="shared" si="50"/>
        <v/>
      </c>
      <c r="D697" s="5" t="str">
        <f>IFERROR(IF(F697&lt;&gt;"",F697,VLOOKUP(MAX(C$2:C697),A$2:F697,2,FALSE)),"")</f>
        <v/>
      </c>
      <c r="E697" s="5" t="str">
        <f t="shared" si="52"/>
        <v/>
      </c>
      <c r="K697" t="str">
        <f>IFERROR(IF(VLOOKUP(E:E,'Old Report'!E:J,6,FALSE)="","",VLOOKUP(E:E,'Old Report'!E:J,6,FALSE)),"")</f>
        <v/>
      </c>
      <c r="L697" t="str">
        <f>IFERROR(IF(VLOOKUP(E:E,'Old Report'!E:L,8,FALSE)="","",VLOOKUP(E:E,'Old Report'!E:L,8,FALSE)),"")</f>
        <v/>
      </c>
      <c r="M697" s="5" t="str">
        <f t="shared" si="53"/>
        <v/>
      </c>
      <c r="N697" s="5" t="str">
        <f t="shared" si="54"/>
        <v/>
      </c>
    </row>
    <row r="698" spans="1:14" x14ac:dyDescent="0.25">
      <c r="A698" s="5">
        <v>697</v>
      </c>
      <c r="B698" s="5">
        <f t="shared" si="51"/>
        <v>0</v>
      </c>
      <c r="C698" s="5" t="str">
        <f t="shared" si="50"/>
        <v/>
      </c>
      <c r="D698" s="5" t="str">
        <f>IFERROR(IF(F698&lt;&gt;"",F698,VLOOKUP(MAX(C$2:C698),A$2:F698,2,FALSE)),"")</f>
        <v/>
      </c>
      <c r="E698" s="5" t="str">
        <f t="shared" si="52"/>
        <v/>
      </c>
      <c r="K698" t="str">
        <f>IFERROR(IF(VLOOKUP(E:E,'Old Report'!E:J,6,FALSE)="","",VLOOKUP(E:E,'Old Report'!E:J,6,FALSE)),"")</f>
        <v/>
      </c>
      <c r="L698" t="str">
        <f>IFERROR(IF(VLOOKUP(E:E,'Old Report'!E:L,8,FALSE)="","",VLOOKUP(E:E,'Old Report'!E:L,8,FALSE)),"")</f>
        <v/>
      </c>
      <c r="M698" s="5" t="str">
        <f t="shared" si="53"/>
        <v/>
      </c>
      <c r="N698" s="5" t="str">
        <f t="shared" si="54"/>
        <v/>
      </c>
    </row>
    <row r="699" spans="1:14" x14ac:dyDescent="0.25">
      <c r="A699" s="5">
        <v>698</v>
      </c>
      <c r="B699" s="5">
        <f t="shared" si="51"/>
        <v>0</v>
      </c>
      <c r="C699" s="5" t="str">
        <f t="shared" si="50"/>
        <v/>
      </c>
      <c r="D699" s="5" t="str">
        <f>IFERROR(IF(F699&lt;&gt;"",F699,VLOOKUP(MAX(C$2:C699),A$2:F699,2,FALSE)),"")</f>
        <v/>
      </c>
      <c r="E699" s="5" t="str">
        <f t="shared" si="52"/>
        <v/>
      </c>
      <c r="K699" t="str">
        <f>IFERROR(IF(VLOOKUP(E:E,'Old Report'!E:J,6,FALSE)="","",VLOOKUP(E:E,'Old Report'!E:J,6,FALSE)),"")</f>
        <v/>
      </c>
      <c r="L699" t="str">
        <f>IFERROR(IF(VLOOKUP(E:E,'Old Report'!E:L,8,FALSE)="","",VLOOKUP(E:E,'Old Report'!E:L,8,FALSE)),"")</f>
        <v/>
      </c>
      <c r="M699" s="5" t="str">
        <f t="shared" si="53"/>
        <v/>
      </c>
      <c r="N699" s="5" t="str">
        <f t="shared" si="54"/>
        <v/>
      </c>
    </row>
    <row r="700" spans="1:14" x14ac:dyDescent="0.25">
      <c r="A700" s="5">
        <v>699</v>
      </c>
      <c r="B700" s="5">
        <f t="shared" si="51"/>
        <v>0</v>
      </c>
      <c r="C700" s="5" t="str">
        <f t="shared" si="50"/>
        <v/>
      </c>
      <c r="D700" s="5" t="str">
        <f>IFERROR(IF(F700&lt;&gt;"",F700,VLOOKUP(MAX(C$2:C700),A$2:F700,2,FALSE)),"")</f>
        <v/>
      </c>
      <c r="E700" s="5" t="str">
        <f t="shared" si="52"/>
        <v/>
      </c>
      <c r="K700" t="str">
        <f>IFERROR(IF(VLOOKUP(E:E,'Old Report'!E:J,6,FALSE)="","",VLOOKUP(E:E,'Old Report'!E:J,6,FALSE)),"")</f>
        <v/>
      </c>
      <c r="L700" t="str">
        <f>IFERROR(IF(VLOOKUP(E:E,'Old Report'!E:L,8,FALSE)="","",VLOOKUP(E:E,'Old Report'!E:L,8,FALSE)),"")</f>
        <v/>
      </c>
      <c r="M700" s="5" t="str">
        <f t="shared" si="53"/>
        <v/>
      </c>
      <c r="N700" s="5" t="str">
        <f t="shared" si="54"/>
        <v/>
      </c>
    </row>
    <row r="701" spans="1:14" x14ac:dyDescent="0.25">
      <c r="A701" s="5">
        <v>700</v>
      </c>
      <c r="B701" s="5">
        <f t="shared" si="51"/>
        <v>0</v>
      </c>
      <c r="C701" s="5" t="str">
        <f t="shared" si="50"/>
        <v/>
      </c>
      <c r="D701" s="5" t="str">
        <f>IFERROR(IF(F701&lt;&gt;"",F701,VLOOKUP(MAX(C$2:C701),A$2:F701,2,FALSE)),"")</f>
        <v/>
      </c>
      <c r="E701" s="5" t="str">
        <f t="shared" si="52"/>
        <v/>
      </c>
      <c r="K701" t="str">
        <f>IFERROR(IF(VLOOKUP(E:E,'Old Report'!E:J,6,FALSE)="","",VLOOKUP(E:E,'Old Report'!E:J,6,FALSE)),"")</f>
        <v/>
      </c>
      <c r="L701" t="str">
        <f>IFERROR(IF(VLOOKUP(E:E,'Old Report'!E:L,8,FALSE)="","",VLOOKUP(E:E,'Old Report'!E:L,8,FALSE)),"")</f>
        <v/>
      </c>
      <c r="M701" s="5" t="str">
        <f t="shared" si="53"/>
        <v/>
      </c>
      <c r="N701" s="5" t="str">
        <f t="shared" si="54"/>
        <v/>
      </c>
    </row>
    <row r="702" spans="1:14" x14ac:dyDescent="0.25">
      <c r="A702" s="5">
        <v>701</v>
      </c>
      <c r="B702" s="5">
        <f t="shared" si="51"/>
        <v>0</v>
      </c>
      <c r="C702" s="5" t="str">
        <f t="shared" si="50"/>
        <v/>
      </c>
      <c r="D702" s="5" t="str">
        <f>IFERROR(IF(F702&lt;&gt;"",F702,VLOOKUP(MAX(C$2:C702),A$2:F702,2,FALSE)),"")</f>
        <v/>
      </c>
      <c r="E702" s="5" t="str">
        <f t="shared" si="52"/>
        <v/>
      </c>
      <c r="K702" t="str">
        <f>IFERROR(IF(VLOOKUP(E:E,'Old Report'!E:J,6,FALSE)="","",VLOOKUP(E:E,'Old Report'!E:J,6,FALSE)),"")</f>
        <v/>
      </c>
      <c r="L702" t="str">
        <f>IFERROR(IF(VLOOKUP(E:E,'Old Report'!E:L,8,FALSE)="","",VLOOKUP(E:E,'Old Report'!E:L,8,FALSE)),"")</f>
        <v/>
      </c>
      <c r="M702" s="5" t="str">
        <f t="shared" si="53"/>
        <v/>
      </c>
      <c r="N702" s="5" t="str">
        <f t="shared" si="54"/>
        <v/>
      </c>
    </row>
    <row r="703" spans="1:14" x14ac:dyDescent="0.25">
      <c r="A703" s="5">
        <v>702</v>
      </c>
      <c r="B703" s="5">
        <f t="shared" si="51"/>
        <v>0</v>
      </c>
      <c r="C703" s="5" t="str">
        <f t="shared" si="50"/>
        <v/>
      </c>
      <c r="D703" s="5" t="str">
        <f>IFERROR(IF(F703&lt;&gt;"",F703,VLOOKUP(MAX(C$2:C703),A$2:F703,2,FALSE)),"")</f>
        <v/>
      </c>
      <c r="E703" s="5" t="str">
        <f t="shared" si="52"/>
        <v/>
      </c>
      <c r="K703" t="str">
        <f>IFERROR(IF(VLOOKUP(E:E,'Old Report'!E:J,6,FALSE)="","",VLOOKUP(E:E,'Old Report'!E:J,6,FALSE)),"")</f>
        <v/>
      </c>
      <c r="L703" t="str">
        <f>IFERROR(IF(VLOOKUP(E:E,'Old Report'!E:L,8,FALSE)="","",VLOOKUP(E:E,'Old Report'!E:L,8,FALSE)),"")</f>
        <v/>
      </c>
      <c r="M703" s="5" t="str">
        <f t="shared" si="53"/>
        <v/>
      </c>
      <c r="N703" s="5" t="str">
        <f t="shared" si="54"/>
        <v/>
      </c>
    </row>
    <row r="704" spans="1:14" x14ac:dyDescent="0.25">
      <c r="A704" s="5">
        <v>703</v>
      </c>
      <c r="B704" s="5">
        <f t="shared" si="51"/>
        <v>0</v>
      </c>
      <c r="C704" s="5" t="str">
        <f t="shared" si="50"/>
        <v/>
      </c>
      <c r="D704" s="5" t="str">
        <f>IFERROR(IF(F704&lt;&gt;"",F704,VLOOKUP(MAX(C$2:C704),A$2:F704,2,FALSE)),"")</f>
        <v/>
      </c>
      <c r="E704" s="5" t="str">
        <f t="shared" si="52"/>
        <v/>
      </c>
      <c r="K704" t="str">
        <f>IFERROR(IF(VLOOKUP(E:E,'Old Report'!E:J,6,FALSE)="","",VLOOKUP(E:E,'Old Report'!E:J,6,FALSE)),"")</f>
        <v/>
      </c>
      <c r="L704" t="str">
        <f>IFERROR(IF(VLOOKUP(E:E,'Old Report'!E:L,8,FALSE)="","",VLOOKUP(E:E,'Old Report'!E:L,8,FALSE)),"")</f>
        <v/>
      </c>
      <c r="M704" s="5" t="str">
        <f t="shared" si="53"/>
        <v/>
      </c>
      <c r="N704" s="5" t="str">
        <f t="shared" si="54"/>
        <v/>
      </c>
    </row>
    <row r="705" spans="1:14" x14ac:dyDescent="0.25">
      <c r="A705" s="5">
        <v>704</v>
      </c>
      <c r="B705" s="5">
        <f t="shared" si="51"/>
        <v>0</v>
      </c>
      <c r="C705" s="5" t="str">
        <f t="shared" si="50"/>
        <v/>
      </c>
      <c r="D705" s="5" t="str">
        <f>IFERROR(IF(F705&lt;&gt;"",F705,VLOOKUP(MAX(C$2:C705),A$2:F705,2,FALSE)),"")</f>
        <v/>
      </c>
      <c r="E705" s="5" t="str">
        <f t="shared" si="52"/>
        <v/>
      </c>
      <c r="K705" t="str">
        <f>IFERROR(IF(VLOOKUP(E:E,'Old Report'!E:J,6,FALSE)="","",VLOOKUP(E:E,'Old Report'!E:J,6,FALSE)),"")</f>
        <v/>
      </c>
      <c r="L705" t="str">
        <f>IFERROR(IF(VLOOKUP(E:E,'Old Report'!E:L,8,FALSE)="","",VLOOKUP(E:E,'Old Report'!E:L,8,FALSE)),"")</f>
        <v/>
      </c>
      <c r="M705" s="5" t="str">
        <f t="shared" si="53"/>
        <v/>
      </c>
      <c r="N705" s="5" t="str">
        <f t="shared" si="54"/>
        <v/>
      </c>
    </row>
    <row r="706" spans="1:14" x14ac:dyDescent="0.25">
      <c r="A706" s="5">
        <v>705</v>
      </c>
      <c r="B706" s="5">
        <f t="shared" si="51"/>
        <v>0</v>
      </c>
      <c r="C706" s="5" t="str">
        <f t="shared" ref="C706:C769" si="55">IF(F706&lt;&gt;"",A706,"")</f>
        <v/>
      </c>
      <c r="D706" s="5" t="str">
        <f>IFERROR(IF(F706&lt;&gt;"",F706,VLOOKUP(MAX(C$2:C706),A$2:F706,2,FALSE)),"")</f>
        <v/>
      </c>
      <c r="E706" s="5" t="str">
        <f t="shared" si="52"/>
        <v/>
      </c>
      <c r="K706" t="str">
        <f>IFERROR(IF(VLOOKUP(E:E,'Old Report'!E:J,6,FALSE)="","",VLOOKUP(E:E,'Old Report'!E:J,6,FALSE)),"")</f>
        <v/>
      </c>
      <c r="L706" t="str">
        <f>IFERROR(IF(VLOOKUP(E:E,'Old Report'!E:L,8,FALSE)="","",VLOOKUP(E:E,'Old Report'!E:L,8,FALSE)),"")</f>
        <v/>
      </c>
      <c r="M706" s="5" t="str">
        <f t="shared" si="53"/>
        <v/>
      </c>
      <c r="N706" s="5" t="str">
        <f t="shared" si="54"/>
        <v/>
      </c>
    </row>
    <row r="707" spans="1:14" x14ac:dyDescent="0.25">
      <c r="A707" s="5">
        <v>706</v>
      </c>
      <c r="B707" s="5">
        <f t="shared" ref="B707:B770" si="56">IF(F708&lt;&gt;"",F708,F707)</f>
        <v>0</v>
      </c>
      <c r="C707" s="5" t="str">
        <f t="shared" si="55"/>
        <v/>
      </c>
      <c r="D707" s="5" t="str">
        <f>IFERROR(IF(F707&lt;&gt;"",F707,VLOOKUP(MAX(C$2:C707),A$2:F707,2,FALSE)),"")</f>
        <v/>
      </c>
      <c r="E707" s="5" t="str">
        <f t="shared" ref="E707:E770" si="57">IF(H707&lt;&gt;"",CONCATENATE(D707,".",H707),"")</f>
        <v/>
      </c>
      <c r="K707" t="str">
        <f>IFERROR(IF(VLOOKUP(E:E,'Old Report'!E:J,6,FALSE)="","",VLOOKUP(E:E,'Old Report'!E:J,6,FALSE)),"")</f>
        <v/>
      </c>
      <c r="L707" t="str">
        <f>IFERROR(IF(VLOOKUP(E:E,'Old Report'!E:L,8,FALSE)="","",VLOOKUP(E:E,'Old Report'!E:L,8,FALSE)),"")</f>
        <v/>
      </c>
      <c r="M707" s="5" t="str">
        <f t="shared" si="53"/>
        <v/>
      </c>
      <c r="N707" s="5" t="str">
        <f t="shared" si="54"/>
        <v/>
      </c>
    </row>
    <row r="708" spans="1:14" x14ac:dyDescent="0.25">
      <c r="A708" s="5">
        <v>707</v>
      </c>
      <c r="B708" s="5">
        <f t="shared" si="56"/>
        <v>0</v>
      </c>
      <c r="C708" s="5" t="str">
        <f t="shared" si="55"/>
        <v/>
      </c>
      <c r="D708" s="5" t="str">
        <f>IFERROR(IF(F708&lt;&gt;"",F708,VLOOKUP(MAX(C$2:C708),A$2:F708,2,FALSE)),"")</f>
        <v/>
      </c>
      <c r="E708" s="5" t="str">
        <f t="shared" si="57"/>
        <v/>
      </c>
      <c r="K708" t="str">
        <f>IFERROR(IF(VLOOKUP(E:E,'Old Report'!E:J,6,FALSE)="","",VLOOKUP(E:E,'Old Report'!E:J,6,FALSE)),"")</f>
        <v/>
      </c>
      <c r="L708" t="str">
        <f>IFERROR(IF(VLOOKUP(E:E,'Old Report'!E:L,8,FALSE)="","",VLOOKUP(E:E,'Old Report'!E:L,8,FALSE)),"")</f>
        <v/>
      </c>
      <c r="M708" s="5" t="str">
        <f t="shared" ref="M708:M771" si="58">IFERROR(L708,"")</f>
        <v/>
      </c>
      <c r="N708" s="5" t="str">
        <f t="shared" ref="N708:N771" si="59">IFERROR( IF(J708&lt;&gt;"",IF(K708 &lt;&gt; "",IF(J708 = K708,"No Change",IF(J708 &lt; K708,CONCATENATE("Issues reduced from ",K708," to ",J708),IF(J708&gt;K708,CONCATENATE("Issues increased from ",K708," to ",J708),""))),"New issue - needs to be checked"),""),"")</f>
        <v/>
      </c>
    </row>
    <row r="709" spans="1:14" x14ac:dyDescent="0.25">
      <c r="A709" s="5">
        <v>708</v>
      </c>
      <c r="B709" s="5">
        <f t="shared" si="56"/>
        <v>0</v>
      </c>
      <c r="C709" s="5" t="str">
        <f t="shared" si="55"/>
        <v/>
      </c>
      <c r="D709" s="5" t="str">
        <f>IFERROR(IF(F709&lt;&gt;"",F709,VLOOKUP(MAX(C$2:C709),A$2:F709,2,FALSE)),"")</f>
        <v/>
      </c>
      <c r="E709" s="5" t="str">
        <f t="shared" si="57"/>
        <v/>
      </c>
      <c r="K709" t="str">
        <f>IFERROR(IF(VLOOKUP(E:E,'Old Report'!E:J,6,FALSE)="","",VLOOKUP(E:E,'Old Report'!E:J,6,FALSE)),"")</f>
        <v/>
      </c>
      <c r="L709" t="str">
        <f>IFERROR(IF(VLOOKUP(E:E,'Old Report'!E:L,8,FALSE)="","",VLOOKUP(E:E,'Old Report'!E:L,8,FALSE)),"")</f>
        <v/>
      </c>
      <c r="M709" s="5" t="str">
        <f t="shared" si="58"/>
        <v/>
      </c>
      <c r="N709" s="5" t="str">
        <f t="shared" si="59"/>
        <v/>
      </c>
    </row>
    <row r="710" spans="1:14" x14ac:dyDescent="0.25">
      <c r="A710" s="5">
        <v>709</v>
      </c>
      <c r="B710" s="5">
        <f t="shared" si="56"/>
        <v>0</v>
      </c>
      <c r="C710" s="5" t="str">
        <f t="shared" si="55"/>
        <v/>
      </c>
      <c r="D710" s="5" t="str">
        <f>IFERROR(IF(F710&lt;&gt;"",F710,VLOOKUP(MAX(C$2:C710),A$2:F710,2,FALSE)),"")</f>
        <v/>
      </c>
      <c r="E710" s="5" t="str">
        <f t="shared" si="57"/>
        <v/>
      </c>
      <c r="K710" t="str">
        <f>IFERROR(IF(VLOOKUP(E:E,'Old Report'!E:J,6,FALSE)="","",VLOOKUP(E:E,'Old Report'!E:J,6,FALSE)),"")</f>
        <v/>
      </c>
      <c r="L710" t="str">
        <f>IFERROR(IF(VLOOKUP(E:E,'Old Report'!E:L,8,FALSE)="","",VLOOKUP(E:E,'Old Report'!E:L,8,FALSE)),"")</f>
        <v/>
      </c>
      <c r="M710" s="5" t="str">
        <f t="shared" si="58"/>
        <v/>
      </c>
      <c r="N710" s="5" t="str">
        <f t="shared" si="59"/>
        <v/>
      </c>
    </row>
    <row r="711" spans="1:14" x14ac:dyDescent="0.25">
      <c r="A711" s="5">
        <v>710</v>
      </c>
      <c r="B711" s="5">
        <f t="shared" si="56"/>
        <v>0</v>
      </c>
      <c r="C711" s="5" t="str">
        <f t="shared" si="55"/>
        <v/>
      </c>
      <c r="D711" s="5" t="str">
        <f>IFERROR(IF(F711&lt;&gt;"",F711,VLOOKUP(MAX(C$2:C711),A$2:F711,2,FALSE)),"")</f>
        <v/>
      </c>
      <c r="E711" s="5" t="str">
        <f t="shared" si="57"/>
        <v/>
      </c>
      <c r="K711" t="str">
        <f>IFERROR(IF(VLOOKUP(E:E,'Old Report'!E:J,6,FALSE)="","",VLOOKUP(E:E,'Old Report'!E:J,6,FALSE)),"")</f>
        <v/>
      </c>
      <c r="L711" t="str">
        <f>IFERROR(IF(VLOOKUP(E:E,'Old Report'!E:L,8,FALSE)="","",VLOOKUP(E:E,'Old Report'!E:L,8,FALSE)),"")</f>
        <v/>
      </c>
      <c r="M711" s="5" t="str">
        <f t="shared" si="58"/>
        <v/>
      </c>
      <c r="N711" s="5" t="str">
        <f t="shared" si="59"/>
        <v/>
      </c>
    </row>
    <row r="712" spans="1:14" x14ac:dyDescent="0.25">
      <c r="A712" s="5">
        <v>711</v>
      </c>
      <c r="B712" s="5">
        <f t="shared" si="56"/>
        <v>0</v>
      </c>
      <c r="C712" s="5" t="str">
        <f t="shared" si="55"/>
        <v/>
      </c>
      <c r="D712" s="5" t="str">
        <f>IFERROR(IF(F712&lt;&gt;"",F712,VLOOKUP(MAX(C$2:C712),A$2:F712,2,FALSE)),"")</f>
        <v/>
      </c>
      <c r="E712" s="5" t="str">
        <f t="shared" si="57"/>
        <v/>
      </c>
      <c r="K712" t="str">
        <f>IFERROR(IF(VLOOKUP(E:E,'Old Report'!E:J,6,FALSE)="","",VLOOKUP(E:E,'Old Report'!E:J,6,FALSE)),"")</f>
        <v/>
      </c>
      <c r="L712" t="str">
        <f>IFERROR(IF(VLOOKUP(E:E,'Old Report'!E:L,8,FALSE)="","",VLOOKUP(E:E,'Old Report'!E:L,8,FALSE)),"")</f>
        <v/>
      </c>
      <c r="M712" s="5" t="str">
        <f t="shared" si="58"/>
        <v/>
      </c>
      <c r="N712" s="5" t="str">
        <f t="shared" si="59"/>
        <v/>
      </c>
    </row>
    <row r="713" spans="1:14" x14ac:dyDescent="0.25">
      <c r="A713" s="5">
        <v>712</v>
      </c>
      <c r="B713" s="5">
        <f t="shared" si="56"/>
        <v>0</v>
      </c>
      <c r="C713" s="5" t="str">
        <f t="shared" si="55"/>
        <v/>
      </c>
      <c r="D713" s="5" t="str">
        <f>IFERROR(IF(F713&lt;&gt;"",F713,VLOOKUP(MAX(C$2:C713),A$2:F713,2,FALSE)),"")</f>
        <v/>
      </c>
      <c r="E713" s="5" t="str">
        <f t="shared" si="57"/>
        <v/>
      </c>
      <c r="K713" t="str">
        <f>IFERROR(IF(VLOOKUP(E:E,'Old Report'!E:J,6,FALSE)="","",VLOOKUP(E:E,'Old Report'!E:J,6,FALSE)),"")</f>
        <v/>
      </c>
      <c r="L713" t="str">
        <f>IFERROR(IF(VLOOKUP(E:E,'Old Report'!E:L,8,FALSE)="","",VLOOKUP(E:E,'Old Report'!E:L,8,FALSE)),"")</f>
        <v/>
      </c>
      <c r="M713" s="5" t="str">
        <f t="shared" si="58"/>
        <v/>
      </c>
      <c r="N713" s="5" t="str">
        <f t="shared" si="59"/>
        <v/>
      </c>
    </row>
    <row r="714" spans="1:14" x14ac:dyDescent="0.25">
      <c r="A714" s="5">
        <v>713</v>
      </c>
      <c r="B714" s="5">
        <f t="shared" si="56"/>
        <v>0</v>
      </c>
      <c r="C714" s="5" t="str">
        <f t="shared" si="55"/>
        <v/>
      </c>
      <c r="D714" s="5" t="str">
        <f>IFERROR(IF(F714&lt;&gt;"",F714,VLOOKUP(MAX(C$2:C714),A$2:F714,2,FALSE)),"")</f>
        <v/>
      </c>
      <c r="E714" s="5" t="str">
        <f t="shared" si="57"/>
        <v/>
      </c>
      <c r="K714" t="str">
        <f>IFERROR(IF(VLOOKUP(E:E,'Old Report'!E:J,6,FALSE)="","",VLOOKUP(E:E,'Old Report'!E:J,6,FALSE)),"")</f>
        <v/>
      </c>
      <c r="L714" t="str">
        <f>IFERROR(IF(VLOOKUP(E:E,'Old Report'!E:L,8,FALSE)="","",VLOOKUP(E:E,'Old Report'!E:L,8,FALSE)),"")</f>
        <v/>
      </c>
      <c r="M714" s="5" t="str">
        <f t="shared" si="58"/>
        <v/>
      </c>
      <c r="N714" s="5" t="str">
        <f t="shared" si="59"/>
        <v/>
      </c>
    </row>
    <row r="715" spans="1:14" x14ac:dyDescent="0.25">
      <c r="A715" s="5">
        <v>714</v>
      </c>
      <c r="B715" s="5">
        <f t="shared" si="56"/>
        <v>0</v>
      </c>
      <c r="C715" s="5" t="str">
        <f t="shared" si="55"/>
        <v/>
      </c>
      <c r="D715" s="5" t="str">
        <f>IFERROR(IF(F715&lt;&gt;"",F715,VLOOKUP(MAX(C$2:C715),A$2:F715,2,FALSE)),"")</f>
        <v/>
      </c>
      <c r="E715" s="5" t="str">
        <f t="shared" si="57"/>
        <v/>
      </c>
      <c r="K715" t="str">
        <f>IFERROR(IF(VLOOKUP(E:E,'Old Report'!E:J,6,FALSE)="","",VLOOKUP(E:E,'Old Report'!E:J,6,FALSE)),"")</f>
        <v/>
      </c>
      <c r="L715" t="str">
        <f>IFERROR(IF(VLOOKUP(E:E,'Old Report'!E:L,8,FALSE)="","",VLOOKUP(E:E,'Old Report'!E:L,8,FALSE)),"")</f>
        <v/>
      </c>
      <c r="M715" s="5" t="str">
        <f t="shared" si="58"/>
        <v/>
      </c>
      <c r="N715" s="5" t="str">
        <f t="shared" si="59"/>
        <v/>
      </c>
    </row>
    <row r="716" spans="1:14" x14ac:dyDescent="0.25">
      <c r="A716" s="5">
        <v>715</v>
      </c>
      <c r="B716" s="5">
        <f t="shared" si="56"/>
        <v>0</v>
      </c>
      <c r="C716" s="5" t="str">
        <f t="shared" si="55"/>
        <v/>
      </c>
      <c r="D716" s="5" t="str">
        <f>IFERROR(IF(F716&lt;&gt;"",F716,VLOOKUP(MAX(C$2:C716),A$2:F716,2,FALSE)),"")</f>
        <v/>
      </c>
      <c r="E716" s="5" t="str">
        <f t="shared" si="57"/>
        <v/>
      </c>
      <c r="K716" t="str">
        <f>IFERROR(IF(VLOOKUP(E:E,'Old Report'!E:J,6,FALSE)="","",VLOOKUP(E:E,'Old Report'!E:J,6,FALSE)),"")</f>
        <v/>
      </c>
      <c r="L716" t="str">
        <f>IFERROR(IF(VLOOKUP(E:E,'Old Report'!E:L,8,FALSE)="","",VLOOKUP(E:E,'Old Report'!E:L,8,FALSE)),"")</f>
        <v/>
      </c>
      <c r="M716" s="5" t="str">
        <f t="shared" si="58"/>
        <v/>
      </c>
      <c r="N716" s="5" t="str">
        <f t="shared" si="59"/>
        <v/>
      </c>
    </row>
    <row r="717" spans="1:14" x14ac:dyDescent="0.25">
      <c r="A717" s="5">
        <v>716</v>
      </c>
      <c r="B717" s="5">
        <f t="shared" si="56"/>
        <v>0</v>
      </c>
      <c r="C717" s="5" t="str">
        <f t="shared" si="55"/>
        <v/>
      </c>
      <c r="D717" s="5" t="str">
        <f>IFERROR(IF(F717&lt;&gt;"",F717,VLOOKUP(MAX(C$2:C717),A$2:F717,2,FALSE)),"")</f>
        <v/>
      </c>
      <c r="E717" s="5" t="str">
        <f t="shared" si="57"/>
        <v/>
      </c>
      <c r="K717" t="str">
        <f>IFERROR(IF(VLOOKUP(E:E,'Old Report'!E:J,6,FALSE)="","",VLOOKUP(E:E,'Old Report'!E:J,6,FALSE)),"")</f>
        <v/>
      </c>
      <c r="L717" t="str">
        <f>IFERROR(IF(VLOOKUP(E:E,'Old Report'!E:L,8,FALSE)="","",VLOOKUP(E:E,'Old Report'!E:L,8,FALSE)),"")</f>
        <v/>
      </c>
      <c r="M717" s="5" t="str">
        <f t="shared" si="58"/>
        <v/>
      </c>
      <c r="N717" s="5" t="str">
        <f t="shared" si="59"/>
        <v/>
      </c>
    </row>
    <row r="718" spans="1:14" x14ac:dyDescent="0.25">
      <c r="A718" s="5">
        <v>717</v>
      </c>
      <c r="B718" s="5">
        <f t="shared" si="56"/>
        <v>0</v>
      </c>
      <c r="C718" s="5" t="str">
        <f t="shared" si="55"/>
        <v/>
      </c>
      <c r="D718" s="5" t="str">
        <f>IFERROR(IF(F718&lt;&gt;"",F718,VLOOKUP(MAX(C$2:C718),A$2:F718,2,FALSE)),"")</f>
        <v/>
      </c>
      <c r="E718" s="5" t="str">
        <f t="shared" si="57"/>
        <v/>
      </c>
      <c r="K718" t="str">
        <f>IFERROR(IF(VLOOKUP(E:E,'Old Report'!E:J,6,FALSE)="","",VLOOKUP(E:E,'Old Report'!E:J,6,FALSE)),"")</f>
        <v/>
      </c>
      <c r="L718" t="str">
        <f>IFERROR(IF(VLOOKUP(E:E,'Old Report'!E:L,8,FALSE)="","",VLOOKUP(E:E,'Old Report'!E:L,8,FALSE)),"")</f>
        <v/>
      </c>
      <c r="M718" s="5" t="str">
        <f t="shared" si="58"/>
        <v/>
      </c>
      <c r="N718" s="5" t="str">
        <f t="shared" si="59"/>
        <v/>
      </c>
    </row>
    <row r="719" spans="1:14" x14ac:dyDescent="0.25">
      <c r="A719" s="5">
        <v>718</v>
      </c>
      <c r="B719" s="5">
        <f t="shared" si="56"/>
        <v>0</v>
      </c>
      <c r="C719" s="5" t="str">
        <f t="shared" si="55"/>
        <v/>
      </c>
      <c r="D719" s="5" t="str">
        <f>IFERROR(IF(F719&lt;&gt;"",F719,VLOOKUP(MAX(C$2:C719),A$2:F719,2,FALSE)),"")</f>
        <v/>
      </c>
      <c r="E719" s="5" t="str">
        <f t="shared" si="57"/>
        <v/>
      </c>
      <c r="K719" t="str">
        <f>IFERROR(IF(VLOOKUP(E:E,'Old Report'!E:J,6,FALSE)="","",VLOOKUP(E:E,'Old Report'!E:J,6,FALSE)),"")</f>
        <v/>
      </c>
      <c r="L719" t="str">
        <f>IFERROR(IF(VLOOKUP(E:E,'Old Report'!E:L,8,FALSE)="","",VLOOKUP(E:E,'Old Report'!E:L,8,FALSE)),"")</f>
        <v/>
      </c>
      <c r="M719" s="5" t="str">
        <f t="shared" si="58"/>
        <v/>
      </c>
      <c r="N719" s="5" t="str">
        <f t="shared" si="59"/>
        <v/>
      </c>
    </row>
    <row r="720" spans="1:14" x14ac:dyDescent="0.25">
      <c r="A720" s="5">
        <v>719</v>
      </c>
      <c r="B720" s="5">
        <f t="shared" si="56"/>
        <v>0</v>
      </c>
      <c r="C720" s="5" t="str">
        <f t="shared" si="55"/>
        <v/>
      </c>
      <c r="D720" s="5" t="str">
        <f>IFERROR(IF(F720&lt;&gt;"",F720,VLOOKUP(MAX(C$2:C720),A$2:F720,2,FALSE)),"")</f>
        <v/>
      </c>
      <c r="E720" s="5" t="str">
        <f t="shared" si="57"/>
        <v/>
      </c>
      <c r="K720" t="str">
        <f>IFERROR(IF(VLOOKUP(E:E,'Old Report'!E:J,6,FALSE)="","",VLOOKUP(E:E,'Old Report'!E:J,6,FALSE)),"")</f>
        <v/>
      </c>
      <c r="L720" t="str">
        <f>IFERROR(IF(VLOOKUP(E:E,'Old Report'!E:L,8,FALSE)="","",VLOOKUP(E:E,'Old Report'!E:L,8,FALSE)),"")</f>
        <v/>
      </c>
      <c r="M720" s="5" t="str">
        <f t="shared" si="58"/>
        <v/>
      </c>
      <c r="N720" s="5" t="str">
        <f t="shared" si="59"/>
        <v/>
      </c>
    </row>
    <row r="721" spans="1:14" x14ac:dyDescent="0.25">
      <c r="A721" s="5">
        <v>720</v>
      </c>
      <c r="B721" s="5">
        <f t="shared" si="56"/>
        <v>0</v>
      </c>
      <c r="C721" s="5" t="str">
        <f t="shared" si="55"/>
        <v/>
      </c>
      <c r="D721" s="5" t="str">
        <f>IFERROR(IF(F721&lt;&gt;"",F721,VLOOKUP(MAX(C$2:C721),A$2:F721,2,FALSE)),"")</f>
        <v/>
      </c>
      <c r="E721" s="5" t="str">
        <f t="shared" si="57"/>
        <v/>
      </c>
      <c r="K721" t="str">
        <f>IFERROR(IF(VLOOKUP(E:E,'Old Report'!E:J,6,FALSE)="","",VLOOKUP(E:E,'Old Report'!E:J,6,FALSE)),"")</f>
        <v/>
      </c>
      <c r="L721" t="str">
        <f>IFERROR(IF(VLOOKUP(E:E,'Old Report'!E:L,8,FALSE)="","",VLOOKUP(E:E,'Old Report'!E:L,8,FALSE)),"")</f>
        <v/>
      </c>
      <c r="M721" s="5" t="str">
        <f t="shared" si="58"/>
        <v/>
      </c>
      <c r="N721" s="5" t="str">
        <f t="shared" si="59"/>
        <v/>
      </c>
    </row>
    <row r="722" spans="1:14" x14ac:dyDescent="0.25">
      <c r="A722" s="5">
        <v>721</v>
      </c>
      <c r="B722" s="5">
        <f t="shared" si="56"/>
        <v>0</v>
      </c>
      <c r="C722" s="5" t="str">
        <f t="shared" si="55"/>
        <v/>
      </c>
      <c r="D722" s="5" t="str">
        <f>IFERROR(IF(F722&lt;&gt;"",F722,VLOOKUP(MAX(C$2:C722),A$2:F722,2,FALSE)),"")</f>
        <v/>
      </c>
      <c r="E722" s="5" t="str">
        <f t="shared" si="57"/>
        <v/>
      </c>
      <c r="K722" t="str">
        <f>IFERROR(IF(VLOOKUP(E:E,'Old Report'!E:J,6,FALSE)="","",VLOOKUP(E:E,'Old Report'!E:J,6,FALSE)),"")</f>
        <v/>
      </c>
      <c r="L722" t="str">
        <f>IFERROR(IF(VLOOKUP(E:E,'Old Report'!E:L,8,FALSE)="","",VLOOKUP(E:E,'Old Report'!E:L,8,FALSE)),"")</f>
        <v/>
      </c>
      <c r="M722" s="5" t="str">
        <f t="shared" si="58"/>
        <v/>
      </c>
      <c r="N722" s="5" t="str">
        <f t="shared" si="59"/>
        <v/>
      </c>
    </row>
    <row r="723" spans="1:14" x14ac:dyDescent="0.25">
      <c r="A723" s="5">
        <v>722</v>
      </c>
      <c r="B723" s="5">
        <f t="shared" si="56"/>
        <v>0</v>
      </c>
      <c r="C723" s="5" t="str">
        <f t="shared" si="55"/>
        <v/>
      </c>
      <c r="D723" s="5" t="str">
        <f>IFERROR(IF(F723&lt;&gt;"",F723,VLOOKUP(MAX(C$2:C723),A$2:F723,2,FALSE)),"")</f>
        <v/>
      </c>
      <c r="E723" s="5" t="str">
        <f t="shared" si="57"/>
        <v/>
      </c>
      <c r="K723" t="str">
        <f>IFERROR(IF(VLOOKUP(E:E,'Old Report'!E:J,6,FALSE)="","",VLOOKUP(E:E,'Old Report'!E:J,6,FALSE)),"")</f>
        <v/>
      </c>
      <c r="L723" t="str">
        <f>IFERROR(IF(VLOOKUP(E:E,'Old Report'!E:L,8,FALSE)="","",VLOOKUP(E:E,'Old Report'!E:L,8,FALSE)),"")</f>
        <v/>
      </c>
      <c r="M723" s="5" t="str">
        <f t="shared" si="58"/>
        <v/>
      </c>
      <c r="N723" s="5" t="str">
        <f t="shared" si="59"/>
        <v/>
      </c>
    </row>
    <row r="724" spans="1:14" x14ac:dyDescent="0.25">
      <c r="A724" s="5">
        <v>723</v>
      </c>
      <c r="B724" s="5">
        <f t="shared" si="56"/>
        <v>0</v>
      </c>
      <c r="C724" s="5" t="str">
        <f t="shared" si="55"/>
        <v/>
      </c>
      <c r="D724" s="5" t="str">
        <f>IFERROR(IF(F724&lt;&gt;"",F724,VLOOKUP(MAX(C$2:C724),A$2:F724,2,FALSE)),"")</f>
        <v/>
      </c>
      <c r="E724" s="5" t="str">
        <f t="shared" si="57"/>
        <v/>
      </c>
      <c r="K724" t="str">
        <f>IFERROR(IF(VLOOKUP(E:E,'Old Report'!E:J,6,FALSE)="","",VLOOKUP(E:E,'Old Report'!E:J,6,FALSE)),"")</f>
        <v/>
      </c>
      <c r="L724" t="str">
        <f>IFERROR(IF(VLOOKUP(E:E,'Old Report'!E:L,8,FALSE)="","",VLOOKUP(E:E,'Old Report'!E:L,8,FALSE)),"")</f>
        <v/>
      </c>
      <c r="M724" s="5" t="str">
        <f t="shared" si="58"/>
        <v/>
      </c>
      <c r="N724" s="5" t="str">
        <f t="shared" si="59"/>
        <v/>
      </c>
    </row>
    <row r="725" spans="1:14" x14ac:dyDescent="0.25">
      <c r="A725" s="5">
        <v>724</v>
      </c>
      <c r="B725" s="5">
        <f t="shared" si="56"/>
        <v>0</v>
      </c>
      <c r="C725" s="5" t="str">
        <f t="shared" si="55"/>
        <v/>
      </c>
      <c r="D725" s="5" t="str">
        <f>IFERROR(IF(F725&lt;&gt;"",F725,VLOOKUP(MAX(C$2:C725),A$2:F725,2,FALSE)),"")</f>
        <v/>
      </c>
      <c r="E725" s="5" t="str">
        <f t="shared" si="57"/>
        <v/>
      </c>
      <c r="K725" t="str">
        <f>IFERROR(IF(VLOOKUP(E:E,'Old Report'!E:J,6,FALSE)="","",VLOOKUP(E:E,'Old Report'!E:J,6,FALSE)),"")</f>
        <v/>
      </c>
      <c r="L725" t="str">
        <f>IFERROR(IF(VLOOKUP(E:E,'Old Report'!E:L,8,FALSE)="","",VLOOKUP(E:E,'Old Report'!E:L,8,FALSE)),"")</f>
        <v/>
      </c>
      <c r="M725" s="5" t="str">
        <f t="shared" si="58"/>
        <v/>
      </c>
      <c r="N725" s="5" t="str">
        <f t="shared" si="59"/>
        <v/>
      </c>
    </row>
    <row r="726" spans="1:14" x14ac:dyDescent="0.25">
      <c r="A726" s="5">
        <v>725</v>
      </c>
      <c r="B726" s="5">
        <f t="shared" si="56"/>
        <v>0</v>
      </c>
      <c r="C726" s="5" t="str">
        <f t="shared" si="55"/>
        <v/>
      </c>
      <c r="D726" s="5" t="str">
        <f>IFERROR(IF(F726&lt;&gt;"",F726,VLOOKUP(MAX(C$2:C726),A$2:F726,2,FALSE)),"")</f>
        <v/>
      </c>
      <c r="E726" s="5" t="str">
        <f t="shared" si="57"/>
        <v/>
      </c>
      <c r="K726" t="str">
        <f>IFERROR(IF(VLOOKUP(E:E,'Old Report'!E:J,6,FALSE)="","",VLOOKUP(E:E,'Old Report'!E:J,6,FALSE)),"")</f>
        <v/>
      </c>
      <c r="L726" t="str">
        <f>IFERROR(IF(VLOOKUP(E:E,'Old Report'!E:L,8,FALSE)="","",VLOOKUP(E:E,'Old Report'!E:L,8,FALSE)),"")</f>
        <v/>
      </c>
      <c r="M726" s="5" t="str">
        <f t="shared" si="58"/>
        <v/>
      </c>
      <c r="N726" s="5" t="str">
        <f t="shared" si="59"/>
        <v/>
      </c>
    </row>
    <row r="727" spans="1:14" x14ac:dyDescent="0.25">
      <c r="A727" s="5">
        <v>726</v>
      </c>
      <c r="B727" s="5">
        <f t="shared" si="56"/>
        <v>0</v>
      </c>
      <c r="C727" s="5" t="str">
        <f t="shared" si="55"/>
        <v/>
      </c>
      <c r="D727" s="5" t="str">
        <f>IFERROR(IF(F727&lt;&gt;"",F727,VLOOKUP(MAX(C$2:C727),A$2:F727,2,FALSE)),"")</f>
        <v/>
      </c>
      <c r="E727" s="5" t="str">
        <f t="shared" si="57"/>
        <v/>
      </c>
      <c r="K727" t="str">
        <f>IFERROR(IF(VLOOKUP(E:E,'Old Report'!E:J,6,FALSE)="","",VLOOKUP(E:E,'Old Report'!E:J,6,FALSE)),"")</f>
        <v/>
      </c>
      <c r="L727" t="str">
        <f>IFERROR(IF(VLOOKUP(E:E,'Old Report'!E:L,8,FALSE)="","",VLOOKUP(E:E,'Old Report'!E:L,8,FALSE)),"")</f>
        <v/>
      </c>
      <c r="M727" s="5" t="str">
        <f t="shared" si="58"/>
        <v/>
      </c>
      <c r="N727" s="5" t="str">
        <f t="shared" si="59"/>
        <v/>
      </c>
    </row>
    <row r="728" spans="1:14" x14ac:dyDescent="0.25">
      <c r="A728" s="5">
        <v>727</v>
      </c>
      <c r="B728" s="5">
        <f t="shared" si="56"/>
        <v>0</v>
      </c>
      <c r="C728" s="5" t="str">
        <f t="shared" si="55"/>
        <v/>
      </c>
      <c r="D728" s="5" t="str">
        <f>IFERROR(IF(F728&lt;&gt;"",F728,VLOOKUP(MAX(C$2:C728),A$2:F728,2,FALSE)),"")</f>
        <v/>
      </c>
      <c r="E728" s="5" t="str">
        <f t="shared" si="57"/>
        <v/>
      </c>
      <c r="K728" t="str">
        <f>IFERROR(IF(VLOOKUP(E:E,'Old Report'!E:J,6,FALSE)="","",VLOOKUP(E:E,'Old Report'!E:J,6,FALSE)),"")</f>
        <v/>
      </c>
      <c r="L728" t="str">
        <f>IFERROR(IF(VLOOKUP(E:E,'Old Report'!E:L,8,FALSE)="","",VLOOKUP(E:E,'Old Report'!E:L,8,FALSE)),"")</f>
        <v/>
      </c>
      <c r="M728" s="5" t="str">
        <f t="shared" si="58"/>
        <v/>
      </c>
      <c r="N728" s="5" t="str">
        <f t="shared" si="59"/>
        <v/>
      </c>
    </row>
    <row r="729" spans="1:14" x14ac:dyDescent="0.25">
      <c r="A729" s="5">
        <v>728</v>
      </c>
      <c r="B729" s="5">
        <f t="shared" si="56"/>
        <v>0</v>
      </c>
      <c r="C729" s="5" t="str">
        <f t="shared" si="55"/>
        <v/>
      </c>
      <c r="D729" s="5" t="str">
        <f>IFERROR(IF(F729&lt;&gt;"",F729,VLOOKUP(MAX(C$2:C729),A$2:F729,2,FALSE)),"")</f>
        <v/>
      </c>
      <c r="E729" s="5" t="str">
        <f t="shared" si="57"/>
        <v/>
      </c>
      <c r="K729" t="str">
        <f>IFERROR(IF(VLOOKUP(E:E,'Old Report'!E:J,6,FALSE)="","",VLOOKUP(E:E,'Old Report'!E:J,6,FALSE)),"")</f>
        <v/>
      </c>
      <c r="L729" t="str">
        <f>IFERROR(IF(VLOOKUP(E:E,'Old Report'!E:L,8,FALSE)="","",VLOOKUP(E:E,'Old Report'!E:L,8,FALSE)),"")</f>
        <v/>
      </c>
      <c r="M729" s="5" t="str">
        <f t="shared" si="58"/>
        <v/>
      </c>
      <c r="N729" s="5" t="str">
        <f t="shared" si="59"/>
        <v/>
      </c>
    </row>
    <row r="730" spans="1:14" x14ac:dyDescent="0.25">
      <c r="A730" s="5">
        <v>729</v>
      </c>
      <c r="B730" s="5">
        <f t="shared" si="56"/>
        <v>0</v>
      </c>
      <c r="C730" s="5" t="str">
        <f t="shared" si="55"/>
        <v/>
      </c>
      <c r="D730" s="5" t="str">
        <f>IFERROR(IF(F730&lt;&gt;"",F730,VLOOKUP(MAX(C$2:C730),A$2:F730,2,FALSE)),"")</f>
        <v/>
      </c>
      <c r="E730" s="5" t="str">
        <f t="shared" si="57"/>
        <v/>
      </c>
      <c r="K730" t="str">
        <f>IFERROR(IF(VLOOKUP(E:E,'Old Report'!E:J,6,FALSE)="","",VLOOKUP(E:E,'Old Report'!E:J,6,FALSE)),"")</f>
        <v/>
      </c>
      <c r="L730" t="str">
        <f>IFERROR(IF(VLOOKUP(E:E,'Old Report'!E:L,8,FALSE)="","",VLOOKUP(E:E,'Old Report'!E:L,8,FALSE)),"")</f>
        <v/>
      </c>
      <c r="M730" s="5" t="str">
        <f t="shared" si="58"/>
        <v/>
      </c>
      <c r="N730" s="5" t="str">
        <f t="shared" si="59"/>
        <v/>
      </c>
    </row>
    <row r="731" spans="1:14" x14ac:dyDescent="0.25">
      <c r="A731" s="5">
        <v>730</v>
      </c>
      <c r="B731" s="5">
        <f t="shared" si="56"/>
        <v>0</v>
      </c>
      <c r="C731" s="5" t="str">
        <f t="shared" si="55"/>
        <v/>
      </c>
      <c r="D731" s="5" t="str">
        <f>IFERROR(IF(F731&lt;&gt;"",F731,VLOOKUP(MAX(C$2:C731),A$2:F731,2,FALSE)),"")</f>
        <v/>
      </c>
      <c r="E731" s="5" t="str">
        <f t="shared" si="57"/>
        <v/>
      </c>
      <c r="K731" t="str">
        <f>IFERROR(IF(VLOOKUP(E:E,'Old Report'!E:J,6,FALSE)="","",VLOOKUP(E:E,'Old Report'!E:J,6,FALSE)),"")</f>
        <v/>
      </c>
      <c r="L731" t="str">
        <f>IFERROR(IF(VLOOKUP(E:E,'Old Report'!E:L,8,FALSE)="","",VLOOKUP(E:E,'Old Report'!E:L,8,FALSE)),"")</f>
        <v/>
      </c>
      <c r="M731" s="5" t="str">
        <f t="shared" si="58"/>
        <v/>
      </c>
      <c r="N731" s="5" t="str">
        <f t="shared" si="59"/>
        <v/>
      </c>
    </row>
    <row r="732" spans="1:14" x14ac:dyDescent="0.25">
      <c r="A732" s="5">
        <v>731</v>
      </c>
      <c r="B732" s="5">
        <f t="shared" si="56"/>
        <v>0</v>
      </c>
      <c r="C732" s="5" t="str">
        <f t="shared" si="55"/>
        <v/>
      </c>
      <c r="D732" s="5" t="str">
        <f>IFERROR(IF(F732&lt;&gt;"",F732,VLOOKUP(MAX(C$2:C732),A$2:F732,2,FALSE)),"")</f>
        <v/>
      </c>
      <c r="E732" s="5" t="str">
        <f t="shared" si="57"/>
        <v/>
      </c>
      <c r="K732" t="str">
        <f>IFERROR(IF(VLOOKUP(E:E,'Old Report'!E:J,6,FALSE)="","",VLOOKUP(E:E,'Old Report'!E:J,6,FALSE)),"")</f>
        <v/>
      </c>
      <c r="L732" t="str">
        <f>IFERROR(IF(VLOOKUP(E:E,'Old Report'!E:L,8,FALSE)="","",VLOOKUP(E:E,'Old Report'!E:L,8,FALSE)),"")</f>
        <v/>
      </c>
      <c r="M732" s="5" t="str">
        <f t="shared" si="58"/>
        <v/>
      </c>
      <c r="N732" s="5" t="str">
        <f t="shared" si="59"/>
        <v/>
      </c>
    </row>
    <row r="733" spans="1:14" x14ac:dyDescent="0.25">
      <c r="A733" s="5">
        <v>732</v>
      </c>
      <c r="B733" s="5">
        <f t="shared" si="56"/>
        <v>0</v>
      </c>
      <c r="C733" s="5" t="str">
        <f t="shared" si="55"/>
        <v/>
      </c>
      <c r="D733" s="5" t="str">
        <f>IFERROR(IF(F733&lt;&gt;"",F733,VLOOKUP(MAX(C$2:C733),A$2:F733,2,FALSE)),"")</f>
        <v/>
      </c>
      <c r="E733" s="5" t="str">
        <f t="shared" si="57"/>
        <v/>
      </c>
      <c r="K733" t="str">
        <f>IFERROR(IF(VLOOKUP(E:E,'Old Report'!E:J,6,FALSE)="","",VLOOKUP(E:E,'Old Report'!E:J,6,FALSE)),"")</f>
        <v/>
      </c>
      <c r="L733" t="str">
        <f>IFERROR(IF(VLOOKUP(E:E,'Old Report'!E:L,8,FALSE)="","",VLOOKUP(E:E,'Old Report'!E:L,8,FALSE)),"")</f>
        <v/>
      </c>
      <c r="M733" s="5" t="str">
        <f t="shared" si="58"/>
        <v/>
      </c>
      <c r="N733" s="5" t="str">
        <f t="shared" si="59"/>
        <v/>
      </c>
    </row>
    <row r="734" spans="1:14" x14ac:dyDescent="0.25">
      <c r="A734" s="5">
        <v>733</v>
      </c>
      <c r="B734" s="5">
        <f t="shared" si="56"/>
        <v>0</v>
      </c>
      <c r="C734" s="5" t="str">
        <f t="shared" si="55"/>
        <v/>
      </c>
      <c r="D734" s="5" t="str">
        <f>IFERROR(IF(F734&lt;&gt;"",F734,VLOOKUP(MAX(C$2:C734),A$2:F734,2,FALSE)),"")</f>
        <v/>
      </c>
      <c r="E734" s="5" t="str">
        <f t="shared" si="57"/>
        <v/>
      </c>
      <c r="K734" t="str">
        <f>IFERROR(IF(VLOOKUP(E:E,'Old Report'!E:J,6,FALSE)="","",VLOOKUP(E:E,'Old Report'!E:J,6,FALSE)),"")</f>
        <v/>
      </c>
      <c r="L734" t="str">
        <f>IFERROR(IF(VLOOKUP(E:E,'Old Report'!E:L,8,FALSE)="","",VLOOKUP(E:E,'Old Report'!E:L,8,FALSE)),"")</f>
        <v/>
      </c>
      <c r="M734" s="5" t="str">
        <f t="shared" si="58"/>
        <v/>
      </c>
      <c r="N734" s="5" t="str">
        <f t="shared" si="59"/>
        <v/>
      </c>
    </row>
    <row r="735" spans="1:14" x14ac:dyDescent="0.25">
      <c r="A735" s="5">
        <v>734</v>
      </c>
      <c r="B735" s="5">
        <f t="shared" si="56"/>
        <v>0</v>
      </c>
      <c r="C735" s="5" t="str">
        <f t="shared" si="55"/>
        <v/>
      </c>
      <c r="D735" s="5" t="str">
        <f>IFERROR(IF(F735&lt;&gt;"",F735,VLOOKUP(MAX(C$2:C735),A$2:F735,2,FALSE)),"")</f>
        <v/>
      </c>
      <c r="E735" s="5" t="str">
        <f t="shared" si="57"/>
        <v/>
      </c>
      <c r="K735" t="str">
        <f>IFERROR(IF(VLOOKUP(E:E,'Old Report'!E:J,6,FALSE)="","",VLOOKUP(E:E,'Old Report'!E:J,6,FALSE)),"")</f>
        <v/>
      </c>
      <c r="L735" t="str">
        <f>IFERROR(IF(VLOOKUP(E:E,'Old Report'!E:L,8,FALSE)="","",VLOOKUP(E:E,'Old Report'!E:L,8,FALSE)),"")</f>
        <v/>
      </c>
      <c r="M735" s="5" t="str">
        <f t="shared" si="58"/>
        <v/>
      </c>
      <c r="N735" s="5" t="str">
        <f t="shared" si="59"/>
        <v/>
      </c>
    </row>
    <row r="736" spans="1:14" x14ac:dyDescent="0.25">
      <c r="A736" s="5">
        <v>735</v>
      </c>
      <c r="B736" s="5">
        <f t="shared" si="56"/>
        <v>0</v>
      </c>
      <c r="C736" s="5" t="str">
        <f t="shared" si="55"/>
        <v/>
      </c>
      <c r="D736" s="5" t="str">
        <f>IFERROR(IF(F736&lt;&gt;"",F736,VLOOKUP(MAX(C$2:C736),A$2:F736,2,FALSE)),"")</f>
        <v/>
      </c>
      <c r="E736" s="5" t="str">
        <f t="shared" si="57"/>
        <v/>
      </c>
      <c r="K736" t="str">
        <f>IFERROR(IF(VLOOKUP(E:E,'Old Report'!E:J,6,FALSE)="","",VLOOKUP(E:E,'Old Report'!E:J,6,FALSE)),"")</f>
        <v/>
      </c>
      <c r="L736" t="str">
        <f>IFERROR(IF(VLOOKUP(E:E,'Old Report'!E:L,8,FALSE)="","",VLOOKUP(E:E,'Old Report'!E:L,8,FALSE)),"")</f>
        <v/>
      </c>
      <c r="M736" s="5" t="str">
        <f t="shared" si="58"/>
        <v/>
      </c>
      <c r="N736" s="5" t="str">
        <f t="shared" si="59"/>
        <v/>
      </c>
    </row>
    <row r="737" spans="1:14" x14ac:dyDescent="0.25">
      <c r="A737" s="5">
        <v>736</v>
      </c>
      <c r="B737" s="5">
        <f t="shared" si="56"/>
        <v>0</v>
      </c>
      <c r="C737" s="5" t="str">
        <f t="shared" si="55"/>
        <v/>
      </c>
      <c r="D737" s="5" t="str">
        <f>IFERROR(IF(F737&lt;&gt;"",F737,VLOOKUP(MAX(C$2:C737),A$2:F737,2,FALSE)),"")</f>
        <v/>
      </c>
      <c r="E737" s="5" t="str">
        <f t="shared" si="57"/>
        <v/>
      </c>
      <c r="K737" t="str">
        <f>IFERROR(IF(VLOOKUP(E:E,'Old Report'!E:J,6,FALSE)="","",VLOOKUP(E:E,'Old Report'!E:J,6,FALSE)),"")</f>
        <v/>
      </c>
      <c r="L737" t="str">
        <f>IFERROR(IF(VLOOKUP(E:E,'Old Report'!E:L,8,FALSE)="","",VLOOKUP(E:E,'Old Report'!E:L,8,FALSE)),"")</f>
        <v/>
      </c>
      <c r="M737" s="5" t="str">
        <f t="shared" si="58"/>
        <v/>
      </c>
      <c r="N737" s="5" t="str">
        <f t="shared" si="59"/>
        <v/>
      </c>
    </row>
    <row r="738" spans="1:14" x14ac:dyDescent="0.25">
      <c r="A738" s="5">
        <v>737</v>
      </c>
      <c r="B738" s="5">
        <f t="shared" si="56"/>
        <v>0</v>
      </c>
      <c r="C738" s="5" t="str">
        <f t="shared" si="55"/>
        <v/>
      </c>
      <c r="D738" s="5" t="str">
        <f>IFERROR(IF(F738&lt;&gt;"",F738,VLOOKUP(MAX(C$2:C738),A$2:F738,2,FALSE)),"")</f>
        <v/>
      </c>
      <c r="E738" s="5" t="str">
        <f t="shared" si="57"/>
        <v/>
      </c>
      <c r="K738" t="str">
        <f>IFERROR(IF(VLOOKUP(E:E,'Old Report'!E:J,6,FALSE)="","",VLOOKUP(E:E,'Old Report'!E:J,6,FALSE)),"")</f>
        <v/>
      </c>
      <c r="L738" t="str">
        <f>IFERROR(IF(VLOOKUP(E:E,'Old Report'!E:L,8,FALSE)="","",VLOOKUP(E:E,'Old Report'!E:L,8,FALSE)),"")</f>
        <v/>
      </c>
      <c r="M738" s="5" t="str">
        <f t="shared" si="58"/>
        <v/>
      </c>
      <c r="N738" s="5" t="str">
        <f t="shared" si="59"/>
        <v/>
      </c>
    </row>
    <row r="739" spans="1:14" x14ac:dyDescent="0.25">
      <c r="A739" s="5">
        <v>738</v>
      </c>
      <c r="B739" s="5">
        <f t="shared" si="56"/>
        <v>0</v>
      </c>
      <c r="C739" s="5" t="str">
        <f t="shared" si="55"/>
        <v/>
      </c>
      <c r="D739" s="5" t="str">
        <f>IFERROR(IF(F739&lt;&gt;"",F739,VLOOKUP(MAX(C$2:C739),A$2:F739,2,FALSE)),"")</f>
        <v/>
      </c>
      <c r="E739" s="5" t="str">
        <f t="shared" si="57"/>
        <v/>
      </c>
      <c r="K739" t="str">
        <f>IFERROR(IF(VLOOKUP(E:E,'Old Report'!E:J,6,FALSE)="","",VLOOKUP(E:E,'Old Report'!E:J,6,FALSE)),"")</f>
        <v/>
      </c>
      <c r="L739" t="str">
        <f>IFERROR(IF(VLOOKUP(E:E,'Old Report'!E:L,8,FALSE)="","",VLOOKUP(E:E,'Old Report'!E:L,8,FALSE)),"")</f>
        <v/>
      </c>
      <c r="M739" s="5" t="str">
        <f t="shared" si="58"/>
        <v/>
      </c>
      <c r="N739" s="5" t="str">
        <f t="shared" si="59"/>
        <v/>
      </c>
    </row>
    <row r="740" spans="1:14" x14ac:dyDescent="0.25">
      <c r="A740" s="5">
        <v>739</v>
      </c>
      <c r="B740" s="5">
        <f t="shared" si="56"/>
        <v>0</v>
      </c>
      <c r="C740" s="5" t="str">
        <f t="shared" si="55"/>
        <v/>
      </c>
      <c r="D740" s="5" t="str">
        <f>IFERROR(IF(F740&lt;&gt;"",F740,VLOOKUP(MAX(C$2:C740),A$2:F740,2,FALSE)),"")</f>
        <v/>
      </c>
      <c r="E740" s="5" t="str">
        <f t="shared" si="57"/>
        <v/>
      </c>
      <c r="K740" t="str">
        <f>IFERROR(IF(VLOOKUP(E:E,'Old Report'!E:J,6,FALSE)="","",VLOOKUP(E:E,'Old Report'!E:J,6,FALSE)),"")</f>
        <v/>
      </c>
      <c r="L740" t="str">
        <f>IFERROR(IF(VLOOKUP(E:E,'Old Report'!E:L,8,FALSE)="","",VLOOKUP(E:E,'Old Report'!E:L,8,FALSE)),"")</f>
        <v/>
      </c>
      <c r="M740" s="5" t="str">
        <f t="shared" si="58"/>
        <v/>
      </c>
      <c r="N740" s="5" t="str">
        <f t="shared" si="59"/>
        <v/>
      </c>
    </row>
    <row r="741" spans="1:14" x14ac:dyDescent="0.25">
      <c r="A741" s="5">
        <v>740</v>
      </c>
      <c r="B741" s="5">
        <f t="shared" si="56"/>
        <v>0</v>
      </c>
      <c r="C741" s="5" t="str">
        <f t="shared" si="55"/>
        <v/>
      </c>
      <c r="D741" s="5" t="str">
        <f>IFERROR(IF(F741&lt;&gt;"",F741,VLOOKUP(MAX(C$2:C741),A$2:F741,2,FALSE)),"")</f>
        <v/>
      </c>
      <c r="E741" s="5" t="str">
        <f t="shared" si="57"/>
        <v/>
      </c>
      <c r="K741" t="str">
        <f>IFERROR(IF(VLOOKUP(E:E,'Old Report'!E:J,6,FALSE)="","",VLOOKUP(E:E,'Old Report'!E:J,6,FALSE)),"")</f>
        <v/>
      </c>
      <c r="L741" t="str">
        <f>IFERROR(IF(VLOOKUP(E:E,'Old Report'!E:L,8,FALSE)="","",VLOOKUP(E:E,'Old Report'!E:L,8,FALSE)),"")</f>
        <v/>
      </c>
      <c r="M741" s="5" t="str">
        <f t="shared" si="58"/>
        <v/>
      </c>
      <c r="N741" s="5" t="str">
        <f t="shared" si="59"/>
        <v/>
      </c>
    </row>
    <row r="742" spans="1:14" x14ac:dyDescent="0.25">
      <c r="A742" s="5">
        <v>741</v>
      </c>
      <c r="B742" s="5">
        <f t="shared" si="56"/>
        <v>0</v>
      </c>
      <c r="C742" s="5" t="str">
        <f t="shared" si="55"/>
        <v/>
      </c>
      <c r="D742" s="5" t="str">
        <f>IFERROR(IF(F742&lt;&gt;"",F742,VLOOKUP(MAX(C$2:C742),A$2:F742,2,FALSE)),"")</f>
        <v/>
      </c>
      <c r="E742" s="5" t="str">
        <f t="shared" si="57"/>
        <v/>
      </c>
      <c r="K742" t="str">
        <f>IFERROR(IF(VLOOKUP(E:E,'Old Report'!E:J,6,FALSE)="","",VLOOKUP(E:E,'Old Report'!E:J,6,FALSE)),"")</f>
        <v/>
      </c>
      <c r="L742" t="str">
        <f>IFERROR(IF(VLOOKUP(E:E,'Old Report'!E:L,8,FALSE)="","",VLOOKUP(E:E,'Old Report'!E:L,8,FALSE)),"")</f>
        <v/>
      </c>
      <c r="M742" s="5" t="str">
        <f t="shared" si="58"/>
        <v/>
      </c>
      <c r="N742" s="5" t="str">
        <f t="shared" si="59"/>
        <v/>
      </c>
    </row>
    <row r="743" spans="1:14" x14ac:dyDescent="0.25">
      <c r="A743" s="5">
        <v>742</v>
      </c>
      <c r="B743" s="5">
        <f t="shared" si="56"/>
        <v>0</v>
      </c>
      <c r="C743" s="5" t="str">
        <f t="shared" si="55"/>
        <v/>
      </c>
      <c r="D743" s="5" t="str">
        <f>IFERROR(IF(F743&lt;&gt;"",F743,VLOOKUP(MAX(C$2:C743),A$2:F743,2,FALSE)),"")</f>
        <v/>
      </c>
      <c r="E743" s="5" t="str">
        <f t="shared" si="57"/>
        <v/>
      </c>
      <c r="K743" t="str">
        <f>IFERROR(IF(VLOOKUP(E:E,'Old Report'!E:J,6,FALSE)="","",VLOOKUP(E:E,'Old Report'!E:J,6,FALSE)),"")</f>
        <v/>
      </c>
      <c r="L743" t="str">
        <f>IFERROR(IF(VLOOKUP(E:E,'Old Report'!E:L,8,FALSE)="","",VLOOKUP(E:E,'Old Report'!E:L,8,FALSE)),"")</f>
        <v/>
      </c>
      <c r="M743" s="5" t="str">
        <f t="shared" si="58"/>
        <v/>
      </c>
      <c r="N743" s="5" t="str">
        <f t="shared" si="59"/>
        <v/>
      </c>
    </row>
    <row r="744" spans="1:14" x14ac:dyDescent="0.25">
      <c r="A744" s="5">
        <v>743</v>
      </c>
      <c r="B744" s="5">
        <f t="shared" si="56"/>
        <v>0</v>
      </c>
      <c r="C744" s="5" t="str">
        <f t="shared" si="55"/>
        <v/>
      </c>
      <c r="D744" s="5" t="str">
        <f>IFERROR(IF(F744&lt;&gt;"",F744,VLOOKUP(MAX(C$2:C744),A$2:F744,2,FALSE)),"")</f>
        <v/>
      </c>
      <c r="E744" s="5" t="str">
        <f t="shared" si="57"/>
        <v/>
      </c>
      <c r="K744" t="str">
        <f>IFERROR(IF(VLOOKUP(E:E,'Old Report'!E:J,6,FALSE)="","",VLOOKUP(E:E,'Old Report'!E:J,6,FALSE)),"")</f>
        <v/>
      </c>
      <c r="L744" t="str">
        <f>IFERROR(IF(VLOOKUP(E:E,'Old Report'!E:L,8,FALSE)="","",VLOOKUP(E:E,'Old Report'!E:L,8,FALSE)),"")</f>
        <v/>
      </c>
      <c r="M744" s="5" t="str">
        <f t="shared" si="58"/>
        <v/>
      </c>
      <c r="N744" s="5" t="str">
        <f t="shared" si="59"/>
        <v/>
      </c>
    </row>
    <row r="745" spans="1:14" x14ac:dyDescent="0.25">
      <c r="A745" s="5">
        <v>744</v>
      </c>
      <c r="B745" s="5">
        <f t="shared" si="56"/>
        <v>0</v>
      </c>
      <c r="C745" s="5" t="str">
        <f t="shared" si="55"/>
        <v/>
      </c>
      <c r="D745" s="5" t="str">
        <f>IFERROR(IF(F745&lt;&gt;"",F745,VLOOKUP(MAX(C$2:C745),A$2:F745,2,FALSE)),"")</f>
        <v/>
      </c>
      <c r="E745" s="5" t="str">
        <f t="shared" si="57"/>
        <v/>
      </c>
      <c r="K745" t="str">
        <f>IFERROR(IF(VLOOKUP(E:E,'Old Report'!E:J,6,FALSE)="","",VLOOKUP(E:E,'Old Report'!E:J,6,FALSE)),"")</f>
        <v/>
      </c>
      <c r="L745" t="str">
        <f>IFERROR(IF(VLOOKUP(E:E,'Old Report'!E:L,8,FALSE)="","",VLOOKUP(E:E,'Old Report'!E:L,8,FALSE)),"")</f>
        <v/>
      </c>
      <c r="M745" s="5" t="str">
        <f t="shared" si="58"/>
        <v/>
      </c>
      <c r="N745" s="5" t="str">
        <f t="shared" si="59"/>
        <v/>
      </c>
    </row>
    <row r="746" spans="1:14" x14ac:dyDescent="0.25">
      <c r="A746" s="5">
        <v>745</v>
      </c>
      <c r="B746" s="5">
        <f t="shared" si="56"/>
        <v>0</v>
      </c>
      <c r="C746" s="5" t="str">
        <f t="shared" si="55"/>
        <v/>
      </c>
      <c r="D746" s="5" t="str">
        <f>IFERROR(IF(F746&lt;&gt;"",F746,VLOOKUP(MAX(C$2:C746),A$2:F746,2,FALSE)),"")</f>
        <v/>
      </c>
      <c r="E746" s="5" t="str">
        <f t="shared" si="57"/>
        <v/>
      </c>
      <c r="K746" t="str">
        <f>IFERROR(IF(VLOOKUP(E:E,'Old Report'!E:J,6,FALSE)="","",VLOOKUP(E:E,'Old Report'!E:J,6,FALSE)),"")</f>
        <v/>
      </c>
      <c r="L746" t="str">
        <f>IFERROR(IF(VLOOKUP(E:E,'Old Report'!E:L,8,FALSE)="","",VLOOKUP(E:E,'Old Report'!E:L,8,FALSE)),"")</f>
        <v/>
      </c>
      <c r="M746" s="5" t="str">
        <f t="shared" si="58"/>
        <v/>
      </c>
      <c r="N746" s="5" t="str">
        <f t="shared" si="59"/>
        <v/>
      </c>
    </row>
    <row r="747" spans="1:14" x14ac:dyDescent="0.25">
      <c r="A747" s="5">
        <v>746</v>
      </c>
      <c r="B747" s="5">
        <f t="shared" si="56"/>
        <v>0</v>
      </c>
      <c r="C747" s="5" t="str">
        <f t="shared" si="55"/>
        <v/>
      </c>
      <c r="D747" s="5" t="str">
        <f>IFERROR(IF(F747&lt;&gt;"",F747,VLOOKUP(MAX(C$2:C747),A$2:F747,2,FALSE)),"")</f>
        <v/>
      </c>
      <c r="E747" s="5" t="str">
        <f t="shared" si="57"/>
        <v/>
      </c>
      <c r="K747" t="str">
        <f>IFERROR(IF(VLOOKUP(E:E,'Old Report'!E:J,6,FALSE)="","",VLOOKUP(E:E,'Old Report'!E:J,6,FALSE)),"")</f>
        <v/>
      </c>
      <c r="L747" t="str">
        <f>IFERROR(IF(VLOOKUP(E:E,'Old Report'!E:L,8,FALSE)="","",VLOOKUP(E:E,'Old Report'!E:L,8,FALSE)),"")</f>
        <v/>
      </c>
      <c r="M747" s="5" t="str">
        <f t="shared" si="58"/>
        <v/>
      </c>
      <c r="N747" s="5" t="str">
        <f t="shared" si="59"/>
        <v/>
      </c>
    </row>
    <row r="748" spans="1:14" x14ac:dyDescent="0.25">
      <c r="A748" s="5">
        <v>747</v>
      </c>
      <c r="B748" s="5">
        <f t="shared" si="56"/>
        <v>0</v>
      </c>
      <c r="C748" s="5" t="str">
        <f t="shared" si="55"/>
        <v/>
      </c>
      <c r="D748" s="5" t="str">
        <f>IFERROR(IF(F748&lt;&gt;"",F748,VLOOKUP(MAX(C$2:C748),A$2:F748,2,FALSE)),"")</f>
        <v/>
      </c>
      <c r="E748" s="5" t="str">
        <f t="shared" si="57"/>
        <v/>
      </c>
      <c r="K748" t="str">
        <f>IFERROR(IF(VLOOKUP(E:E,'Old Report'!E:J,6,FALSE)="","",VLOOKUP(E:E,'Old Report'!E:J,6,FALSE)),"")</f>
        <v/>
      </c>
      <c r="L748" t="str">
        <f>IFERROR(IF(VLOOKUP(E:E,'Old Report'!E:L,8,FALSE)="","",VLOOKUP(E:E,'Old Report'!E:L,8,FALSE)),"")</f>
        <v/>
      </c>
      <c r="M748" s="5" t="str">
        <f t="shared" si="58"/>
        <v/>
      </c>
      <c r="N748" s="5" t="str">
        <f t="shared" si="59"/>
        <v/>
      </c>
    </row>
    <row r="749" spans="1:14" x14ac:dyDescent="0.25">
      <c r="A749" s="5">
        <v>748</v>
      </c>
      <c r="B749" s="5">
        <f t="shared" si="56"/>
        <v>0</v>
      </c>
      <c r="C749" s="5" t="str">
        <f t="shared" si="55"/>
        <v/>
      </c>
      <c r="D749" s="5" t="str">
        <f>IFERROR(IF(F749&lt;&gt;"",F749,VLOOKUP(MAX(C$2:C749),A$2:F749,2,FALSE)),"")</f>
        <v/>
      </c>
      <c r="E749" s="5" t="str">
        <f t="shared" si="57"/>
        <v/>
      </c>
      <c r="K749" t="str">
        <f>IFERROR(IF(VLOOKUP(E:E,'Old Report'!E:J,6,FALSE)="","",VLOOKUP(E:E,'Old Report'!E:J,6,FALSE)),"")</f>
        <v/>
      </c>
      <c r="L749" t="str">
        <f>IFERROR(IF(VLOOKUP(E:E,'Old Report'!E:L,8,FALSE)="","",VLOOKUP(E:E,'Old Report'!E:L,8,FALSE)),"")</f>
        <v/>
      </c>
      <c r="M749" s="5" t="str">
        <f t="shared" si="58"/>
        <v/>
      </c>
      <c r="N749" s="5" t="str">
        <f t="shared" si="59"/>
        <v/>
      </c>
    </row>
    <row r="750" spans="1:14" x14ac:dyDescent="0.25">
      <c r="A750" s="5">
        <v>749</v>
      </c>
      <c r="B750" s="5">
        <f t="shared" si="56"/>
        <v>0</v>
      </c>
      <c r="C750" s="5" t="str">
        <f t="shared" si="55"/>
        <v/>
      </c>
      <c r="D750" s="5" t="str">
        <f>IFERROR(IF(F750&lt;&gt;"",F750,VLOOKUP(MAX(C$2:C750),A$2:F750,2,FALSE)),"")</f>
        <v/>
      </c>
      <c r="E750" s="5" t="str">
        <f t="shared" si="57"/>
        <v/>
      </c>
      <c r="K750" t="str">
        <f>IFERROR(IF(VLOOKUP(E:E,'Old Report'!E:J,6,FALSE)="","",VLOOKUP(E:E,'Old Report'!E:J,6,FALSE)),"")</f>
        <v/>
      </c>
      <c r="L750" t="str">
        <f>IFERROR(IF(VLOOKUP(E:E,'Old Report'!E:L,8,FALSE)="","",VLOOKUP(E:E,'Old Report'!E:L,8,FALSE)),"")</f>
        <v/>
      </c>
      <c r="M750" s="5" t="str">
        <f t="shared" si="58"/>
        <v/>
      </c>
      <c r="N750" s="5" t="str">
        <f t="shared" si="59"/>
        <v/>
      </c>
    </row>
    <row r="751" spans="1:14" x14ac:dyDescent="0.25">
      <c r="A751" s="5">
        <v>750</v>
      </c>
      <c r="B751" s="5">
        <f t="shared" si="56"/>
        <v>0</v>
      </c>
      <c r="C751" s="5" t="str">
        <f t="shared" si="55"/>
        <v/>
      </c>
      <c r="D751" s="5" t="str">
        <f>IFERROR(IF(F751&lt;&gt;"",F751,VLOOKUP(MAX(C$2:C751),A$2:F751,2,FALSE)),"")</f>
        <v/>
      </c>
      <c r="E751" s="5" t="str">
        <f t="shared" si="57"/>
        <v/>
      </c>
      <c r="K751" t="str">
        <f>IFERROR(IF(VLOOKUP(E:E,'Old Report'!E:J,6,FALSE)="","",VLOOKUP(E:E,'Old Report'!E:J,6,FALSE)),"")</f>
        <v/>
      </c>
      <c r="L751" t="str">
        <f>IFERROR(IF(VLOOKUP(E:E,'Old Report'!E:L,8,FALSE)="","",VLOOKUP(E:E,'Old Report'!E:L,8,FALSE)),"")</f>
        <v/>
      </c>
      <c r="M751" s="5" t="str">
        <f t="shared" si="58"/>
        <v/>
      </c>
      <c r="N751" s="5" t="str">
        <f t="shared" si="59"/>
        <v/>
      </c>
    </row>
    <row r="752" spans="1:14" x14ac:dyDescent="0.25">
      <c r="A752" s="5">
        <v>751</v>
      </c>
      <c r="B752" s="5">
        <f t="shared" si="56"/>
        <v>0</v>
      </c>
      <c r="C752" s="5" t="str">
        <f t="shared" si="55"/>
        <v/>
      </c>
      <c r="D752" s="5" t="str">
        <f>IFERROR(IF(F752&lt;&gt;"",F752,VLOOKUP(MAX(C$2:C752),A$2:F752,2,FALSE)),"")</f>
        <v/>
      </c>
      <c r="E752" s="5" t="str">
        <f t="shared" si="57"/>
        <v/>
      </c>
      <c r="K752" t="str">
        <f>IFERROR(IF(VLOOKUP(E:E,'Old Report'!E:J,6,FALSE)="","",VLOOKUP(E:E,'Old Report'!E:J,6,FALSE)),"")</f>
        <v/>
      </c>
      <c r="L752" t="str">
        <f>IFERROR(IF(VLOOKUP(E:E,'Old Report'!E:L,8,FALSE)="","",VLOOKUP(E:E,'Old Report'!E:L,8,FALSE)),"")</f>
        <v/>
      </c>
      <c r="M752" s="5" t="str">
        <f t="shared" si="58"/>
        <v/>
      </c>
      <c r="N752" s="5" t="str">
        <f t="shared" si="59"/>
        <v/>
      </c>
    </row>
    <row r="753" spans="1:14" x14ac:dyDescent="0.25">
      <c r="A753" s="5">
        <v>752</v>
      </c>
      <c r="B753" s="5">
        <f t="shared" si="56"/>
        <v>0</v>
      </c>
      <c r="C753" s="5" t="str">
        <f t="shared" si="55"/>
        <v/>
      </c>
      <c r="D753" s="5" t="str">
        <f>IFERROR(IF(F753&lt;&gt;"",F753,VLOOKUP(MAX(C$2:C753),A$2:F753,2,FALSE)),"")</f>
        <v/>
      </c>
      <c r="E753" s="5" t="str">
        <f t="shared" si="57"/>
        <v/>
      </c>
      <c r="K753" t="str">
        <f>IFERROR(IF(VLOOKUP(E:E,'Old Report'!E:J,6,FALSE)="","",VLOOKUP(E:E,'Old Report'!E:J,6,FALSE)),"")</f>
        <v/>
      </c>
      <c r="L753" t="str">
        <f>IFERROR(IF(VLOOKUP(E:E,'Old Report'!E:L,8,FALSE)="","",VLOOKUP(E:E,'Old Report'!E:L,8,FALSE)),"")</f>
        <v/>
      </c>
      <c r="M753" s="5" t="str">
        <f t="shared" si="58"/>
        <v/>
      </c>
      <c r="N753" s="5" t="str">
        <f t="shared" si="59"/>
        <v/>
      </c>
    </row>
    <row r="754" spans="1:14" x14ac:dyDescent="0.25">
      <c r="A754" s="5">
        <v>753</v>
      </c>
      <c r="B754" s="5">
        <f t="shared" si="56"/>
        <v>0</v>
      </c>
      <c r="C754" s="5" t="str">
        <f t="shared" si="55"/>
        <v/>
      </c>
      <c r="D754" s="5" t="str">
        <f>IFERROR(IF(F754&lt;&gt;"",F754,VLOOKUP(MAX(C$2:C754),A$2:F754,2,FALSE)),"")</f>
        <v/>
      </c>
      <c r="E754" s="5" t="str">
        <f t="shared" si="57"/>
        <v/>
      </c>
      <c r="K754" t="str">
        <f>IFERROR(IF(VLOOKUP(E:E,'Old Report'!E:J,6,FALSE)="","",VLOOKUP(E:E,'Old Report'!E:J,6,FALSE)),"")</f>
        <v/>
      </c>
      <c r="L754" t="str">
        <f>IFERROR(IF(VLOOKUP(E:E,'Old Report'!E:L,8,FALSE)="","",VLOOKUP(E:E,'Old Report'!E:L,8,FALSE)),"")</f>
        <v/>
      </c>
      <c r="M754" s="5" t="str">
        <f t="shared" si="58"/>
        <v/>
      </c>
      <c r="N754" s="5" t="str">
        <f t="shared" si="59"/>
        <v/>
      </c>
    </row>
    <row r="755" spans="1:14" x14ac:dyDescent="0.25">
      <c r="A755" s="5">
        <v>754</v>
      </c>
      <c r="B755" s="5">
        <f t="shared" si="56"/>
        <v>0</v>
      </c>
      <c r="C755" s="5" t="str">
        <f t="shared" si="55"/>
        <v/>
      </c>
      <c r="D755" s="5" t="str">
        <f>IFERROR(IF(F755&lt;&gt;"",F755,VLOOKUP(MAX(C$2:C755),A$2:F755,2,FALSE)),"")</f>
        <v/>
      </c>
      <c r="E755" s="5" t="str">
        <f t="shared" si="57"/>
        <v/>
      </c>
      <c r="K755" t="str">
        <f>IFERROR(IF(VLOOKUP(E:E,'Old Report'!E:J,6,FALSE)="","",VLOOKUP(E:E,'Old Report'!E:J,6,FALSE)),"")</f>
        <v/>
      </c>
      <c r="L755" t="str">
        <f>IFERROR(IF(VLOOKUP(E:E,'Old Report'!E:L,8,FALSE)="","",VLOOKUP(E:E,'Old Report'!E:L,8,FALSE)),"")</f>
        <v/>
      </c>
      <c r="M755" s="5" t="str">
        <f t="shared" si="58"/>
        <v/>
      </c>
      <c r="N755" s="5" t="str">
        <f t="shared" si="59"/>
        <v/>
      </c>
    </row>
    <row r="756" spans="1:14" x14ac:dyDescent="0.25">
      <c r="A756" s="5">
        <v>755</v>
      </c>
      <c r="B756" s="5">
        <f t="shared" si="56"/>
        <v>0</v>
      </c>
      <c r="C756" s="5" t="str">
        <f t="shared" si="55"/>
        <v/>
      </c>
      <c r="D756" s="5" t="str">
        <f>IFERROR(IF(F756&lt;&gt;"",F756,VLOOKUP(MAX(C$2:C756),A$2:F756,2,FALSE)),"")</f>
        <v/>
      </c>
      <c r="E756" s="5" t="str">
        <f t="shared" si="57"/>
        <v/>
      </c>
      <c r="K756" t="str">
        <f>IFERROR(IF(VLOOKUP(E:E,'Old Report'!E:J,6,FALSE)="","",VLOOKUP(E:E,'Old Report'!E:J,6,FALSE)),"")</f>
        <v/>
      </c>
      <c r="L756" t="str">
        <f>IFERROR(IF(VLOOKUP(E:E,'Old Report'!E:L,8,FALSE)="","",VLOOKUP(E:E,'Old Report'!E:L,8,FALSE)),"")</f>
        <v/>
      </c>
      <c r="M756" s="5" t="str">
        <f t="shared" si="58"/>
        <v/>
      </c>
      <c r="N756" s="5" t="str">
        <f t="shared" si="59"/>
        <v/>
      </c>
    </row>
    <row r="757" spans="1:14" x14ac:dyDescent="0.25">
      <c r="A757" s="5">
        <v>756</v>
      </c>
      <c r="B757" s="5">
        <f t="shared" si="56"/>
        <v>0</v>
      </c>
      <c r="C757" s="5" t="str">
        <f t="shared" si="55"/>
        <v/>
      </c>
      <c r="D757" s="5" t="str">
        <f>IFERROR(IF(F757&lt;&gt;"",F757,VLOOKUP(MAX(C$2:C757),A$2:F757,2,FALSE)),"")</f>
        <v/>
      </c>
      <c r="E757" s="5" t="str">
        <f t="shared" si="57"/>
        <v/>
      </c>
      <c r="K757" t="str">
        <f>IFERROR(IF(VLOOKUP(E:E,'Old Report'!E:J,6,FALSE)="","",VLOOKUP(E:E,'Old Report'!E:J,6,FALSE)),"")</f>
        <v/>
      </c>
      <c r="L757" t="str">
        <f>IFERROR(IF(VLOOKUP(E:E,'Old Report'!E:L,8,FALSE)="","",VLOOKUP(E:E,'Old Report'!E:L,8,FALSE)),"")</f>
        <v/>
      </c>
      <c r="M757" s="5" t="str">
        <f t="shared" si="58"/>
        <v/>
      </c>
      <c r="N757" s="5" t="str">
        <f t="shared" si="59"/>
        <v/>
      </c>
    </row>
    <row r="758" spans="1:14" x14ac:dyDescent="0.25">
      <c r="A758" s="5">
        <v>757</v>
      </c>
      <c r="B758" s="5">
        <f t="shared" si="56"/>
        <v>0</v>
      </c>
      <c r="C758" s="5" t="str">
        <f t="shared" si="55"/>
        <v/>
      </c>
      <c r="D758" s="5" t="str">
        <f>IFERROR(IF(F758&lt;&gt;"",F758,VLOOKUP(MAX(C$2:C758),A$2:F758,2,FALSE)),"")</f>
        <v/>
      </c>
      <c r="E758" s="5" t="str">
        <f t="shared" si="57"/>
        <v/>
      </c>
      <c r="K758" t="str">
        <f>IFERROR(IF(VLOOKUP(E:E,'Old Report'!E:J,6,FALSE)="","",VLOOKUP(E:E,'Old Report'!E:J,6,FALSE)),"")</f>
        <v/>
      </c>
      <c r="L758" t="str">
        <f>IFERROR(IF(VLOOKUP(E:E,'Old Report'!E:L,8,FALSE)="","",VLOOKUP(E:E,'Old Report'!E:L,8,FALSE)),"")</f>
        <v/>
      </c>
      <c r="M758" s="5" t="str">
        <f t="shared" si="58"/>
        <v/>
      </c>
      <c r="N758" s="5" t="str">
        <f t="shared" si="59"/>
        <v/>
      </c>
    </row>
    <row r="759" spans="1:14" x14ac:dyDescent="0.25">
      <c r="A759" s="5">
        <v>758</v>
      </c>
      <c r="B759" s="5">
        <f t="shared" si="56"/>
        <v>0</v>
      </c>
      <c r="C759" s="5" t="str">
        <f t="shared" si="55"/>
        <v/>
      </c>
      <c r="D759" s="5" t="str">
        <f>IFERROR(IF(F759&lt;&gt;"",F759,VLOOKUP(MAX(C$2:C759),A$2:F759,2,FALSE)),"")</f>
        <v/>
      </c>
      <c r="E759" s="5" t="str">
        <f t="shared" si="57"/>
        <v/>
      </c>
      <c r="K759" t="str">
        <f>IFERROR(IF(VLOOKUP(E:E,'Old Report'!E:J,6,FALSE)="","",VLOOKUP(E:E,'Old Report'!E:J,6,FALSE)),"")</f>
        <v/>
      </c>
      <c r="L759" t="str">
        <f>IFERROR(IF(VLOOKUP(E:E,'Old Report'!E:L,8,FALSE)="","",VLOOKUP(E:E,'Old Report'!E:L,8,FALSE)),"")</f>
        <v/>
      </c>
      <c r="M759" s="5" t="str">
        <f t="shared" si="58"/>
        <v/>
      </c>
      <c r="N759" s="5" t="str">
        <f t="shared" si="59"/>
        <v/>
      </c>
    </row>
    <row r="760" spans="1:14" x14ac:dyDescent="0.25">
      <c r="A760" s="5">
        <v>759</v>
      </c>
      <c r="B760" s="5">
        <f t="shared" si="56"/>
        <v>0</v>
      </c>
      <c r="C760" s="5" t="str">
        <f t="shared" si="55"/>
        <v/>
      </c>
      <c r="D760" s="5" t="str">
        <f>IFERROR(IF(F760&lt;&gt;"",F760,VLOOKUP(MAX(C$2:C760),A$2:F760,2,FALSE)),"")</f>
        <v/>
      </c>
      <c r="E760" s="5" t="str">
        <f t="shared" si="57"/>
        <v/>
      </c>
      <c r="K760" t="str">
        <f>IFERROR(IF(VLOOKUP(E:E,'Old Report'!E:J,6,FALSE)="","",VLOOKUP(E:E,'Old Report'!E:J,6,FALSE)),"")</f>
        <v/>
      </c>
      <c r="L760" t="str">
        <f>IFERROR(IF(VLOOKUP(E:E,'Old Report'!E:L,8,FALSE)="","",VLOOKUP(E:E,'Old Report'!E:L,8,FALSE)),"")</f>
        <v/>
      </c>
      <c r="M760" s="5" t="str">
        <f t="shared" si="58"/>
        <v/>
      </c>
      <c r="N760" s="5" t="str">
        <f t="shared" si="59"/>
        <v/>
      </c>
    </row>
    <row r="761" spans="1:14" x14ac:dyDescent="0.25">
      <c r="A761" s="5">
        <v>760</v>
      </c>
      <c r="B761" s="5">
        <f t="shared" si="56"/>
        <v>0</v>
      </c>
      <c r="C761" s="5" t="str">
        <f t="shared" si="55"/>
        <v/>
      </c>
      <c r="D761" s="5" t="str">
        <f>IFERROR(IF(F761&lt;&gt;"",F761,VLOOKUP(MAX(C$2:C761),A$2:F761,2,FALSE)),"")</f>
        <v/>
      </c>
      <c r="E761" s="5" t="str">
        <f t="shared" si="57"/>
        <v/>
      </c>
      <c r="K761" t="str">
        <f>IFERROR(IF(VLOOKUP(E:E,'Old Report'!E:J,6,FALSE)="","",VLOOKUP(E:E,'Old Report'!E:J,6,FALSE)),"")</f>
        <v/>
      </c>
      <c r="L761" t="str">
        <f>IFERROR(IF(VLOOKUP(E:E,'Old Report'!E:L,8,FALSE)="","",VLOOKUP(E:E,'Old Report'!E:L,8,FALSE)),"")</f>
        <v/>
      </c>
      <c r="M761" s="5" t="str">
        <f t="shared" si="58"/>
        <v/>
      </c>
      <c r="N761" s="5" t="str">
        <f t="shared" si="59"/>
        <v/>
      </c>
    </row>
    <row r="762" spans="1:14" x14ac:dyDescent="0.25">
      <c r="A762" s="5">
        <v>761</v>
      </c>
      <c r="B762" s="5">
        <f t="shared" si="56"/>
        <v>0</v>
      </c>
      <c r="C762" s="5" t="str">
        <f t="shared" si="55"/>
        <v/>
      </c>
      <c r="D762" s="5" t="str">
        <f>IFERROR(IF(F762&lt;&gt;"",F762,VLOOKUP(MAX(C$2:C762),A$2:F762,2,FALSE)),"")</f>
        <v/>
      </c>
      <c r="E762" s="5" t="str">
        <f t="shared" si="57"/>
        <v/>
      </c>
      <c r="K762" t="str">
        <f>IFERROR(IF(VLOOKUP(E:E,'Old Report'!E:J,6,FALSE)="","",VLOOKUP(E:E,'Old Report'!E:J,6,FALSE)),"")</f>
        <v/>
      </c>
      <c r="L762" t="str">
        <f>IFERROR(IF(VLOOKUP(E:E,'Old Report'!E:L,8,FALSE)="","",VLOOKUP(E:E,'Old Report'!E:L,8,FALSE)),"")</f>
        <v/>
      </c>
      <c r="M762" s="5" t="str">
        <f t="shared" si="58"/>
        <v/>
      </c>
      <c r="N762" s="5" t="str">
        <f t="shared" si="59"/>
        <v/>
      </c>
    </row>
    <row r="763" spans="1:14" x14ac:dyDescent="0.25">
      <c r="A763" s="5">
        <v>762</v>
      </c>
      <c r="B763" s="5">
        <f t="shared" si="56"/>
        <v>0</v>
      </c>
      <c r="C763" s="5" t="str">
        <f t="shared" si="55"/>
        <v/>
      </c>
      <c r="D763" s="5" t="str">
        <f>IFERROR(IF(F763&lt;&gt;"",F763,VLOOKUP(MAX(C$2:C763),A$2:F763,2,FALSE)),"")</f>
        <v/>
      </c>
      <c r="E763" s="5" t="str">
        <f t="shared" si="57"/>
        <v/>
      </c>
      <c r="K763" t="str">
        <f>IFERROR(IF(VLOOKUP(E:E,'Old Report'!E:J,6,FALSE)="","",VLOOKUP(E:E,'Old Report'!E:J,6,FALSE)),"")</f>
        <v/>
      </c>
      <c r="L763" t="str">
        <f>IFERROR(IF(VLOOKUP(E:E,'Old Report'!E:L,8,FALSE)="","",VLOOKUP(E:E,'Old Report'!E:L,8,FALSE)),"")</f>
        <v/>
      </c>
      <c r="M763" s="5" t="str">
        <f t="shared" si="58"/>
        <v/>
      </c>
      <c r="N763" s="5" t="str">
        <f t="shared" si="59"/>
        <v/>
      </c>
    </row>
    <row r="764" spans="1:14" x14ac:dyDescent="0.25">
      <c r="A764" s="5">
        <v>763</v>
      </c>
      <c r="B764" s="5">
        <f t="shared" si="56"/>
        <v>0</v>
      </c>
      <c r="C764" s="5" t="str">
        <f t="shared" si="55"/>
        <v/>
      </c>
      <c r="D764" s="5" t="str">
        <f>IFERROR(IF(F764&lt;&gt;"",F764,VLOOKUP(MAX(C$2:C764),A$2:F764,2,FALSE)),"")</f>
        <v/>
      </c>
      <c r="E764" s="5" t="str">
        <f t="shared" si="57"/>
        <v/>
      </c>
      <c r="K764" t="str">
        <f>IFERROR(IF(VLOOKUP(E:E,'Old Report'!E:J,6,FALSE)="","",VLOOKUP(E:E,'Old Report'!E:J,6,FALSE)),"")</f>
        <v/>
      </c>
      <c r="L764" t="str">
        <f>IFERROR(IF(VLOOKUP(E:E,'Old Report'!E:L,8,FALSE)="","",VLOOKUP(E:E,'Old Report'!E:L,8,FALSE)),"")</f>
        <v/>
      </c>
      <c r="M764" s="5" t="str">
        <f t="shared" si="58"/>
        <v/>
      </c>
      <c r="N764" s="5" t="str">
        <f t="shared" si="59"/>
        <v/>
      </c>
    </row>
    <row r="765" spans="1:14" x14ac:dyDescent="0.25">
      <c r="A765" s="5">
        <v>764</v>
      </c>
      <c r="B765" s="5">
        <f t="shared" si="56"/>
        <v>0</v>
      </c>
      <c r="C765" s="5" t="str">
        <f t="shared" si="55"/>
        <v/>
      </c>
      <c r="D765" s="5" t="str">
        <f>IFERROR(IF(F765&lt;&gt;"",F765,VLOOKUP(MAX(C$2:C765),A$2:F765,2,FALSE)),"")</f>
        <v/>
      </c>
      <c r="E765" s="5" t="str">
        <f t="shared" si="57"/>
        <v/>
      </c>
      <c r="K765" t="str">
        <f>IFERROR(IF(VLOOKUP(E:E,'Old Report'!E:J,6,FALSE)="","",VLOOKUP(E:E,'Old Report'!E:J,6,FALSE)),"")</f>
        <v/>
      </c>
      <c r="L765" t="str">
        <f>IFERROR(IF(VLOOKUP(E:E,'Old Report'!E:L,8,FALSE)="","",VLOOKUP(E:E,'Old Report'!E:L,8,FALSE)),"")</f>
        <v/>
      </c>
      <c r="M765" s="5" t="str">
        <f t="shared" si="58"/>
        <v/>
      </c>
      <c r="N765" s="5" t="str">
        <f t="shared" si="59"/>
        <v/>
      </c>
    </row>
    <row r="766" spans="1:14" x14ac:dyDescent="0.25">
      <c r="A766" s="5">
        <v>765</v>
      </c>
      <c r="B766" s="5">
        <f t="shared" si="56"/>
        <v>0</v>
      </c>
      <c r="C766" s="5" t="str">
        <f t="shared" si="55"/>
        <v/>
      </c>
      <c r="D766" s="5" t="str">
        <f>IFERROR(IF(F766&lt;&gt;"",F766,VLOOKUP(MAX(C$2:C766),A$2:F766,2,FALSE)),"")</f>
        <v/>
      </c>
      <c r="E766" s="5" t="str">
        <f t="shared" si="57"/>
        <v/>
      </c>
      <c r="K766" t="str">
        <f>IFERROR(IF(VLOOKUP(E:E,'Old Report'!E:J,6,FALSE)="","",VLOOKUP(E:E,'Old Report'!E:J,6,FALSE)),"")</f>
        <v/>
      </c>
      <c r="L766" t="str">
        <f>IFERROR(IF(VLOOKUP(E:E,'Old Report'!E:L,8,FALSE)="","",VLOOKUP(E:E,'Old Report'!E:L,8,FALSE)),"")</f>
        <v/>
      </c>
      <c r="M766" s="5" t="str">
        <f t="shared" si="58"/>
        <v/>
      </c>
      <c r="N766" s="5" t="str">
        <f t="shared" si="59"/>
        <v/>
      </c>
    </row>
    <row r="767" spans="1:14" x14ac:dyDescent="0.25">
      <c r="A767" s="5">
        <v>766</v>
      </c>
      <c r="B767" s="5">
        <f t="shared" si="56"/>
        <v>0</v>
      </c>
      <c r="C767" s="5" t="str">
        <f t="shared" si="55"/>
        <v/>
      </c>
      <c r="D767" s="5" t="str">
        <f>IFERROR(IF(F767&lt;&gt;"",F767,VLOOKUP(MAX(C$2:C767),A$2:F767,2,FALSE)),"")</f>
        <v/>
      </c>
      <c r="E767" s="5" t="str">
        <f t="shared" si="57"/>
        <v/>
      </c>
      <c r="K767" t="str">
        <f>IFERROR(IF(VLOOKUP(E:E,'Old Report'!E:J,6,FALSE)="","",VLOOKUP(E:E,'Old Report'!E:J,6,FALSE)),"")</f>
        <v/>
      </c>
      <c r="L767" t="str">
        <f>IFERROR(IF(VLOOKUP(E:E,'Old Report'!E:L,8,FALSE)="","",VLOOKUP(E:E,'Old Report'!E:L,8,FALSE)),"")</f>
        <v/>
      </c>
      <c r="M767" s="5" t="str">
        <f t="shared" si="58"/>
        <v/>
      </c>
      <c r="N767" s="5" t="str">
        <f t="shared" si="59"/>
        <v/>
      </c>
    </row>
    <row r="768" spans="1:14" x14ac:dyDescent="0.25">
      <c r="A768" s="5">
        <v>767</v>
      </c>
      <c r="B768" s="5">
        <f t="shared" si="56"/>
        <v>0</v>
      </c>
      <c r="C768" s="5" t="str">
        <f t="shared" si="55"/>
        <v/>
      </c>
      <c r="D768" s="5" t="str">
        <f>IFERROR(IF(F768&lt;&gt;"",F768,VLOOKUP(MAX(C$2:C768),A$2:F768,2,FALSE)),"")</f>
        <v/>
      </c>
      <c r="E768" s="5" t="str">
        <f t="shared" si="57"/>
        <v/>
      </c>
      <c r="K768" t="str">
        <f>IFERROR(IF(VLOOKUP(E:E,'Old Report'!E:J,6,FALSE)="","",VLOOKUP(E:E,'Old Report'!E:J,6,FALSE)),"")</f>
        <v/>
      </c>
      <c r="L768" t="str">
        <f>IFERROR(IF(VLOOKUP(E:E,'Old Report'!E:L,8,FALSE)="","",VLOOKUP(E:E,'Old Report'!E:L,8,FALSE)),"")</f>
        <v/>
      </c>
      <c r="M768" s="5" t="str">
        <f t="shared" si="58"/>
        <v/>
      </c>
      <c r="N768" s="5" t="str">
        <f t="shared" si="59"/>
        <v/>
      </c>
    </row>
    <row r="769" spans="1:14" x14ac:dyDescent="0.25">
      <c r="A769" s="5">
        <v>768</v>
      </c>
      <c r="B769" s="5">
        <f t="shared" si="56"/>
        <v>0</v>
      </c>
      <c r="C769" s="5" t="str">
        <f t="shared" si="55"/>
        <v/>
      </c>
      <c r="D769" s="5" t="str">
        <f>IFERROR(IF(F769&lt;&gt;"",F769,VLOOKUP(MAX(C$2:C769),A$2:F769,2,FALSE)),"")</f>
        <v/>
      </c>
      <c r="E769" s="5" t="str">
        <f t="shared" si="57"/>
        <v/>
      </c>
      <c r="K769" t="str">
        <f>IFERROR(IF(VLOOKUP(E:E,'Old Report'!E:J,6,FALSE)="","",VLOOKUP(E:E,'Old Report'!E:J,6,FALSE)),"")</f>
        <v/>
      </c>
      <c r="L769" t="str">
        <f>IFERROR(IF(VLOOKUP(E:E,'Old Report'!E:L,8,FALSE)="","",VLOOKUP(E:E,'Old Report'!E:L,8,FALSE)),"")</f>
        <v/>
      </c>
      <c r="M769" s="5" t="str">
        <f t="shared" si="58"/>
        <v/>
      </c>
      <c r="N769" s="5" t="str">
        <f t="shared" si="59"/>
        <v/>
      </c>
    </row>
    <row r="770" spans="1:14" x14ac:dyDescent="0.25">
      <c r="A770" s="5">
        <v>769</v>
      </c>
      <c r="B770" s="5">
        <f t="shared" si="56"/>
        <v>0</v>
      </c>
      <c r="C770" s="5" t="str">
        <f t="shared" ref="C770:C833" si="60">IF(F770&lt;&gt;"",A770,"")</f>
        <v/>
      </c>
      <c r="D770" s="5" t="str">
        <f>IFERROR(IF(F770&lt;&gt;"",F770,VLOOKUP(MAX(C$2:C770),A$2:F770,2,FALSE)),"")</f>
        <v/>
      </c>
      <c r="E770" s="5" t="str">
        <f t="shared" si="57"/>
        <v/>
      </c>
      <c r="K770" t="str">
        <f>IFERROR(IF(VLOOKUP(E:E,'Old Report'!E:J,6,FALSE)="","",VLOOKUP(E:E,'Old Report'!E:J,6,FALSE)),"")</f>
        <v/>
      </c>
      <c r="L770" t="str">
        <f>IFERROR(IF(VLOOKUP(E:E,'Old Report'!E:L,8,FALSE)="","",VLOOKUP(E:E,'Old Report'!E:L,8,FALSE)),"")</f>
        <v/>
      </c>
      <c r="M770" s="5" t="str">
        <f t="shared" si="58"/>
        <v/>
      </c>
      <c r="N770" s="5" t="str">
        <f t="shared" si="59"/>
        <v/>
      </c>
    </row>
    <row r="771" spans="1:14" x14ac:dyDescent="0.25">
      <c r="A771" s="5">
        <v>770</v>
      </c>
      <c r="B771" s="5">
        <f t="shared" ref="B771:B834" si="61">IF(F772&lt;&gt;"",F772,F771)</f>
        <v>0</v>
      </c>
      <c r="C771" s="5" t="str">
        <f t="shared" si="60"/>
        <v/>
      </c>
      <c r="D771" s="5" t="str">
        <f>IFERROR(IF(F771&lt;&gt;"",F771,VLOOKUP(MAX(C$2:C771),A$2:F771,2,FALSE)),"")</f>
        <v/>
      </c>
      <c r="E771" s="5" t="str">
        <f t="shared" ref="E771:E834" si="62">IF(H771&lt;&gt;"",CONCATENATE(D771,".",H771),"")</f>
        <v/>
      </c>
      <c r="K771" t="str">
        <f>IFERROR(IF(VLOOKUP(E:E,'Old Report'!E:J,6,FALSE)="","",VLOOKUP(E:E,'Old Report'!E:J,6,FALSE)),"")</f>
        <v/>
      </c>
      <c r="L771" t="str">
        <f>IFERROR(IF(VLOOKUP(E:E,'Old Report'!E:L,8,FALSE)="","",VLOOKUP(E:E,'Old Report'!E:L,8,FALSE)),"")</f>
        <v/>
      </c>
      <c r="M771" s="5" t="str">
        <f t="shared" si="58"/>
        <v/>
      </c>
      <c r="N771" s="5" t="str">
        <f t="shared" si="59"/>
        <v/>
      </c>
    </row>
    <row r="772" spans="1:14" x14ac:dyDescent="0.25">
      <c r="A772" s="5">
        <v>771</v>
      </c>
      <c r="B772" s="5">
        <f t="shared" si="61"/>
        <v>0</v>
      </c>
      <c r="C772" s="5" t="str">
        <f t="shared" si="60"/>
        <v/>
      </c>
      <c r="D772" s="5" t="str">
        <f>IFERROR(IF(F772&lt;&gt;"",F772,VLOOKUP(MAX(C$2:C772),A$2:F772,2,FALSE)),"")</f>
        <v/>
      </c>
      <c r="E772" s="5" t="str">
        <f t="shared" si="62"/>
        <v/>
      </c>
      <c r="K772" t="str">
        <f>IFERROR(IF(VLOOKUP(E:E,'Old Report'!E:J,6,FALSE)="","",VLOOKUP(E:E,'Old Report'!E:J,6,FALSE)),"")</f>
        <v/>
      </c>
      <c r="L772" t="str">
        <f>IFERROR(IF(VLOOKUP(E:E,'Old Report'!E:L,8,FALSE)="","",VLOOKUP(E:E,'Old Report'!E:L,8,FALSE)),"")</f>
        <v/>
      </c>
      <c r="M772" s="5" t="str">
        <f t="shared" ref="M772:M835" si="63">IFERROR(L772,"")</f>
        <v/>
      </c>
      <c r="N772" s="5" t="str">
        <f t="shared" ref="N772:N835" si="64">IFERROR( IF(J772&lt;&gt;"",IF(K772 &lt;&gt; "",IF(J772 = K772,"No Change",IF(J772 &lt; K772,CONCATENATE("Issues reduced from ",K772," to ",J772),IF(J772&gt;K772,CONCATENATE("Issues increased from ",K772," to ",J772),""))),"New issue - needs to be checked"),""),"")</f>
        <v/>
      </c>
    </row>
    <row r="773" spans="1:14" x14ac:dyDescent="0.25">
      <c r="A773" s="5">
        <v>772</v>
      </c>
      <c r="B773" s="5">
        <f t="shared" si="61"/>
        <v>0</v>
      </c>
      <c r="C773" s="5" t="str">
        <f t="shared" si="60"/>
        <v/>
      </c>
      <c r="D773" s="5" t="str">
        <f>IFERROR(IF(F773&lt;&gt;"",F773,VLOOKUP(MAX(C$2:C773),A$2:F773,2,FALSE)),"")</f>
        <v/>
      </c>
      <c r="E773" s="5" t="str">
        <f t="shared" si="62"/>
        <v/>
      </c>
      <c r="K773" t="str">
        <f>IFERROR(IF(VLOOKUP(E:E,'Old Report'!E:J,6,FALSE)="","",VLOOKUP(E:E,'Old Report'!E:J,6,FALSE)),"")</f>
        <v/>
      </c>
      <c r="L773" t="str">
        <f>IFERROR(IF(VLOOKUP(E:E,'Old Report'!E:L,8,FALSE)="","",VLOOKUP(E:E,'Old Report'!E:L,8,FALSE)),"")</f>
        <v/>
      </c>
      <c r="M773" s="5" t="str">
        <f t="shared" si="63"/>
        <v/>
      </c>
      <c r="N773" s="5" t="str">
        <f t="shared" si="64"/>
        <v/>
      </c>
    </row>
    <row r="774" spans="1:14" x14ac:dyDescent="0.25">
      <c r="A774" s="5">
        <v>773</v>
      </c>
      <c r="B774" s="5">
        <f t="shared" si="61"/>
        <v>0</v>
      </c>
      <c r="C774" s="5" t="str">
        <f t="shared" si="60"/>
        <v/>
      </c>
      <c r="D774" s="5" t="str">
        <f>IFERROR(IF(F774&lt;&gt;"",F774,VLOOKUP(MAX(C$2:C774),A$2:F774,2,FALSE)),"")</f>
        <v/>
      </c>
      <c r="E774" s="5" t="str">
        <f t="shared" si="62"/>
        <v/>
      </c>
      <c r="K774" t="str">
        <f>IFERROR(IF(VLOOKUP(E:E,'Old Report'!E:J,6,FALSE)="","",VLOOKUP(E:E,'Old Report'!E:J,6,FALSE)),"")</f>
        <v/>
      </c>
      <c r="L774" t="str">
        <f>IFERROR(IF(VLOOKUP(E:E,'Old Report'!E:L,8,FALSE)="","",VLOOKUP(E:E,'Old Report'!E:L,8,FALSE)),"")</f>
        <v/>
      </c>
      <c r="M774" s="5" t="str">
        <f t="shared" si="63"/>
        <v/>
      </c>
      <c r="N774" s="5" t="str">
        <f t="shared" si="64"/>
        <v/>
      </c>
    </row>
    <row r="775" spans="1:14" x14ac:dyDescent="0.25">
      <c r="A775" s="5">
        <v>774</v>
      </c>
      <c r="B775" s="5">
        <f t="shared" si="61"/>
        <v>0</v>
      </c>
      <c r="C775" s="5" t="str">
        <f t="shared" si="60"/>
        <v/>
      </c>
      <c r="D775" s="5" t="str">
        <f>IFERROR(IF(F775&lt;&gt;"",F775,VLOOKUP(MAX(C$2:C775),A$2:F775,2,FALSE)),"")</f>
        <v/>
      </c>
      <c r="E775" s="5" t="str">
        <f t="shared" si="62"/>
        <v/>
      </c>
      <c r="K775" t="str">
        <f>IFERROR(IF(VLOOKUP(E:E,'Old Report'!E:J,6,FALSE)="","",VLOOKUP(E:E,'Old Report'!E:J,6,FALSE)),"")</f>
        <v/>
      </c>
      <c r="L775" t="str">
        <f>IFERROR(IF(VLOOKUP(E:E,'Old Report'!E:L,8,FALSE)="","",VLOOKUP(E:E,'Old Report'!E:L,8,FALSE)),"")</f>
        <v/>
      </c>
      <c r="M775" s="5" t="str">
        <f t="shared" si="63"/>
        <v/>
      </c>
      <c r="N775" s="5" t="str">
        <f t="shared" si="64"/>
        <v/>
      </c>
    </row>
    <row r="776" spans="1:14" x14ac:dyDescent="0.25">
      <c r="A776" s="5">
        <v>775</v>
      </c>
      <c r="B776" s="5">
        <f t="shared" si="61"/>
        <v>0</v>
      </c>
      <c r="C776" s="5" t="str">
        <f t="shared" si="60"/>
        <v/>
      </c>
      <c r="D776" s="5" t="str">
        <f>IFERROR(IF(F776&lt;&gt;"",F776,VLOOKUP(MAX(C$2:C776),A$2:F776,2,FALSE)),"")</f>
        <v/>
      </c>
      <c r="E776" s="5" t="str">
        <f t="shared" si="62"/>
        <v/>
      </c>
      <c r="K776" t="str">
        <f>IFERROR(IF(VLOOKUP(E:E,'Old Report'!E:J,6,FALSE)="","",VLOOKUP(E:E,'Old Report'!E:J,6,FALSE)),"")</f>
        <v/>
      </c>
      <c r="L776" t="str">
        <f>IFERROR(IF(VLOOKUP(E:E,'Old Report'!E:L,8,FALSE)="","",VLOOKUP(E:E,'Old Report'!E:L,8,FALSE)),"")</f>
        <v/>
      </c>
      <c r="M776" s="5" t="str">
        <f t="shared" si="63"/>
        <v/>
      </c>
      <c r="N776" s="5" t="str">
        <f t="shared" si="64"/>
        <v/>
      </c>
    </row>
    <row r="777" spans="1:14" x14ac:dyDescent="0.25">
      <c r="A777" s="5">
        <v>776</v>
      </c>
      <c r="B777" s="5">
        <f t="shared" si="61"/>
        <v>0</v>
      </c>
      <c r="C777" s="5" t="str">
        <f t="shared" si="60"/>
        <v/>
      </c>
      <c r="D777" s="5" t="str">
        <f>IFERROR(IF(F777&lt;&gt;"",F777,VLOOKUP(MAX(C$2:C777),A$2:F777,2,FALSE)),"")</f>
        <v/>
      </c>
      <c r="E777" s="5" t="str">
        <f t="shared" si="62"/>
        <v/>
      </c>
      <c r="K777" t="str">
        <f>IFERROR(IF(VLOOKUP(E:E,'Old Report'!E:J,6,FALSE)="","",VLOOKUP(E:E,'Old Report'!E:J,6,FALSE)),"")</f>
        <v/>
      </c>
      <c r="L777" t="str">
        <f>IFERROR(IF(VLOOKUP(E:E,'Old Report'!E:L,8,FALSE)="","",VLOOKUP(E:E,'Old Report'!E:L,8,FALSE)),"")</f>
        <v/>
      </c>
      <c r="M777" s="5" t="str">
        <f t="shared" si="63"/>
        <v/>
      </c>
      <c r="N777" s="5" t="str">
        <f t="shared" si="64"/>
        <v/>
      </c>
    </row>
    <row r="778" spans="1:14" x14ac:dyDescent="0.25">
      <c r="A778" s="5">
        <v>777</v>
      </c>
      <c r="B778" s="5">
        <f t="shared" si="61"/>
        <v>0</v>
      </c>
      <c r="C778" s="5" t="str">
        <f t="shared" si="60"/>
        <v/>
      </c>
      <c r="D778" s="5" t="str">
        <f>IFERROR(IF(F778&lt;&gt;"",F778,VLOOKUP(MAX(C$2:C778),A$2:F778,2,FALSE)),"")</f>
        <v/>
      </c>
      <c r="E778" s="5" t="str">
        <f t="shared" si="62"/>
        <v/>
      </c>
      <c r="K778" t="str">
        <f>IFERROR(IF(VLOOKUP(E:E,'Old Report'!E:J,6,FALSE)="","",VLOOKUP(E:E,'Old Report'!E:J,6,FALSE)),"")</f>
        <v/>
      </c>
      <c r="L778" t="str">
        <f>IFERROR(IF(VLOOKUP(E:E,'Old Report'!E:L,8,FALSE)="","",VLOOKUP(E:E,'Old Report'!E:L,8,FALSE)),"")</f>
        <v/>
      </c>
      <c r="M778" s="5" t="str">
        <f t="shared" si="63"/>
        <v/>
      </c>
      <c r="N778" s="5" t="str">
        <f t="shared" si="64"/>
        <v/>
      </c>
    </row>
    <row r="779" spans="1:14" x14ac:dyDescent="0.25">
      <c r="A779" s="5">
        <v>778</v>
      </c>
      <c r="B779" s="5">
        <f t="shared" si="61"/>
        <v>0</v>
      </c>
      <c r="C779" s="5" t="str">
        <f t="shared" si="60"/>
        <v/>
      </c>
      <c r="D779" s="5" t="str">
        <f>IFERROR(IF(F779&lt;&gt;"",F779,VLOOKUP(MAX(C$2:C779),A$2:F779,2,FALSE)),"")</f>
        <v/>
      </c>
      <c r="E779" s="5" t="str">
        <f t="shared" si="62"/>
        <v/>
      </c>
      <c r="K779" t="str">
        <f>IFERROR(IF(VLOOKUP(E:E,'Old Report'!E:J,6,FALSE)="","",VLOOKUP(E:E,'Old Report'!E:J,6,FALSE)),"")</f>
        <v/>
      </c>
      <c r="L779" t="str">
        <f>IFERROR(IF(VLOOKUP(E:E,'Old Report'!E:L,8,FALSE)="","",VLOOKUP(E:E,'Old Report'!E:L,8,FALSE)),"")</f>
        <v/>
      </c>
      <c r="M779" s="5" t="str">
        <f t="shared" si="63"/>
        <v/>
      </c>
      <c r="N779" s="5" t="str">
        <f t="shared" si="64"/>
        <v/>
      </c>
    </row>
    <row r="780" spans="1:14" x14ac:dyDescent="0.25">
      <c r="A780" s="5">
        <v>779</v>
      </c>
      <c r="B780" s="5">
        <f t="shared" si="61"/>
        <v>0</v>
      </c>
      <c r="C780" s="5" t="str">
        <f t="shared" si="60"/>
        <v/>
      </c>
      <c r="D780" s="5" t="str">
        <f>IFERROR(IF(F780&lt;&gt;"",F780,VLOOKUP(MAX(C$2:C780),A$2:F780,2,FALSE)),"")</f>
        <v/>
      </c>
      <c r="E780" s="5" t="str">
        <f t="shared" si="62"/>
        <v/>
      </c>
      <c r="K780" t="str">
        <f>IFERROR(IF(VLOOKUP(E:E,'Old Report'!E:J,6,FALSE)="","",VLOOKUP(E:E,'Old Report'!E:J,6,FALSE)),"")</f>
        <v/>
      </c>
      <c r="L780" t="str">
        <f>IFERROR(IF(VLOOKUP(E:E,'Old Report'!E:L,8,FALSE)="","",VLOOKUP(E:E,'Old Report'!E:L,8,FALSE)),"")</f>
        <v/>
      </c>
      <c r="M780" s="5" t="str">
        <f t="shared" si="63"/>
        <v/>
      </c>
      <c r="N780" s="5" t="str">
        <f t="shared" si="64"/>
        <v/>
      </c>
    </row>
    <row r="781" spans="1:14" x14ac:dyDescent="0.25">
      <c r="A781" s="5">
        <v>780</v>
      </c>
      <c r="B781" s="5">
        <f t="shared" si="61"/>
        <v>0</v>
      </c>
      <c r="C781" s="5" t="str">
        <f t="shared" si="60"/>
        <v/>
      </c>
      <c r="D781" s="5" t="str">
        <f>IFERROR(IF(F781&lt;&gt;"",F781,VLOOKUP(MAX(C$2:C781),A$2:F781,2,FALSE)),"")</f>
        <v/>
      </c>
      <c r="E781" s="5" t="str">
        <f t="shared" si="62"/>
        <v/>
      </c>
      <c r="K781" t="str">
        <f>IFERROR(IF(VLOOKUP(E:E,'Old Report'!E:J,6,FALSE)="","",VLOOKUP(E:E,'Old Report'!E:J,6,FALSE)),"")</f>
        <v/>
      </c>
      <c r="L781" t="str">
        <f>IFERROR(IF(VLOOKUP(E:E,'Old Report'!E:L,8,FALSE)="","",VLOOKUP(E:E,'Old Report'!E:L,8,FALSE)),"")</f>
        <v/>
      </c>
      <c r="M781" s="5" t="str">
        <f t="shared" si="63"/>
        <v/>
      </c>
      <c r="N781" s="5" t="str">
        <f t="shared" si="64"/>
        <v/>
      </c>
    </row>
    <row r="782" spans="1:14" x14ac:dyDescent="0.25">
      <c r="A782" s="5">
        <v>781</v>
      </c>
      <c r="B782" s="5">
        <f t="shared" si="61"/>
        <v>0</v>
      </c>
      <c r="C782" s="5" t="str">
        <f t="shared" si="60"/>
        <v/>
      </c>
      <c r="D782" s="5" t="str">
        <f>IFERROR(IF(F782&lt;&gt;"",F782,VLOOKUP(MAX(C$2:C782),A$2:F782,2,FALSE)),"")</f>
        <v/>
      </c>
      <c r="E782" s="5" t="str">
        <f t="shared" si="62"/>
        <v/>
      </c>
      <c r="K782" t="str">
        <f>IFERROR(IF(VLOOKUP(E:E,'Old Report'!E:J,6,FALSE)="","",VLOOKUP(E:E,'Old Report'!E:J,6,FALSE)),"")</f>
        <v/>
      </c>
      <c r="L782" t="str">
        <f>IFERROR(IF(VLOOKUP(E:E,'Old Report'!E:L,8,FALSE)="","",VLOOKUP(E:E,'Old Report'!E:L,8,FALSE)),"")</f>
        <v/>
      </c>
      <c r="M782" s="5" t="str">
        <f t="shared" si="63"/>
        <v/>
      </c>
      <c r="N782" s="5" t="str">
        <f t="shared" si="64"/>
        <v/>
      </c>
    </row>
    <row r="783" spans="1:14" x14ac:dyDescent="0.25">
      <c r="A783" s="5">
        <v>782</v>
      </c>
      <c r="B783" s="5">
        <f t="shared" si="61"/>
        <v>0</v>
      </c>
      <c r="C783" s="5" t="str">
        <f t="shared" si="60"/>
        <v/>
      </c>
      <c r="D783" s="5" t="str">
        <f>IFERROR(IF(F783&lt;&gt;"",F783,VLOOKUP(MAX(C$2:C783),A$2:F783,2,FALSE)),"")</f>
        <v/>
      </c>
      <c r="E783" s="5" t="str">
        <f t="shared" si="62"/>
        <v/>
      </c>
      <c r="K783" t="str">
        <f>IFERROR(IF(VLOOKUP(E:E,'Old Report'!E:J,6,FALSE)="","",VLOOKUP(E:E,'Old Report'!E:J,6,FALSE)),"")</f>
        <v/>
      </c>
      <c r="L783" t="str">
        <f>IFERROR(IF(VLOOKUP(E:E,'Old Report'!E:L,8,FALSE)="","",VLOOKUP(E:E,'Old Report'!E:L,8,FALSE)),"")</f>
        <v/>
      </c>
      <c r="M783" s="5" t="str">
        <f t="shared" si="63"/>
        <v/>
      </c>
      <c r="N783" s="5" t="str">
        <f t="shared" si="64"/>
        <v/>
      </c>
    </row>
    <row r="784" spans="1:14" x14ac:dyDescent="0.25">
      <c r="A784" s="5">
        <v>783</v>
      </c>
      <c r="B784" s="5">
        <f t="shared" si="61"/>
        <v>0</v>
      </c>
      <c r="C784" s="5" t="str">
        <f t="shared" si="60"/>
        <v/>
      </c>
      <c r="D784" s="5" t="str">
        <f>IFERROR(IF(F784&lt;&gt;"",F784,VLOOKUP(MAX(C$2:C784),A$2:F784,2,FALSE)),"")</f>
        <v/>
      </c>
      <c r="E784" s="5" t="str">
        <f t="shared" si="62"/>
        <v/>
      </c>
      <c r="K784" t="str">
        <f>IFERROR(IF(VLOOKUP(E:E,'Old Report'!E:J,6,FALSE)="","",VLOOKUP(E:E,'Old Report'!E:J,6,FALSE)),"")</f>
        <v/>
      </c>
      <c r="L784" t="str">
        <f>IFERROR(IF(VLOOKUP(E:E,'Old Report'!E:L,8,FALSE)="","",VLOOKUP(E:E,'Old Report'!E:L,8,FALSE)),"")</f>
        <v/>
      </c>
      <c r="M784" s="5" t="str">
        <f t="shared" si="63"/>
        <v/>
      </c>
      <c r="N784" s="5" t="str">
        <f t="shared" si="64"/>
        <v/>
      </c>
    </row>
    <row r="785" spans="1:14" x14ac:dyDescent="0.25">
      <c r="A785" s="5">
        <v>784</v>
      </c>
      <c r="B785" s="5">
        <f t="shared" si="61"/>
        <v>0</v>
      </c>
      <c r="C785" s="5" t="str">
        <f t="shared" si="60"/>
        <v/>
      </c>
      <c r="D785" s="5" t="str">
        <f>IFERROR(IF(F785&lt;&gt;"",F785,VLOOKUP(MAX(C$2:C785),A$2:F785,2,FALSE)),"")</f>
        <v/>
      </c>
      <c r="E785" s="5" t="str">
        <f t="shared" si="62"/>
        <v/>
      </c>
      <c r="K785" t="str">
        <f>IFERROR(IF(VLOOKUP(E:E,'Old Report'!E:J,6,FALSE)="","",VLOOKUP(E:E,'Old Report'!E:J,6,FALSE)),"")</f>
        <v/>
      </c>
      <c r="L785" t="str">
        <f>IFERROR(IF(VLOOKUP(E:E,'Old Report'!E:L,8,FALSE)="","",VLOOKUP(E:E,'Old Report'!E:L,8,FALSE)),"")</f>
        <v/>
      </c>
      <c r="M785" s="5" t="str">
        <f t="shared" si="63"/>
        <v/>
      </c>
      <c r="N785" s="5" t="str">
        <f t="shared" si="64"/>
        <v/>
      </c>
    </row>
    <row r="786" spans="1:14" x14ac:dyDescent="0.25">
      <c r="A786" s="5">
        <v>785</v>
      </c>
      <c r="B786" s="5">
        <f t="shared" si="61"/>
        <v>0</v>
      </c>
      <c r="C786" s="5" t="str">
        <f t="shared" si="60"/>
        <v/>
      </c>
      <c r="D786" s="5" t="str">
        <f>IFERROR(IF(F786&lt;&gt;"",F786,VLOOKUP(MAX(C$2:C786),A$2:F786,2,FALSE)),"")</f>
        <v/>
      </c>
      <c r="E786" s="5" t="str">
        <f t="shared" si="62"/>
        <v/>
      </c>
      <c r="K786" t="str">
        <f>IFERROR(IF(VLOOKUP(E:E,'Old Report'!E:J,6,FALSE)="","",VLOOKUP(E:E,'Old Report'!E:J,6,FALSE)),"")</f>
        <v/>
      </c>
      <c r="L786" t="str">
        <f>IFERROR(IF(VLOOKUP(E:E,'Old Report'!E:L,8,FALSE)="","",VLOOKUP(E:E,'Old Report'!E:L,8,FALSE)),"")</f>
        <v/>
      </c>
      <c r="M786" s="5" t="str">
        <f t="shared" si="63"/>
        <v/>
      </c>
      <c r="N786" s="5" t="str">
        <f t="shared" si="64"/>
        <v/>
      </c>
    </row>
    <row r="787" spans="1:14" x14ac:dyDescent="0.25">
      <c r="A787" s="5">
        <v>786</v>
      </c>
      <c r="B787" s="5">
        <f t="shared" si="61"/>
        <v>0</v>
      </c>
      <c r="C787" s="5" t="str">
        <f t="shared" si="60"/>
        <v/>
      </c>
      <c r="D787" s="5" t="str">
        <f>IFERROR(IF(F787&lt;&gt;"",F787,VLOOKUP(MAX(C$2:C787),A$2:F787,2,FALSE)),"")</f>
        <v/>
      </c>
      <c r="E787" s="5" t="str">
        <f t="shared" si="62"/>
        <v/>
      </c>
      <c r="K787" t="str">
        <f>IFERROR(IF(VLOOKUP(E:E,'Old Report'!E:J,6,FALSE)="","",VLOOKUP(E:E,'Old Report'!E:J,6,FALSE)),"")</f>
        <v/>
      </c>
      <c r="L787" t="str">
        <f>IFERROR(IF(VLOOKUP(E:E,'Old Report'!E:L,8,FALSE)="","",VLOOKUP(E:E,'Old Report'!E:L,8,FALSE)),"")</f>
        <v/>
      </c>
      <c r="M787" s="5" t="str">
        <f t="shared" si="63"/>
        <v/>
      </c>
      <c r="N787" s="5" t="str">
        <f t="shared" si="64"/>
        <v/>
      </c>
    </row>
    <row r="788" spans="1:14" x14ac:dyDescent="0.25">
      <c r="A788" s="5">
        <v>787</v>
      </c>
      <c r="B788" s="5">
        <f t="shared" si="61"/>
        <v>0</v>
      </c>
      <c r="C788" s="5" t="str">
        <f t="shared" si="60"/>
        <v/>
      </c>
      <c r="D788" s="5" t="str">
        <f>IFERROR(IF(F788&lt;&gt;"",F788,VLOOKUP(MAX(C$2:C788),A$2:F788,2,FALSE)),"")</f>
        <v/>
      </c>
      <c r="E788" s="5" t="str">
        <f t="shared" si="62"/>
        <v/>
      </c>
      <c r="K788" t="str">
        <f>IFERROR(IF(VLOOKUP(E:E,'Old Report'!E:J,6,FALSE)="","",VLOOKUP(E:E,'Old Report'!E:J,6,FALSE)),"")</f>
        <v/>
      </c>
      <c r="L788" t="str">
        <f>IFERROR(IF(VLOOKUP(E:E,'Old Report'!E:L,8,FALSE)="","",VLOOKUP(E:E,'Old Report'!E:L,8,FALSE)),"")</f>
        <v/>
      </c>
      <c r="M788" s="5" t="str">
        <f t="shared" si="63"/>
        <v/>
      </c>
      <c r="N788" s="5" t="str">
        <f t="shared" si="64"/>
        <v/>
      </c>
    </row>
    <row r="789" spans="1:14" x14ac:dyDescent="0.25">
      <c r="A789" s="5">
        <v>788</v>
      </c>
      <c r="B789" s="5">
        <f t="shared" si="61"/>
        <v>0</v>
      </c>
      <c r="C789" s="5" t="str">
        <f t="shared" si="60"/>
        <v/>
      </c>
      <c r="D789" s="5" t="str">
        <f>IFERROR(IF(F789&lt;&gt;"",F789,VLOOKUP(MAX(C$2:C789),A$2:F789,2,FALSE)),"")</f>
        <v/>
      </c>
      <c r="E789" s="5" t="str">
        <f t="shared" si="62"/>
        <v/>
      </c>
      <c r="K789" t="str">
        <f>IFERROR(IF(VLOOKUP(E:E,'Old Report'!E:J,6,FALSE)="","",VLOOKUP(E:E,'Old Report'!E:J,6,FALSE)),"")</f>
        <v/>
      </c>
      <c r="L789" t="str">
        <f>IFERROR(IF(VLOOKUP(E:E,'Old Report'!E:L,8,FALSE)="","",VLOOKUP(E:E,'Old Report'!E:L,8,FALSE)),"")</f>
        <v/>
      </c>
      <c r="M789" s="5" t="str">
        <f t="shared" si="63"/>
        <v/>
      </c>
      <c r="N789" s="5" t="str">
        <f t="shared" si="64"/>
        <v/>
      </c>
    </row>
    <row r="790" spans="1:14" x14ac:dyDescent="0.25">
      <c r="A790" s="5">
        <v>789</v>
      </c>
      <c r="B790" s="5">
        <f t="shared" si="61"/>
        <v>0</v>
      </c>
      <c r="C790" s="5" t="str">
        <f t="shared" si="60"/>
        <v/>
      </c>
      <c r="D790" s="5" t="str">
        <f>IFERROR(IF(F790&lt;&gt;"",F790,VLOOKUP(MAX(C$2:C790),A$2:F790,2,FALSE)),"")</f>
        <v/>
      </c>
      <c r="E790" s="5" t="str">
        <f t="shared" si="62"/>
        <v/>
      </c>
      <c r="K790" t="str">
        <f>IFERROR(IF(VLOOKUP(E:E,'Old Report'!E:J,6,FALSE)="","",VLOOKUP(E:E,'Old Report'!E:J,6,FALSE)),"")</f>
        <v/>
      </c>
      <c r="L790" t="str">
        <f>IFERROR(IF(VLOOKUP(E:E,'Old Report'!E:L,8,FALSE)="","",VLOOKUP(E:E,'Old Report'!E:L,8,FALSE)),"")</f>
        <v/>
      </c>
      <c r="M790" s="5" t="str">
        <f t="shared" si="63"/>
        <v/>
      </c>
      <c r="N790" s="5" t="str">
        <f t="shared" si="64"/>
        <v/>
      </c>
    </row>
    <row r="791" spans="1:14" x14ac:dyDescent="0.25">
      <c r="A791" s="5">
        <v>790</v>
      </c>
      <c r="B791" s="5">
        <f t="shared" si="61"/>
        <v>0</v>
      </c>
      <c r="C791" s="5" t="str">
        <f t="shared" si="60"/>
        <v/>
      </c>
      <c r="D791" s="5" t="str">
        <f>IFERROR(IF(F791&lt;&gt;"",F791,VLOOKUP(MAX(C$2:C791),A$2:F791,2,FALSE)),"")</f>
        <v/>
      </c>
      <c r="E791" s="5" t="str">
        <f t="shared" si="62"/>
        <v/>
      </c>
      <c r="K791" t="str">
        <f>IFERROR(IF(VLOOKUP(E:E,'Old Report'!E:J,6,FALSE)="","",VLOOKUP(E:E,'Old Report'!E:J,6,FALSE)),"")</f>
        <v/>
      </c>
      <c r="L791" t="str">
        <f>IFERROR(IF(VLOOKUP(E:E,'Old Report'!E:L,8,FALSE)="","",VLOOKUP(E:E,'Old Report'!E:L,8,FALSE)),"")</f>
        <v/>
      </c>
      <c r="M791" s="5" t="str">
        <f t="shared" si="63"/>
        <v/>
      </c>
      <c r="N791" s="5" t="str">
        <f t="shared" si="64"/>
        <v/>
      </c>
    </row>
    <row r="792" spans="1:14" x14ac:dyDescent="0.25">
      <c r="A792" s="5">
        <v>791</v>
      </c>
      <c r="B792" s="5">
        <f t="shared" si="61"/>
        <v>0</v>
      </c>
      <c r="C792" s="5" t="str">
        <f t="shared" si="60"/>
        <v/>
      </c>
      <c r="D792" s="5" t="str">
        <f>IFERROR(IF(F792&lt;&gt;"",F792,VLOOKUP(MAX(C$2:C792),A$2:F792,2,FALSE)),"")</f>
        <v/>
      </c>
      <c r="E792" s="5" t="str">
        <f t="shared" si="62"/>
        <v/>
      </c>
      <c r="K792" t="str">
        <f>IFERROR(IF(VLOOKUP(E:E,'Old Report'!E:J,6,FALSE)="","",VLOOKUP(E:E,'Old Report'!E:J,6,FALSE)),"")</f>
        <v/>
      </c>
      <c r="L792" t="str">
        <f>IFERROR(IF(VLOOKUP(E:E,'Old Report'!E:L,8,FALSE)="","",VLOOKUP(E:E,'Old Report'!E:L,8,FALSE)),"")</f>
        <v/>
      </c>
      <c r="M792" s="5" t="str">
        <f t="shared" si="63"/>
        <v/>
      </c>
      <c r="N792" s="5" t="str">
        <f t="shared" si="64"/>
        <v/>
      </c>
    </row>
    <row r="793" spans="1:14" x14ac:dyDescent="0.25">
      <c r="A793" s="5">
        <v>792</v>
      </c>
      <c r="B793" s="5">
        <f t="shared" si="61"/>
        <v>0</v>
      </c>
      <c r="C793" s="5" t="str">
        <f t="shared" si="60"/>
        <v/>
      </c>
      <c r="D793" s="5" t="str">
        <f>IFERROR(IF(F793&lt;&gt;"",F793,VLOOKUP(MAX(C$2:C793),A$2:F793,2,FALSE)),"")</f>
        <v/>
      </c>
      <c r="E793" s="5" t="str">
        <f t="shared" si="62"/>
        <v/>
      </c>
      <c r="K793" t="str">
        <f>IFERROR(IF(VLOOKUP(E:E,'Old Report'!E:J,6,FALSE)="","",VLOOKUP(E:E,'Old Report'!E:J,6,FALSE)),"")</f>
        <v/>
      </c>
      <c r="L793" t="str">
        <f>IFERROR(IF(VLOOKUP(E:E,'Old Report'!E:L,8,FALSE)="","",VLOOKUP(E:E,'Old Report'!E:L,8,FALSE)),"")</f>
        <v/>
      </c>
      <c r="M793" s="5" t="str">
        <f t="shared" si="63"/>
        <v/>
      </c>
      <c r="N793" s="5" t="str">
        <f t="shared" si="64"/>
        <v/>
      </c>
    </row>
    <row r="794" spans="1:14" x14ac:dyDescent="0.25">
      <c r="A794" s="5">
        <v>793</v>
      </c>
      <c r="B794" s="5">
        <f t="shared" si="61"/>
        <v>0</v>
      </c>
      <c r="C794" s="5" t="str">
        <f t="shared" si="60"/>
        <v/>
      </c>
      <c r="D794" s="5" t="str">
        <f>IFERROR(IF(F794&lt;&gt;"",F794,VLOOKUP(MAX(C$2:C794),A$2:F794,2,FALSE)),"")</f>
        <v/>
      </c>
      <c r="E794" s="5" t="str">
        <f t="shared" si="62"/>
        <v/>
      </c>
      <c r="K794" t="str">
        <f>IFERROR(IF(VLOOKUP(E:E,'Old Report'!E:J,6,FALSE)="","",VLOOKUP(E:E,'Old Report'!E:J,6,FALSE)),"")</f>
        <v/>
      </c>
      <c r="L794" t="str">
        <f>IFERROR(IF(VLOOKUP(E:E,'Old Report'!E:L,8,FALSE)="","",VLOOKUP(E:E,'Old Report'!E:L,8,FALSE)),"")</f>
        <v/>
      </c>
      <c r="M794" s="5" t="str">
        <f t="shared" si="63"/>
        <v/>
      </c>
      <c r="N794" s="5" t="str">
        <f t="shared" si="64"/>
        <v/>
      </c>
    </row>
    <row r="795" spans="1:14" x14ac:dyDescent="0.25">
      <c r="A795" s="5">
        <v>794</v>
      </c>
      <c r="B795" s="5">
        <f t="shared" si="61"/>
        <v>0</v>
      </c>
      <c r="C795" s="5" t="str">
        <f t="shared" si="60"/>
        <v/>
      </c>
      <c r="D795" s="5" t="str">
        <f>IFERROR(IF(F795&lt;&gt;"",F795,VLOOKUP(MAX(C$2:C795),A$2:F795,2,FALSE)),"")</f>
        <v/>
      </c>
      <c r="E795" s="5" t="str">
        <f t="shared" si="62"/>
        <v/>
      </c>
      <c r="K795" t="str">
        <f>IFERROR(IF(VLOOKUP(E:E,'Old Report'!E:J,6,FALSE)="","",VLOOKUP(E:E,'Old Report'!E:J,6,FALSE)),"")</f>
        <v/>
      </c>
      <c r="L795" t="str">
        <f>IFERROR(IF(VLOOKUP(E:E,'Old Report'!E:L,8,FALSE)="","",VLOOKUP(E:E,'Old Report'!E:L,8,FALSE)),"")</f>
        <v/>
      </c>
      <c r="M795" s="5" t="str">
        <f t="shared" si="63"/>
        <v/>
      </c>
      <c r="N795" s="5" t="str">
        <f t="shared" si="64"/>
        <v/>
      </c>
    </row>
    <row r="796" spans="1:14" x14ac:dyDescent="0.25">
      <c r="A796" s="5">
        <v>795</v>
      </c>
      <c r="B796" s="5">
        <f t="shared" si="61"/>
        <v>0</v>
      </c>
      <c r="C796" s="5" t="str">
        <f t="shared" si="60"/>
        <v/>
      </c>
      <c r="D796" s="5" t="str">
        <f>IFERROR(IF(F796&lt;&gt;"",F796,VLOOKUP(MAX(C$2:C796),A$2:F796,2,FALSE)),"")</f>
        <v/>
      </c>
      <c r="E796" s="5" t="str">
        <f t="shared" si="62"/>
        <v/>
      </c>
      <c r="K796" t="str">
        <f>IFERROR(IF(VLOOKUP(E:E,'Old Report'!E:J,6,FALSE)="","",VLOOKUP(E:E,'Old Report'!E:J,6,FALSE)),"")</f>
        <v/>
      </c>
      <c r="L796" t="str">
        <f>IFERROR(IF(VLOOKUP(E:E,'Old Report'!E:L,8,FALSE)="","",VLOOKUP(E:E,'Old Report'!E:L,8,FALSE)),"")</f>
        <v/>
      </c>
      <c r="M796" s="5" t="str">
        <f t="shared" si="63"/>
        <v/>
      </c>
      <c r="N796" s="5" t="str">
        <f t="shared" si="64"/>
        <v/>
      </c>
    </row>
    <row r="797" spans="1:14" x14ac:dyDescent="0.25">
      <c r="A797" s="5">
        <v>796</v>
      </c>
      <c r="B797" s="5">
        <f t="shared" si="61"/>
        <v>0</v>
      </c>
      <c r="C797" s="5" t="str">
        <f t="shared" si="60"/>
        <v/>
      </c>
      <c r="D797" s="5" t="str">
        <f>IFERROR(IF(F797&lt;&gt;"",F797,VLOOKUP(MAX(C$2:C797),A$2:F797,2,FALSE)),"")</f>
        <v/>
      </c>
      <c r="E797" s="5" t="str">
        <f t="shared" si="62"/>
        <v/>
      </c>
      <c r="K797" t="str">
        <f>IFERROR(IF(VLOOKUP(E:E,'Old Report'!E:J,6,FALSE)="","",VLOOKUP(E:E,'Old Report'!E:J,6,FALSE)),"")</f>
        <v/>
      </c>
      <c r="L797" t="str">
        <f>IFERROR(IF(VLOOKUP(E:E,'Old Report'!E:L,8,FALSE)="","",VLOOKUP(E:E,'Old Report'!E:L,8,FALSE)),"")</f>
        <v/>
      </c>
      <c r="M797" s="5" t="str">
        <f t="shared" si="63"/>
        <v/>
      </c>
      <c r="N797" s="5" t="str">
        <f t="shared" si="64"/>
        <v/>
      </c>
    </row>
    <row r="798" spans="1:14" x14ac:dyDescent="0.25">
      <c r="A798" s="5">
        <v>797</v>
      </c>
      <c r="B798" s="5">
        <f t="shared" si="61"/>
        <v>0</v>
      </c>
      <c r="C798" s="5" t="str">
        <f t="shared" si="60"/>
        <v/>
      </c>
      <c r="D798" s="5" t="str">
        <f>IFERROR(IF(F798&lt;&gt;"",F798,VLOOKUP(MAX(C$2:C798),A$2:F798,2,FALSE)),"")</f>
        <v/>
      </c>
      <c r="E798" s="5" t="str">
        <f t="shared" si="62"/>
        <v/>
      </c>
      <c r="K798" t="str">
        <f>IFERROR(IF(VLOOKUP(E:E,'Old Report'!E:J,6,FALSE)="","",VLOOKUP(E:E,'Old Report'!E:J,6,FALSE)),"")</f>
        <v/>
      </c>
      <c r="L798" t="str">
        <f>IFERROR(IF(VLOOKUP(E:E,'Old Report'!E:L,8,FALSE)="","",VLOOKUP(E:E,'Old Report'!E:L,8,FALSE)),"")</f>
        <v/>
      </c>
      <c r="M798" s="5" t="str">
        <f t="shared" si="63"/>
        <v/>
      </c>
      <c r="N798" s="5" t="str">
        <f t="shared" si="64"/>
        <v/>
      </c>
    </row>
    <row r="799" spans="1:14" x14ac:dyDescent="0.25">
      <c r="A799" s="5">
        <v>798</v>
      </c>
      <c r="B799" s="5">
        <f t="shared" si="61"/>
        <v>0</v>
      </c>
      <c r="C799" s="5" t="str">
        <f t="shared" si="60"/>
        <v/>
      </c>
      <c r="D799" s="5" t="str">
        <f>IFERROR(IF(F799&lt;&gt;"",F799,VLOOKUP(MAX(C$2:C799),A$2:F799,2,FALSE)),"")</f>
        <v/>
      </c>
      <c r="E799" s="5" t="str">
        <f t="shared" si="62"/>
        <v/>
      </c>
      <c r="K799" t="str">
        <f>IFERROR(IF(VLOOKUP(E:E,'Old Report'!E:J,6,FALSE)="","",VLOOKUP(E:E,'Old Report'!E:J,6,FALSE)),"")</f>
        <v/>
      </c>
      <c r="L799" t="str">
        <f>IFERROR(IF(VLOOKUP(E:E,'Old Report'!E:L,8,FALSE)="","",VLOOKUP(E:E,'Old Report'!E:L,8,FALSE)),"")</f>
        <v/>
      </c>
      <c r="M799" s="5" t="str">
        <f t="shared" si="63"/>
        <v/>
      </c>
      <c r="N799" s="5" t="str">
        <f t="shared" si="64"/>
        <v/>
      </c>
    </row>
    <row r="800" spans="1:14" x14ac:dyDescent="0.25">
      <c r="A800" s="5">
        <v>799</v>
      </c>
      <c r="B800" s="5">
        <f t="shared" si="61"/>
        <v>0</v>
      </c>
      <c r="C800" s="5" t="str">
        <f t="shared" si="60"/>
        <v/>
      </c>
      <c r="D800" s="5" t="str">
        <f>IFERROR(IF(F800&lt;&gt;"",F800,VLOOKUP(MAX(C$2:C800),A$2:F800,2,FALSE)),"")</f>
        <v/>
      </c>
      <c r="E800" s="5" t="str">
        <f t="shared" si="62"/>
        <v/>
      </c>
      <c r="K800" t="str">
        <f>IFERROR(IF(VLOOKUP(E:E,'Old Report'!E:J,6,FALSE)="","",VLOOKUP(E:E,'Old Report'!E:J,6,FALSE)),"")</f>
        <v/>
      </c>
      <c r="L800" t="str">
        <f>IFERROR(IF(VLOOKUP(E:E,'Old Report'!E:L,8,FALSE)="","",VLOOKUP(E:E,'Old Report'!E:L,8,FALSE)),"")</f>
        <v/>
      </c>
      <c r="M800" s="5" t="str">
        <f t="shared" si="63"/>
        <v/>
      </c>
      <c r="N800" s="5" t="str">
        <f t="shared" si="64"/>
        <v/>
      </c>
    </row>
    <row r="801" spans="1:14" x14ac:dyDescent="0.25">
      <c r="A801" s="5">
        <v>800</v>
      </c>
      <c r="B801" s="5">
        <f t="shared" si="61"/>
        <v>0</v>
      </c>
      <c r="C801" s="5" t="str">
        <f t="shared" si="60"/>
        <v/>
      </c>
      <c r="D801" s="5" t="str">
        <f>IFERROR(IF(F801&lt;&gt;"",F801,VLOOKUP(MAX(C$2:C801),A$2:F801,2,FALSE)),"")</f>
        <v/>
      </c>
      <c r="E801" s="5" t="str">
        <f t="shared" si="62"/>
        <v/>
      </c>
      <c r="K801" t="str">
        <f>IFERROR(IF(VLOOKUP(E:E,'Old Report'!E:J,6,FALSE)="","",VLOOKUP(E:E,'Old Report'!E:J,6,FALSE)),"")</f>
        <v/>
      </c>
      <c r="L801" t="str">
        <f>IFERROR(IF(VLOOKUP(E:E,'Old Report'!E:L,8,FALSE)="","",VLOOKUP(E:E,'Old Report'!E:L,8,FALSE)),"")</f>
        <v/>
      </c>
      <c r="M801" s="5" t="str">
        <f t="shared" si="63"/>
        <v/>
      </c>
      <c r="N801" s="5" t="str">
        <f t="shared" si="64"/>
        <v/>
      </c>
    </row>
    <row r="802" spans="1:14" x14ac:dyDescent="0.25">
      <c r="A802" s="5">
        <v>801</v>
      </c>
      <c r="B802" s="5">
        <f t="shared" si="61"/>
        <v>0</v>
      </c>
      <c r="C802" s="5" t="str">
        <f t="shared" si="60"/>
        <v/>
      </c>
      <c r="D802" s="5" t="str">
        <f>IFERROR(IF(F802&lt;&gt;"",F802,VLOOKUP(MAX(C$2:C802),A$2:F802,2,FALSE)),"")</f>
        <v/>
      </c>
      <c r="E802" s="5" t="str">
        <f t="shared" si="62"/>
        <v/>
      </c>
      <c r="K802" t="str">
        <f>IFERROR(IF(VLOOKUP(E:E,'Old Report'!E:J,6,FALSE)="","",VLOOKUP(E:E,'Old Report'!E:J,6,FALSE)),"")</f>
        <v/>
      </c>
      <c r="L802" t="str">
        <f>IFERROR(IF(VLOOKUP(E:E,'Old Report'!E:L,8,FALSE)="","",VLOOKUP(E:E,'Old Report'!E:L,8,FALSE)),"")</f>
        <v/>
      </c>
      <c r="M802" s="5" t="str">
        <f t="shared" si="63"/>
        <v/>
      </c>
      <c r="N802" s="5" t="str">
        <f t="shared" si="64"/>
        <v/>
      </c>
    </row>
    <row r="803" spans="1:14" x14ac:dyDescent="0.25">
      <c r="A803" s="5">
        <v>802</v>
      </c>
      <c r="B803" s="5">
        <f t="shared" si="61"/>
        <v>0</v>
      </c>
      <c r="C803" s="5" t="str">
        <f t="shared" si="60"/>
        <v/>
      </c>
      <c r="D803" s="5" t="str">
        <f>IFERROR(IF(F803&lt;&gt;"",F803,VLOOKUP(MAX(C$2:C803),A$2:F803,2,FALSE)),"")</f>
        <v/>
      </c>
      <c r="E803" s="5" t="str">
        <f t="shared" si="62"/>
        <v/>
      </c>
      <c r="K803" t="str">
        <f>IFERROR(IF(VLOOKUP(E:E,'Old Report'!E:J,6,FALSE)="","",VLOOKUP(E:E,'Old Report'!E:J,6,FALSE)),"")</f>
        <v/>
      </c>
      <c r="L803" t="str">
        <f>IFERROR(IF(VLOOKUP(E:E,'Old Report'!E:L,8,FALSE)="","",VLOOKUP(E:E,'Old Report'!E:L,8,FALSE)),"")</f>
        <v/>
      </c>
      <c r="M803" s="5" t="str">
        <f t="shared" si="63"/>
        <v/>
      </c>
      <c r="N803" s="5" t="str">
        <f t="shared" si="64"/>
        <v/>
      </c>
    </row>
    <row r="804" spans="1:14" x14ac:dyDescent="0.25">
      <c r="A804" s="5">
        <v>803</v>
      </c>
      <c r="B804" s="5">
        <f t="shared" si="61"/>
        <v>0</v>
      </c>
      <c r="C804" s="5" t="str">
        <f t="shared" si="60"/>
        <v/>
      </c>
      <c r="D804" s="5" t="str">
        <f>IFERROR(IF(F804&lt;&gt;"",F804,VLOOKUP(MAX(C$2:C804),A$2:F804,2,FALSE)),"")</f>
        <v/>
      </c>
      <c r="E804" s="5" t="str">
        <f t="shared" si="62"/>
        <v/>
      </c>
      <c r="K804" t="str">
        <f>IFERROR(IF(VLOOKUP(E:E,'Old Report'!E:J,6,FALSE)="","",VLOOKUP(E:E,'Old Report'!E:J,6,FALSE)),"")</f>
        <v/>
      </c>
      <c r="L804" t="str">
        <f>IFERROR(IF(VLOOKUP(E:E,'Old Report'!E:L,8,FALSE)="","",VLOOKUP(E:E,'Old Report'!E:L,8,FALSE)),"")</f>
        <v/>
      </c>
      <c r="M804" s="5" t="str">
        <f t="shared" si="63"/>
        <v/>
      </c>
      <c r="N804" s="5" t="str">
        <f t="shared" si="64"/>
        <v/>
      </c>
    </row>
    <row r="805" spans="1:14" x14ac:dyDescent="0.25">
      <c r="A805" s="5">
        <v>804</v>
      </c>
      <c r="B805" s="5">
        <f t="shared" si="61"/>
        <v>0</v>
      </c>
      <c r="C805" s="5" t="str">
        <f t="shared" si="60"/>
        <v/>
      </c>
      <c r="D805" s="5" t="str">
        <f>IFERROR(IF(F805&lt;&gt;"",F805,VLOOKUP(MAX(C$2:C805),A$2:F805,2,FALSE)),"")</f>
        <v/>
      </c>
      <c r="E805" s="5" t="str">
        <f t="shared" si="62"/>
        <v/>
      </c>
      <c r="K805" t="str">
        <f>IFERROR(IF(VLOOKUP(E:E,'Old Report'!E:J,6,FALSE)="","",VLOOKUP(E:E,'Old Report'!E:J,6,FALSE)),"")</f>
        <v/>
      </c>
      <c r="L805" t="str">
        <f>IFERROR(IF(VLOOKUP(E:E,'Old Report'!E:L,8,FALSE)="","",VLOOKUP(E:E,'Old Report'!E:L,8,FALSE)),"")</f>
        <v/>
      </c>
      <c r="M805" s="5" t="str">
        <f t="shared" si="63"/>
        <v/>
      </c>
      <c r="N805" s="5" t="str">
        <f t="shared" si="64"/>
        <v/>
      </c>
    </row>
    <row r="806" spans="1:14" x14ac:dyDescent="0.25">
      <c r="A806" s="5">
        <v>805</v>
      </c>
      <c r="B806" s="5">
        <f t="shared" si="61"/>
        <v>0</v>
      </c>
      <c r="C806" s="5" t="str">
        <f t="shared" si="60"/>
        <v/>
      </c>
      <c r="D806" s="5" t="str">
        <f>IFERROR(IF(F806&lt;&gt;"",F806,VLOOKUP(MAX(C$2:C806),A$2:F806,2,FALSE)),"")</f>
        <v/>
      </c>
      <c r="E806" s="5" t="str">
        <f t="shared" si="62"/>
        <v/>
      </c>
      <c r="K806" t="str">
        <f>IFERROR(IF(VLOOKUP(E:E,'Old Report'!E:J,6,FALSE)="","",VLOOKUP(E:E,'Old Report'!E:J,6,FALSE)),"")</f>
        <v/>
      </c>
      <c r="L806" t="str">
        <f>IFERROR(IF(VLOOKUP(E:E,'Old Report'!E:L,8,FALSE)="","",VLOOKUP(E:E,'Old Report'!E:L,8,FALSE)),"")</f>
        <v/>
      </c>
      <c r="M806" s="5" t="str">
        <f t="shared" si="63"/>
        <v/>
      </c>
      <c r="N806" s="5" t="str">
        <f t="shared" si="64"/>
        <v/>
      </c>
    </row>
    <row r="807" spans="1:14" x14ac:dyDescent="0.25">
      <c r="A807" s="5">
        <v>806</v>
      </c>
      <c r="B807" s="5">
        <f t="shared" si="61"/>
        <v>0</v>
      </c>
      <c r="C807" s="5" t="str">
        <f t="shared" si="60"/>
        <v/>
      </c>
      <c r="D807" s="5" t="str">
        <f>IFERROR(IF(F807&lt;&gt;"",F807,VLOOKUP(MAX(C$2:C807),A$2:F807,2,FALSE)),"")</f>
        <v/>
      </c>
      <c r="E807" s="5" t="str">
        <f t="shared" si="62"/>
        <v/>
      </c>
      <c r="K807" t="str">
        <f>IFERROR(IF(VLOOKUP(E:E,'Old Report'!E:J,6,FALSE)="","",VLOOKUP(E:E,'Old Report'!E:J,6,FALSE)),"")</f>
        <v/>
      </c>
      <c r="L807" t="str">
        <f>IFERROR(IF(VLOOKUP(E:E,'Old Report'!E:L,8,FALSE)="","",VLOOKUP(E:E,'Old Report'!E:L,8,FALSE)),"")</f>
        <v/>
      </c>
      <c r="M807" s="5" t="str">
        <f t="shared" si="63"/>
        <v/>
      </c>
      <c r="N807" s="5" t="str">
        <f t="shared" si="64"/>
        <v/>
      </c>
    </row>
    <row r="808" spans="1:14" x14ac:dyDescent="0.25">
      <c r="A808" s="5">
        <v>807</v>
      </c>
      <c r="B808" s="5">
        <f t="shared" si="61"/>
        <v>0</v>
      </c>
      <c r="C808" s="5" t="str">
        <f t="shared" si="60"/>
        <v/>
      </c>
      <c r="D808" s="5" t="str">
        <f>IFERROR(IF(F808&lt;&gt;"",F808,VLOOKUP(MAX(C$2:C808),A$2:F808,2,FALSE)),"")</f>
        <v/>
      </c>
      <c r="E808" s="5" t="str">
        <f t="shared" si="62"/>
        <v/>
      </c>
      <c r="K808" t="str">
        <f>IFERROR(IF(VLOOKUP(E:E,'Old Report'!E:J,6,FALSE)="","",VLOOKUP(E:E,'Old Report'!E:J,6,FALSE)),"")</f>
        <v/>
      </c>
      <c r="L808" t="str">
        <f>IFERROR(IF(VLOOKUP(E:E,'Old Report'!E:L,8,FALSE)="","",VLOOKUP(E:E,'Old Report'!E:L,8,FALSE)),"")</f>
        <v/>
      </c>
      <c r="M808" s="5" t="str">
        <f t="shared" si="63"/>
        <v/>
      </c>
      <c r="N808" s="5" t="str">
        <f t="shared" si="64"/>
        <v/>
      </c>
    </row>
    <row r="809" spans="1:14" x14ac:dyDescent="0.25">
      <c r="A809" s="5">
        <v>808</v>
      </c>
      <c r="B809" s="5">
        <f t="shared" si="61"/>
        <v>0</v>
      </c>
      <c r="C809" s="5" t="str">
        <f t="shared" si="60"/>
        <v/>
      </c>
      <c r="D809" s="5" t="str">
        <f>IFERROR(IF(F809&lt;&gt;"",F809,VLOOKUP(MAX(C$2:C809),A$2:F809,2,FALSE)),"")</f>
        <v/>
      </c>
      <c r="E809" s="5" t="str">
        <f t="shared" si="62"/>
        <v/>
      </c>
      <c r="K809" t="str">
        <f>IFERROR(IF(VLOOKUP(E:E,'Old Report'!E:J,6,FALSE)="","",VLOOKUP(E:E,'Old Report'!E:J,6,FALSE)),"")</f>
        <v/>
      </c>
      <c r="L809" t="str">
        <f>IFERROR(IF(VLOOKUP(E:E,'Old Report'!E:L,8,FALSE)="","",VLOOKUP(E:E,'Old Report'!E:L,8,FALSE)),"")</f>
        <v/>
      </c>
      <c r="M809" s="5" t="str">
        <f t="shared" si="63"/>
        <v/>
      </c>
      <c r="N809" s="5" t="str">
        <f t="shared" si="64"/>
        <v/>
      </c>
    </row>
    <row r="810" spans="1:14" x14ac:dyDescent="0.25">
      <c r="A810" s="5">
        <v>809</v>
      </c>
      <c r="B810" s="5">
        <f t="shared" si="61"/>
        <v>0</v>
      </c>
      <c r="C810" s="5" t="str">
        <f t="shared" si="60"/>
        <v/>
      </c>
      <c r="D810" s="5" t="str">
        <f>IFERROR(IF(F810&lt;&gt;"",F810,VLOOKUP(MAX(C$2:C810),A$2:F810,2,FALSE)),"")</f>
        <v/>
      </c>
      <c r="E810" s="5" t="str">
        <f t="shared" si="62"/>
        <v/>
      </c>
      <c r="K810" t="str">
        <f>IFERROR(IF(VLOOKUP(E:E,'Old Report'!E:J,6,FALSE)="","",VLOOKUP(E:E,'Old Report'!E:J,6,FALSE)),"")</f>
        <v/>
      </c>
      <c r="L810" t="str">
        <f>IFERROR(IF(VLOOKUP(E:E,'Old Report'!E:L,8,FALSE)="","",VLOOKUP(E:E,'Old Report'!E:L,8,FALSE)),"")</f>
        <v/>
      </c>
      <c r="M810" s="5" t="str">
        <f t="shared" si="63"/>
        <v/>
      </c>
      <c r="N810" s="5" t="str">
        <f t="shared" si="64"/>
        <v/>
      </c>
    </row>
    <row r="811" spans="1:14" x14ac:dyDescent="0.25">
      <c r="A811" s="5">
        <v>810</v>
      </c>
      <c r="B811" s="5">
        <f t="shared" si="61"/>
        <v>0</v>
      </c>
      <c r="C811" s="5" t="str">
        <f t="shared" si="60"/>
        <v/>
      </c>
      <c r="D811" s="5" t="str">
        <f>IFERROR(IF(F811&lt;&gt;"",F811,VLOOKUP(MAX(C$2:C811),A$2:F811,2,FALSE)),"")</f>
        <v/>
      </c>
      <c r="E811" s="5" t="str">
        <f t="shared" si="62"/>
        <v/>
      </c>
      <c r="K811" t="str">
        <f>IFERROR(IF(VLOOKUP(E:E,'Old Report'!E:J,6,FALSE)="","",VLOOKUP(E:E,'Old Report'!E:J,6,FALSE)),"")</f>
        <v/>
      </c>
      <c r="L811" t="str">
        <f>IFERROR(IF(VLOOKUP(E:E,'Old Report'!E:L,8,FALSE)="","",VLOOKUP(E:E,'Old Report'!E:L,8,FALSE)),"")</f>
        <v/>
      </c>
      <c r="M811" s="5" t="str">
        <f t="shared" si="63"/>
        <v/>
      </c>
      <c r="N811" s="5" t="str">
        <f t="shared" si="64"/>
        <v/>
      </c>
    </row>
    <row r="812" spans="1:14" x14ac:dyDescent="0.25">
      <c r="A812" s="5">
        <v>811</v>
      </c>
      <c r="B812" s="5">
        <f t="shared" si="61"/>
        <v>0</v>
      </c>
      <c r="C812" s="5" t="str">
        <f t="shared" si="60"/>
        <v/>
      </c>
      <c r="D812" s="5" t="str">
        <f>IFERROR(IF(F812&lt;&gt;"",F812,VLOOKUP(MAX(C$2:C812),A$2:F812,2,FALSE)),"")</f>
        <v/>
      </c>
      <c r="E812" s="5" t="str">
        <f t="shared" si="62"/>
        <v/>
      </c>
      <c r="K812" t="str">
        <f>IFERROR(IF(VLOOKUP(E:E,'Old Report'!E:J,6,FALSE)="","",VLOOKUP(E:E,'Old Report'!E:J,6,FALSE)),"")</f>
        <v/>
      </c>
      <c r="L812" t="str">
        <f>IFERROR(IF(VLOOKUP(E:E,'Old Report'!E:L,8,FALSE)="","",VLOOKUP(E:E,'Old Report'!E:L,8,FALSE)),"")</f>
        <v/>
      </c>
      <c r="M812" s="5" t="str">
        <f t="shared" si="63"/>
        <v/>
      </c>
      <c r="N812" s="5" t="str">
        <f t="shared" si="64"/>
        <v/>
      </c>
    </row>
    <row r="813" spans="1:14" x14ac:dyDescent="0.25">
      <c r="A813" s="5">
        <v>812</v>
      </c>
      <c r="B813" s="5">
        <f t="shared" si="61"/>
        <v>0</v>
      </c>
      <c r="C813" s="5" t="str">
        <f t="shared" si="60"/>
        <v/>
      </c>
      <c r="D813" s="5" t="str">
        <f>IFERROR(IF(F813&lt;&gt;"",F813,VLOOKUP(MAX(C$2:C813),A$2:F813,2,FALSE)),"")</f>
        <v/>
      </c>
      <c r="E813" s="5" t="str">
        <f t="shared" si="62"/>
        <v/>
      </c>
      <c r="K813" t="str">
        <f>IFERROR(IF(VLOOKUP(E:E,'Old Report'!E:J,6,FALSE)="","",VLOOKUP(E:E,'Old Report'!E:J,6,FALSE)),"")</f>
        <v/>
      </c>
      <c r="L813" t="str">
        <f>IFERROR(IF(VLOOKUP(E:E,'Old Report'!E:L,8,FALSE)="","",VLOOKUP(E:E,'Old Report'!E:L,8,FALSE)),"")</f>
        <v/>
      </c>
      <c r="M813" s="5" t="str">
        <f t="shared" si="63"/>
        <v/>
      </c>
      <c r="N813" s="5" t="str">
        <f t="shared" si="64"/>
        <v/>
      </c>
    </row>
    <row r="814" spans="1:14" x14ac:dyDescent="0.25">
      <c r="A814" s="5">
        <v>813</v>
      </c>
      <c r="B814" s="5">
        <f t="shared" si="61"/>
        <v>0</v>
      </c>
      <c r="C814" s="5" t="str">
        <f t="shared" si="60"/>
        <v/>
      </c>
      <c r="D814" s="5" t="str">
        <f>IFERROR(IF(F814&lt;&gt;"",F814,VLOOKUP(MAX(C$2:C814),A$2:F814,2,FALSE)),"")</f>
        <v/>
      </c>
      <c r="E814" s="5" t="str">
        <f t="shared" si="62"/>
        <v/>
      </c>
      <c r="K814" t="str">
        <f>IFERROR(IF(VLOOKUP(E:E,'Old Report'!E:J,6,FALSE)="","",VLOOKUP(E:E,'Old Report'!E:J,6,FALSE)),"")</f>
        <v/>
      </c>
      <c r="L814" t="str">
        <f>IFERROR(IF(VLOOKUP(E:E,'Old Report'!E:L,8,FALSE)="","",VLOOKUP(E:E,'Old Report'!E:L,8,FALSE)),"")</f>
        <v/>
      </c>
      <c r="M814" s="5" t="str">
        <f t="shared" si="63"/>
        <v/>
      </c>
      <c r="N814" s="5" t="str">
        <f t="shared" si="64"/>
        <v/>
      </c>
    </row>
    <row r="815" spans="1:14" x14ac:dyDescent="0.25">
      <c r="A815" s="5">
        <v>814</v>
      </c>
      <c r="B815" s="5">
        <f t="shared" si="61"/>
        <v>0</v>
      </c>
      <c r="C815" s="5" t="str">
        <f t="shared" si="60"/>
        <v/>
      </c>
      <c r="D815" s="5" t="str">
        <f>IFERROR(IF(F815&lt;&gt;"",F815,VLOOKUP(MAX(C$2:C815),A$2:F815,2,FALSE)),"")</f>
        <v/>
      </c>
      <c r="E815" s="5" t="str">
        <f t="shared" si="62"/>
        <v/>
      </c>
      <c r="K815" t="str">
        <f>IFERROR(IF(VLOOKUP(E:E,'Old Report'!E:J,6,FALSE)="","",VLOOKUP(E:E,'Old Report'!E:J,6,FALSE)),"")</f>
        <v/>
      </c>
      <c r="L815" t="str">
        <f>IFERROR(IF(VLOOKUP(E:E,'Old Report'!E:L,8,FALSE)="","",VLOOKUP(E:E,'Old Report'!E:L,8,FALSE)),"")</f>
        <v/>
      </c>
      <c r="M815" s="5" t="str">
        <f t="shared" si="63"/>
        <v/>
      </c>
      <c r="N815" s="5" t="str">
        <f t="shared" si="64"/>
        <v/>
      </c>
    </row>
    <row r="816" spans="1:14" x14ac:dyDescent="0.25">
      <c r="A816" s="5">
        <v>815</v>
      </c>
      <c r="B816" s="5">
        <f t="shared" si="61"/>
        <v>0</v>
      </c>
      <c r="C816" s="5" t="str">
        <f t="shared" si="60"/>
        <v/>
      </c>
      <c r="D816" s="5" t="str">
        <f>IFERROR(IF(F816&lt;&gt;"",F816,VLOOKUP(MAX(C$2:C816),A$2:F816,2,FALSE)),"")</f>
        <v/>
      </c>
      <c r="E816" s="5" t="str">
        <f t="shared" si="62"/>
        <v/>
      </c>
      <c r="K816" t="str">
        <f>IFERROR(IF(VLOOKUP(E:E,'Old Report'!E:J,6,FALSE)="","",VLOOKUP(E:E,'Old Report'!E:J,6,FALSE)),"")</f>
        <v/>
      </c>
      <c r="L816" t="str">
        <f>IFERROR(IF(VLOOKUP(E:E,'Old Report'!E:L,8,FALSE)="","",VLOOKUP(E:E,'Old Report'!E:L,8,FALSE)),"")</f>
        <v/>
      </c>
      <c r="M816" s="5" t="str">
        <f t="shared" si="63"/>
        <v/>
      </c>
      <c r="N816" s="5" t="str">
        <f t="shared" si="64"/>
        <v/>
      </c>
    </row>
    <row r="817" spans="1:14" x14ac:dyDescent="0.25">
      <c r="A817" s="5">
        <v>816</v>
      </c>
      <c r="B817" s="5">
        <f t="shared" si="61"/>
        <v>0</v>
      </c>
      <c r="C817" s="5" t="str">
        <f t="shared" si="60"/>
        <v/>
      </c>
      <c r="D817" s="5" t="str">
        <f>IFERROR(IF(F817&lt;&gt;"",F817,VLOOKUP(MAX(C$2:C817),A$2:F817,2,FALSE)),"")</f>
        <v/>
      </c>
      <c r="E817" s="5" t="str">
        <f t="shared" si="62"/>
        <v/>
      </c>
      <c r="K817" t="str">
        <f>IFERROR(IF(VLOOKUP(E:E,'Old Report'!E:J,6,FALSE)="","",VLOOKUP(E:E,'Old Report'!E:J,6,FALSE)),"")</f>
        <v/>
      </c>
      <c r="L817" t="str">
        <f>IFERROR(IF(VLOOKUP(E:E,'Old Report'!E:L,8,FALSE)="","",VLOOKUP(E:E,'Old Report'!E:L,8,FALSE)),"")</f>
        <v/>
      </c>
      <c r="M817" s="5" t="str">
        <f t="shared" si="63"/>
        <v/>
      </c>
      <c r="N817" s="5" t="str">
        <f t="shared" si="64"/>
        <v/>
      </c>
    </row>
    <row r="818" spans="1:14" x14ac:dyDescent="0.25">
      <c r="A818" s="5">
        <v>817</v>
      </c>
      <c r="B818" s="5">
        <f t="shared" si="61"/>
        <v>0</v>
      </c>
      <c r="C818" s="5" t="str">
        <f t="shared" si="60"/>
        <v/>
      </c>
      <c r="D818" s="5" t="str">
        <f>IFERROR(IF(F818&lt;&gt;"",F818,VLOOKUP(MAX(C$2:C818),A$2:F818,2,FALSE)),"")</f>
        <v/>
      </c>
      <c r="E818" s="5" t="str">
        <f t="shared" si="62"/>
        <v/>
      </c>
      <c r="K818" t="str">
        <f>IFERROR(IF(VLOOKUP(E:E,'Old Report'!E:J,6,FALSE)="","",VLOOKUP(E:E,'Old Report'!E:J,6,FALSE)),"")</f>
        <v/>
      </c>
      <c r="L818" t="str">
        <f>IFERROR(IF(VLOOKUP(E:E,'Old Report'!E:L,8,FALSE)="","",VLOOKUP(E:E,'Old Report'!E:L,8,FALSE)),"")</f>
        <v/>
      </c>
      <c r="M818" s="5" t="str">
        <f t="shared" si="63"/>
        <v/>
      </c>
      <c r="N818" s="5" t="str">
        <f t="shared" si="64"/>
        <v/>
      </c>
    </row>
    <row r="819" spans="1:14" x14ac:dyDescent="0.25">
      <c r="A819" s="5">
        <v>818</v>
      </c>
      <c r="B819" s="5">
        <f t="shared" si="61"/>
        <v>0</v>
      </c>
      <c r="C819" s="5" t="str">
        <f t="shared" si="60"/>
        <v/>
      </c>
      <c r="D819" s="5" t="str">
        <f>IFERROR(IF(F819&lt;&gt;"",F819,VLOOKUP(MAX(C$2:C819),A$2:F819,2,FALSE)),"")</f>
        <v/>
      </c>
      <c r="E819" s="5" t="str">
        <f t="shared" si="62"/>
        <v/>
      </c>
      <c r="K819" t="str">
        <f>IFERROR(IF(VLOOKUP(E:E,'Old Report'!E:J,6,FALSE)="","",VLOOKUP(E:E,'Old Report'!E:J,6,FALSE)),"")</f>
        <v/>
      </c>
      <c r="L819" t="str">
        <f>IFERROR(IF(VLOOKUP(E:E,'Old Report'!E:L,8,FALSE)="","",VLOOKUP(E:E,'Old Report'!E:L,8,FALSE)),"")</f>
        <v/>
      </c>
      <c r="M819" s="5" t="str">
        <f t="shared" si="63"/>
        <v/>
      </c>
      <c r="N819" s="5" t="str">
        <f t="shared" si="64"/>
        <v/>
      </c>
    </row>
    <row r="820" spans="1:14" x14ac:dyDescent="0.25">
      <c r="A820" s="5">
        <v>819</v>
      </c>
      <c r="B820" s="5">
        <f t="shared" si="61"/>
        <v>0</v>
      </c>
      <c r="C820" s="5" t="str">
        <f t="shared" si="60"/>
        <v/>
      </c>
      <c r="D820" s="5" t="str">
        <f>IFERROR(IF(F820&lt;&gt;"",F820,VLOOKUP(MAX(C$2:C820),A$2:F820,2,FALSE)),"")</f>
        <v/>
      </c>
      <c r="E820" s="5" t="str">
        <f t="shared" si="62"/>
        <v/>
      </c>
      <c r="K820" t="str">
        <f>IFERROR(IF(VLOOKUP(E:E,'Old Report'!E:J,6,FALSE)="","",VLOOKUP(E:E,'Old Report'!E:J,6,FALSE)),"")</f>
        <v/>
      </c>
      <c r="L820" t="str">
        <f>IFERROR(IF(VLOOKUP(E:E,'Old Report'!E:L,8,FALSE)="","",VLOOKUP(E:E,'Old Report'!E:L,8,FALSE)),"")</f>
        <v/>
      </c>
      <c r="M820" s="5" t="str">
        <f t="shared" si="63"/>
        <v/>
      </c>
      <c r="N820" s="5" t="str">
        <f t="shared" si="64"/>
        <v/>
      </c>
    </row>
    <row r="821" spans="1:14" x14ac:dyDescent="0.25">
      <c r="A821" s="5">
        <v>820</v>
      </c>
      <c r="B821" s="5">
        <f t="shared" si="61"/>
        <v>0</v>
      </c>
      <c r="C821" s="5" t="str">
        <f t="shared" si="60"/>
        <v/>
      </c>
      <c r="D821" s="5" t="str">
        <f>IFERROR(IF(F821&lt;&gt;"",F821,VLOOKUP(MAX(C$2:C821),A$2:F821,2,FALSE)),"")</f>
        <v/>
      </c>
      <c r="E821" s="5" t="str">
        <f t="shared" si="62"/>
        <v/>
      </c>
      <c r="K821" t="str">
        <f>IFERROR(IF(VLOOKUP(E:E,'Old Report'!E:J,6,FALSE)="","",VLOOKUP(E:E,'Old Report'!E:J,6,FALSE)),"")</f>
        <v/>
      </c>
      <c r="L821" t="str">
        <f>IFERROR(IF(VLOOKUP(E:E,'Old Report'!E:L,8,FALSE)="","",VLOOKUP(E:E,'Old Report'!E:L,8,FALSE)),"")</f>
        <v/>
      </c>
      <c r="M821" s="5" t="str">
        <f t="shared" si="63"/>
        <v/>
      </c>
      <c r="N821" s="5" t="str">
        <f t="shared" si="64"/>
        <v/>
      </c>
    </row>
    <row r="822" spans="1:14" x14ac:dyDescent="0.25">
      <c r="A822" s="5">
        <v>821</v>
      </c>
      <c r="B822" s="5">
        <f t="shared" si="61"/>
        <v>0</v>
      </c>
      <c r="C822" s="5" t="str">
        <f t="shared" si="60"/>
        <v/>
      </c>
      <c r="D822" s="5" t="str">
        <f>IFERROR(IF(F822&lt;&gt;"",F822,VLOOKUP(MAX(C$2:C822),A$2:F822,2,FALSE)),"")</f>
        <v/>
      </c>
      <c r="E822" s="5" t="str">
        <f t="shared" si="62"/>
        <v/>
      </c>
      <c r="K822" t="str">
        <f>IFERROR(IF(VLOOKUP(E:E,'Old Report'!E:J,6,FALSE)="","",VLOOKUP(E:E,'Old Report'!E:J,6,FALSE)),"")</f>
        <v/>
      </c>
      <c r="L822" t="str">
        <f>IFERROR(IF(VLOOKUP(E:E,'Old Report'!E:L,8,FALSE)="","",VLOOKUP(E:E,'Old Report'!E:L,8,FALSE)),"")</f>
        <v/>
      </c>
      <c r="M822" s="5" t="str">
        <f t="shared" si="63"/>
        <v/>
      </c>
      <c r="N822" s="5" t="str">
        <f t="shared" si="64"/>
        <v/>
      </c>
    </row>
    <row r="823" spans="1:14" x14ac:dyDescent="0.25">
      <c r="A823" s="5">
        <v>822</v>
      </c>
      <c r="B823" s="5">
        <f t="shared" si="61"/>
        <v>0</v>
      </c>
      <c r="C823" s="5" t="str">
        <f t="shared" si="60"/>
        <v/>
      </c>
      <c r="D823" s="5" t="str">
        <f>IFERROR(IF(F823&lt;&gt;"",F823,VLOOKUP(MAX(C$2:C823),A$2:F823,2,FALSE)),"")</f>
        <v/>
      </c>
      <c r="E823" s="5" t="str">
        <f t="shared" si="62"/>
        <v/>
      </c>
      <c r="K823" t="str">
        <f>IFERROR(IF(VLOOKUP(E:E,'Old Report'!E:J,6,FALSE)="","",VLOOKUP(E:E,'Old Report'!E:J,6,FALSE)),"")</f>
        <v/>
      </c>
      <c r="L823" t="str">
        <f>IFERROR(IF(VLOOKUP(E:E,'Old Report'!E:L,8,FALSE)="","",VLOOKUP(E:E,'Old Report'!E:L,8,FALSE)),"")</f>
        <v/>
      </c>
      <c r="M823" s="5" t="str">
        <f t="shared" si="63"/>
        <v/>
      </c>
      <c r="N823" s="5" t="str">
        <f t="shared" si="64"/>
        <v/>
      </c>
    </row>
    <row r="824" spans="1:14" x14ac:dyDescent="0.25">
      <c r="A824" s="5">
        <v>823</v>
      </c>
      <c r="B824" s="5">
        <f t="shared" si="61"/>
        <v>0</v>
      </c>
      <c r="C824" s="5" t="str">
        <f t="shared" si="60"/>
        <v/>
      </c>
      <c r="D824" s="5" t="str">
        <f>IFERROR(IF(F824&lt;&gt;"",F824,VLOOKUP(MAX(C$2:C824),A$2:F824,2,FALSE)),"")</f>
        <v/>
      </c>
      <c r="E824" s="5" t="str">
        <f t="shared" si="62"/>
        <v/>
      </c>
      <c r="K824" t="str">
        <f>IFERROR(IF(VLOOKUP(E:E,'Old Report'!E:J,6,FALSE)="","",VLOOKUP(E:E,'Old Report'!E:J,6,FALSE)),"")</f>
        <v/>
      </c>
      <c r="L824" t="str">
        <f>IFERROR(IF(VLOOKUP(E:E,'Old Report'!E:L,8,FALSE)="","",VLOOKUP(E:E,'Old Report'!E:L,8,FALSE)),"")</f>
        <v/>
      </c>
      <c r="M824" s="5" t="str">
        <f t="shared" si="63"/>
        <v/>
      </c>
      <c r="N824" s="5" t="str">
        <f t="shared" si="64"/>
        <v/>
      </c>
    </row>
    <row r="825" spans="1:14" x14ac:dyDescent="0.25">
      <c r="A825" s="5">
        <v>824</v>
      </c>
      <c r="B825" s="5">
        <f t="shared" si="61"/>
        <v>0</v>
      </c>
      <c r="C825" s="5" t="str">
        <f t="shared" si="60"/>
        <v/>
      </c>
      <c r="D825" s="5" t="str">
        <f>IFERROR(IF(F825&lt;&gt;"",F825,VLOOKUP(MAX(C$2:C825),A$2:F825,2,FALSE)),"")</f>
        <v/>
      </c>
      <c r="E825" s="5" t="str">
        <f t="shared" si="62"/>
        <v/>
      </c>
      <c r="K825" t="str">
        <f>IFERROR(IF(VLOOKUP(E:E,'Old Report'!E:J,6,FALSE)="","",VLOOKUP(E:E,'Old Report'!E:J,6,FALSE)),"")</f>
        <v/>
      </c>
      <c r="L825" t="str">
        <f>IFERROR(IF(VLOOKUP(E:E,'Old Report'!E:L,8,FALSE)="","",VLOOKUP(E:E,'Old Report'!E:L,8,FALSE)),"")</f>
        <v/>
      </c>
      <c r="M825" s="5" t="str">
        <f t="shared" si="63"/>
        <v/>
      </c>
      <c r="N825" s="5" t="str">
        <f t="shared" si="64"/>
        <v/>
      </c>
    </row>
    <row r="826" spans="1:14" x14ac:dyDescent="0.25">
      <c r="A826" s="5">
        <v>825</v>
      </c>
      <c r="B826" s="5">
        <f t="shared" si="61"/>
        <v>0</v>
      </c>
      <c r="C826" s="5" t="str">
        <f t="shared" si="60"/>
        <v/>
      </c>
      <c r="D826" s="5" t="str">
        <f>IFERROR(IF(F826&lt;&gt;"",F826,VLOOKUP(MAX(C$2:C826),A$2:F826,2,FALSE)),"")</f>
        <v/>
      </c>
      <c r="E826" s="5" t="str">
        <f t="shared" si="62"/>
        <v/>
      </c>
      <c r="K826" t="str">
        <f>IFERROR(IF(VLOOKUP(E:E,'Old Report'!E:J,6,FALSE)="","",VLOOKUP(E:E,'Old Report'!E:J,6,FALSE)),"")</f>
        <v/>
      </c>
      <c r="L826" t="str">
        <f>IFERROR(IF(VLOOKUP(E:E,'Old Report'!E:L,8,FALSE)="","",VLOOKUP(E:E,'Old Report'!E:L,8,FALSE)),"")</f>
        <v/>
      </c>
      <c r="M826" s="5" t="str">
        <f t="shared" si="63"/>
        <v/>
      </c>
      <c r="N826" s="5" t="str">
        <f t="shared" si="64"/>
        <v/>
      </c>
    </row>
    <row r="827" spans="1:14" x14ac:dyDescent="0.25">
      <c r="A827" s="5">
        <v>826</v>
      </c>
      <c r="B827" s="5">
        <f t="shared" si="61"/>
        <v>0</v>
      </c>
      <c r="C827" s="5" t="str">
        <f t="shared" si="60"/>
        <v/>
      </c>
      <c r="D827" s="5" t="str">
        <f>IFERROR(IF(F827&lt;&gt;"",F827,VLOOKUP(MAX(C$2:C827),A$2:F827,2,FALSE)),"")</f>
        <v/>
      </c>
      <c r="E827" s="5" t="str">
        <f t="shared" si="62"/>
        <v/>
      </c>
      <c r="K827" t="str">
        <f>IFERROR(IF(VLOOKUP(E:E,'Old Report'!E:J,6,FALSE)="","",VLOOKUP(E:E,'Old Report'!E:J,6,FALSE)),"")</f>
        <v/>
      </c>
      <c r="L827" t="str">
        <f>IFERROR(IF(VLOOKUP(E:E,'Old Report'!E:L,8,FALSE)="","",VLOOKUP(E:E,'Old Report'!E:L,8,FALSE)),"")</f>
        <v/>
      </c>
      <c r="M827" s="5" t="str">
        <f t="shared" si="63"/>
        <v/>
      </c>
      <c r="N827" s="5" t="str">
        <f t="shared" si="64"/>
        <v/>
      </c>
    </row>
    <row r="828" spans="1:14" x14ac:dyDescent="0.25">
      <c r="A828" s="5">
        <v>827</v>
      </c>
      <c r="B828" s="5">
        <f t="shared" si="61"/>
        <v>0</v>
      </c>
      <c r="C828" s="5" t="str">
        <f t="shared" si="60"/>
        <v/>
      </c>
      <c r="D828" s="5" t="str">
        <f>IFERROR(IF(F828&lt;&gt;"",F828,VLOOKUP(MAX(C$2:C828),A$2:F828,2,FALSE)),"")</f>
        <v/>
      </c>
      <c r="E828" s="5" t="str">
        <f t="shared" si="62"/>
        <v/>
      </c>
      <c r="K828" t="str">
        <f>IFERROR(IF(VLOOKUP(E:E,'Old Report'!E:J,6,FALSE)="","",VLOOKUP(E:E,'Old Report'!E:J,6,FALSE)),"")</f>
        <v/>
      </c>
      <c r="L828" t="str">
        <f>IFERROR(IF(VLOOKUP(E:E,'Old Report'!E:L,8,FALSE)="","",VLOOKUP(E:E,'Old Report'!E:L,8,FALSE)),"")</f>
        <v/>
      </c>
      <c r="M828" s="5" t="str">
        <f t="shared" si="63"/>
        <v/>
      </c>
      <c r="N828" s="5" t="str">
        <f t="shared" si="64"/>
        <v/>
      </c>
    </row>
    <row r="829" spans="1:14" x14ac:dyDescent="0.25">
      <c r="A829" s="5">
        <v>828</v>
      </c>
      <c r="B829" s="5">
        <f t="shared" si="61"/>
        <v>0</v>
      </c>
      <c r="C829" s="5" t="str">
        <f t="shared" si="60"/>
        <v/>
      </c>
      <c r="D829" s="5" t="str">
        <f>IFERROR(IF(F829&lt;&gt;"",F829,VLOOKUP(MAX(C$2:C829),A$2:F829,2,FALSE)),"")</f>
        <v/>
      </c>
      <c r="E829" s="5" t="str">
        <f t="shared" si="62"/>
        <v/>
      </c>
      <c r="K829" t="str">
        <f>IFERROR(IF(VLOOKUP(E:E,'Old Report'!E:J,6,FALSE)="","",VLOOKUP(E:E,'Old Report'!E:J,6,FALSE)),"")</f>
        <v/>
      </c>
      <c r="L829" t="str">
        <f>IFERROR(IF(VLOOKUP(E:E,'Old Report'!E:L,8,FALSE)="","",VLOOKUP(E:E,'Old Report'!E:L,8,FALSE)),"")</f>
        <v/>
      </c>
      <c r="M829" s="5" t="str">
        <f t="shared" si="63"/>
        <v/>
      </c>
      <c r="N829" s="5" t="str">
        <f t="shared" si="64"/>
        <v/>
      </c>
    </row>
    <row r="830" spans="1:14" x14ac:dyDescent="0.25">
      <c r="A830" s="5">
        <v>829</v>
      </c>
      <c r="B830" s="5">
        <f t="shared" si="61"/>
        <v>0</v>
      </c>
      <c r="C830" s="5" t="str">
        <f t="shared" si="60"/>
        <v/>
      </c>
      <c r="D830" s="5" t="str">
        <f>IFERROR(IF(F830&lt;&gt;"",F830,VLOOKUP(MAX(C$2:C830),A$2:F830,2,FALSE)),"")</f>
        <v/>
      </c>
      <c r="E830" s="5" t="str">
        <f t="shared" si="62"/>
        <v/>
      </c>
      <c r="K830" t="str">
        <f>IFERROR(IF(VLOOKUP(E:E,'Old Report'!E:J,6,FALSE)="","",VLOOKUP(E:E,'Old Report'!E:J,6,FALSE)),"")</f>
        <v/>
      </c>
      <c r="L830" t="str">
        <f>IFERROR(IF(VLOOKUP(E:E,'Old Report'!E:L,8,FALSE)="","",VLOOKUP(E:E,'Old Report'!E:L,8,FALSE)),"")</f>
        <v/>
      </c>
      <c r="M830" s="5" t="str">
        <f t="shared" si="63"/>
        <v/>
      </c>
      <c r="N830" s="5" t="str">
        <f t="shared" si="64"/>
        <v/>
      </c>
    </row>
    <row r="831" spans="1:14" x14ac:dyDescent="0.25">
      <c r="A831" s="5">
        <v>830</v>
      </c>
      <c r="B831" s="5">
        <f t="shared" si="61"/>
        <v>0</v>
      </c>
      <c r="C831" s="5" t="str">
        <f t="shared" si="60"/>
        <v/>
      </c>
      <c r="D831" s="5" t="str">
        <f>IFERROR(IF(F831&lt;&gt;"",F831,VLOOKUP(MAX(C$2:C831),A$2:F831,2,FALSE)),"")</f>
        <v/>
      </c>
      <c r="E831" s="5" t="str">
        <f t="shared" si="62"/>
        <v/>
      </c>
      <c r="K831" t="str">
        <f>IFERROR(IF(VLOOKUP(E:E,'Old Report'!E:J,6,FALSE)="","",VLOOKUP(E:E,'Old Report'!E:J,6,FALSE)),"")</f>
        <v/>
      </c>
      <c r="L831" t="str">
        <f>IFERROR(IF(VLOOKUP(E:E,'Old Report'!E:L,8,FALSE)="","",VLOOKUP(E:E,'Old Report'!E:L,8,FALSE)),"")</f>
        <v/>
      </c>
      <c r="M831" s="5" t="str">
        <f t="shared" si="63"/>
        <v/>
      </c>
      <c r="N831" s="5" t="str">
        <f t="shared" si="64"/>
        <v/>
      </c>
    </row>
    <row r="832" spans="1:14" x14ac:dyDescent="0.25">
      <c r="A832" s="5">
        <v>831</v>
      </c>
      <c r="B832" s="5">
        <f t="shared" si="61"/>
        <v>0</v>
      </c>
      <c r="C832" s="5" t="str">
        <f t="shared" si="60"/>
        <v/>
      </c>
      <c r="D832" s="5" t="str">
        <f>IFERROR(IF(F832&lt;&gt;"",F832,VLOOKUP(MAX(C$2:C832),A$2:F832,2,FALSE)),"")</f>
        <v/>
      </c>
      <c r="E832" s="5" t="str">
        <f t="shared" si="62"/>
        <v/>
      </c>
      <c r="K832" t="str">
        <f>IFERROR(IF(VLOOKUP(E:E,'Old Report'!E:J,6,FALSE)="","",VLOOKUP(E:E,'Old Report'!E:J,6,FALSE)),"")</f>
        <v/>
      </c>
      <c r="L832" t="str">
        <f>IFERROR(IF(VLOOKUP(E:E,'Old Report'!E:L,8,FALSE)="","",VLOOKUP(E:E,'Old Report'!E:L,8,FALSE)),"")</f>
        <v/>
      </c>
      <c r="M832" s="5" t="str">
        <f t="shared" si="63"/>
        <v/>
      </c>
      <c r="N832" s="5" t="str">
        <f t="shared" si="64"/>
        <v/>
      </c>
    </row>
    <row r="833" spans="1:14" x14ac:dyDescent="0.25">
      <c r="A833" s="5">
        <v>832</v>
      </c>
      <c r="B833" s="5">
        <f t="shared" si="61"/>
        <v>0</v>
      </c>
      <c r="C833" s="5" t="str">
        <f t="shared" si="60"/>
        <v/>
      </c>
      <c r="D833" s="5" t="str">
        <f>IFERROR(IF(F833&lt;&gt;"",F833,VLOOKUP(MAX(C$2:C833),A$2:F833,2,FALSE)),"")</f>
        <v/>
      </c>
      <c r="E833" s="5" t="str">
        <f t="shared" si="62"/>
        <v/>
      </c>
      <c r="K833" t="str">
        <f>IFERROR(IF(VLOOKUP(E:E,'Old Report'!E:J,6,FALSE)="","",VLOOKUP(E:E,'Old Report'!E:J,6,FALSE)),"")</f>
        <v/>
      </c>
      <c r="L833" t="str">
        <f>IFERROR(IF(VLOOKUP(E:E,'Old Report'!E:L,8,FALSE)="","",VLOOKUP(E:E,'Old Report'!E:L,8,FALSE)),"")</f>
        <v/>
      </c>
      <c r="M833" s="5" t="str">
        <f t="shared" si="63"/>
        <v/>
      </c>
      <c r="N833" s="5" t="str">
        <f t="shared" si="64"/>
        <v/>
      </c>
    </row>
    <row r="834" spans="1:14" x14ac:dyDescent="0.25">
      <c r="A834" s="5">
        <v>833</v>
      </c>
      <c r="B834" s="5">
        <f t="shared" si="61"/>
        <v>0</v>
      </c>
      <c r="C834" s="5" t="str">
        <f t="shared" ref="C834:C897" si="65">IF(F834&lt;&gt;"",A834,"")</f>
        <v/>
      </c>
      <c r="D834" s="5" t="str">
        <f>IFERROR(IF(F834&lt;&gt;"",F834,VLOOKUP(MAX(C$2:C834),A$2:F834,2,FALSE)),"")</f>
        <v/>
      </c>
      <c r="E834" s="5" t="str">
        <f t="shared" si="62"/>
        <v/>
      </c>
      <c r="K834" t="str">
        <f>IFERROR(IF(VLOOKUP(E:E,'Old Report'!E:J,6,FALSE)="","",VLOOKUP(E:E,'Old Report'!E:J,6,FALSE)),"")</f>
        <v/>
      </c>
      <c r="L834" t="str">
        <f>IFERROR(IF(VLOOKUP(E:E,'Old Report'!E:L,8,FALSE)="","",VLOOKUP(E:E,'Old Report'!E:L,8,FALSE)),"")</f>
        <v/>
      </c>
      <c r="M834" s="5" t="str">
        <f t="shared" si="63"/>
        <v/>
      </c>
      <c r="N834" s="5" t="str">
        <f t="shared" si="64"/>
        <v/>
      </c>
    </row>
    <row r="835" spans="1:14" x14ac:dyDescent="0.25">
      <c r="A835" s="5">
        <v>834</v>
      </c>
      <c r="B835" s="5">
        <f t="shared" ref="B835:B898" si="66">IF(F836&lt;&gt;"",F836,F835)</f>
        <v>0</v>
      </c>
      <c r="C835" s="5" t="str">
        <f t="shared" si="65"/>
        <v/>
      </c>
      <c r="D835" s="5" t="str">
        <f>IFERROR(IF(F835&lt;&gt;"",F835,VLOOKUP(MAX(C$2:C835),A$2:F835,2,FALSE)),"")</f>
        <v/>
      </c>
      <c r="E835" s="5" t="str">
        <f t="shared" ref="E835:E898" si="67">IF(H835&lt;&gt;"",CONCATENATE(D835,".",H835),"")</f>
        <v/>
      </c>
      <c r="K835" t="str">
        <f>IFERROR(IF(VLOOKUP(E:E,'Old Report'!E:J,6,FALSE)="","",VLOOKUP(E:E,'Old Report'!E:J,6,FALSE)),"")</f>
        <v/>
      </c>
      <c r="L835" t="str">
        <f>IFERROR(IF(VLOOKUP(E:E,'Old Report'!E:L,8,FALSE)="","",VLOOKUP(E:E,'Old Report'!E:L,8,FALSE)),"")</f>
        <v/>
      </c>
      <c r="M835" s="5" t="str">
        <f t="shared" si="63"/>
        <v/>
      </c>
      <c r="N835" s="5" t="str">
        <f t="shared" si="64"/>
        <v/>
      </c>
    </row>
    <row r="836" spans="1:14" x14ac:dyDescent="0.25">
      <c r="A836" s="5">
        <v>835</v>
      </c>
      <c r="B836" s="5">
        <f t="shared" si="66"/>
        <v>0</v>
      </c>
      <c r="C836" s="5" t="str">
        <f t="shared" si="65"/>
        <v/>
      </c>
      <c r="D836" s="5" t="str">
        <f>IFERROR(IF(F836&lt;&gt;"",F836,VLOOKUP(MAX(C$2:C836),A$2:F836,2,FALSE)),"")</f>
        <v/>
      </c>
      <c r="E836" s="5" t="str">
        <f t="shared" si="67"/>
        <v/>
      </c>
      <c r="K836" t="str">
        <f>IFERROR(IF(VLOOKUP(E:E,'Old Report'!E:J,6,FALSE)="","",VLOOKUP(E:E,'Old Report'!E:J,6,FALSE)),"")</f>
        <v/>
      </c>
      <c r="L836" t="str">
        <f>IFERROR(IF(VLOOKUP(E:E,'Old Report'!E:L,8,FALSE)="","",VLOOKUP(E:E,'Old Report'!E:L,8,FALSE)),"")</f>
        <v/>
      </c>
      <c r="M836" s="5" t="str">
        <f t="shared" ref="M836:M899" si="68">IFERROR(L836,"")</f>
        <v/>
      </c>
      <c r="N836" s="5" t="str">
        <f t="shared" ref="N836:N899" si="69">IFERROR( IF(J836&lt;&gt;"",IF(K836 &lt;&gt; "",IF(J836 = K836,"No Change",IF(J836 &lt; K836,CONCATENATE("Issues reduced from ",K836," to ",J836),IF(J836&gt;K836,CONCATENATE("Issues increased from ",K836," to ",J836),""))),"New issue - needs to be checked"),""),"")</f>
        <v/>
      </c>
    </row>
    <row r="837" spans="1:14" x14ac:dyDescent="0.25">
      <c r="A837" s="5">
        <v>836</v>
      </c>
      <c r="B837" s="5">
        <f t="shared" si="66"/>
        <v>0</v>
      </c>
      <c r="C837" s="5" t="str">
        <f t="shared" si="65"/>
        <v/>
      </c>
      <c r="D837" s="5" t="str">
        <f>IFERROR(IF(F837&lt;&gt;"",F837,VLOOKUP(MAX(C$2:C837),A$2:F837,2,FALSE)),"")</f>
        <v/>
      </c>
      <c r="E837" s="5" t="str">
        <f t="shared" si="67"/>
        <v/>
      </c>
      <c r="K837" t="str">
        <f>IFERROR(IF(VLOOKUP(E:E,'Old Report'!E:J,6,FALSE)="","",VLOOKUP(E:E,'Old Report'!E:J,6,FALSE)),"")</f>
        <v/>
      </c>
      <c r="L837" t="str">
        <f>IFERROR(IF(VLOOKUP(E:E,'Old Report'!E:L,8,FALSE)="","",VLOOKUP(E:E,'Old Report'!E:L,8,FALSE)),"")</f>
        <v/>
      </c>
      <c r="M837" s="5" t="str">
        <f t="shared" si="68"/>
        <v/>
      </c>
      <c r="N837" s="5" t="str">
        <f t="shared" si="69"/>
        <v/>
      </c>
    </row>
    <row r="838" spans="1:14" x14ac:dyDescent="0.25">
      <c r="A838" s="5">
        <v>837</v>
      </c>
      <c r="B838" s="5">
        <f t="shared" si="66"/>
        <v>0</v>
      </c>
      <c r="C838" s="5" t="str">
        <f t="shared" si="65"/>
        <v/>
      </c>
      <c r="D838" s="5" t="str">
        <f>IFERROR(IF(F838&lt;&gt;"",F838,VLOOKUP(MAX(C$2:C838),A$2:F838,2,FALSE)),"")</f>
        <v/>
      </c>
      <c r="E838" s="5" t="str">
        <f t="shared" si="67"/>
        <v/>
      </c>
      <c r="K838" t="str">
        <f>IFERROR(IF(VLOOKUP(E:E,'Old Report'!E:J,6,FALSE)="","",VLOOKUP(E:E,'Old Report'!E:J,6,FALSE)),"")</f>
        <v/>
      </c>
      <c r="L838" t="str">
        <f>IFERROR(IF(VLOOKUP(E:E,'Old Report'!E:L,8,FALSE)="","",VLOOKUP(E:E,'Old Report'!E:L,8,FALSE)),"")</f>
        <v/>
      </c>
      <c r="M838" s="5" t="str">
        <f t="shared" si="68"/>
        <v/>
      </c>
      <c r="N838" s="5" t="str">
        <f t="shared" si="69"/>
        <v/>
      </c>
    </row>
    <row r="839" spans="1:14" x14ac:dyDescent="0.25">
      <c r="A839" s="5">
        <v>838</v>
      </c>
      <c r="B839" s="5">
        <f t="shared" si="66"/>
        <v>0</v>
      </c>
      <c r="C839" s="5" t="str">
        <f t="shared" si="65"/>
        <v/>
      </c>
      <c r="D839" s="5" t="str">
        <f>IFERROR(IF(F839&lt;&gt;"",F839,VLOOKUP(MAX(C$2:C839),A$2:F839,2,FALSE)),"")</f>
        <v/>
      </c>
      <c r="E839" s="5" t="str">
        <f t="shared" si="67"/>
        <v/>
      </c>
      <c r="K839" t="str">
        <f>IFERROR(IF(VLOOKUP(E:E,'Old Report'!E:J,6,FALSE)="","",VLOOKUP(E:E,'Old Report'!E:J,6,FALSE)),"")</f>
        <v/>
      </c>
      <c r="L839" t="str">
        <f>IFERROR(IF(VLOOKUP(E:E,'Old Report'!E:L,8,FALSE)="","",VLOOKUP(E:E,'Old Report'!E:L,8,FALSE)),"")</f>
        <v/>
      </c>
      <c r="M839" s="5" t="str">
        <f t="shared" si="68"/>
        <v/>
      </c>
      <c r="N839" s="5" t="str">
        <f t="shared" si="69"/>
        <v/>
      </c>
    </row>
    <row r="840" spans="1:14" x14ac:dyDescent="0.25">
      <c r="A840" s="5">
        <v>839</v>
      </c>
      <c r="B840" s="5">
        <f t="shared" si="66"/>
        <v>0</v>
      </c>
      <c r="C840" s="5" t="str">
        <f t="shared" si="65"/>
        <v/>
      </c>
      <c r="D840" s="5" t="str">
        <f>IFERROR(IF(F840&lt;&gt;"",F840,VLOOKUP(MAX(C$2:C840),A$2:F840,2,FALSE)),"")</f>
        <v/>
      </c>
      <c r="E840" s="5" t="str">
        <f t="shared" si="67"/>
        <v/>
      </c>
      <c r="K840" t="str">
        <f>IFERROR(IF(VLOOKUP(E:E,'Old Report'!E:J,6,FALSE)="","",VLOOKUP(E:E,'Old Report'!E:J,6,FALSE)),"")</f>
        <v/>
      </c>
      <c r="L840" t="str">
        <f>IFERROR(IF(VLOOKUP(E:E,'Old Report'!E:L,8,FALSE)="","",VLOOKUP(E:E,'Old Report'!E:L,8,FALSE)),"")</f>
        <v/>
      </c>
      <c r="M840" s="5" t="str">
        <f t="shared" si="68"/>
        <v/>
      </c>
      <c r="N840" s="5" t="str">
        <f t="shared" si="69"/>
        <v/>
      </c>
    </row>
    <row r="841" spans="1:14" x14ac:dyDescent="0.25">
      <c r="A841" s="5">
        <v>840</v>
      </c>
      <c r="B841" s="5">
        <f t="shared" si="66"/>
        <v>0</v>
      </c>
      <c r="C841" s="5" t="str">
        <f t="shared" si="65"/>
        <v/>
      </c>
      <c r="D841" s="5" t="str">
        <f>IFERROR(IF(F841&lt;&gt;"",F841,VLOOKUP(MAX(C$2:C841),A$2:F841,2,FALSE)),"")</f>
        <v/>
      </c>
      <c r="E841" s="5" t="str">
        <f t="shared" si="67"/>
        <v/>
      </c>
      <c r="K841" t="str">
        <f>IFERROR(IF(VLOOKUP(E:E,'Old Report'!E:J,6,FALSE)="","",VLOOKUP(E:E,'Old Report'!E:J,6,FALSE)),"")</f>
        <v/>
      </c>
      <c r="L841" t="str">
        <f>IFERROR(IF(VLOOKUP(E:E,'Old Report'!E:L,8,FALSE)="","",VLOOKUP(E:E,'Old Report'!E:L,8,FALSE)),"")</f>
        <v/>
      </c>
      <c r="M841" s="5" t="str">
        <f t="shared" si="68"/>
        <v/>
      </c>
      <c r="N841" s="5" t="str">
        <f t="shared" si="69"/>
        <v/>
      </c>
    </row>
    <row r="842" spans="1:14" x14ac:dyDescent="0.25">
      <c r="A842" s="5">
        <v>841</v>
      </c>
      <c r="B842" s="5">
        <f t="shared" si="66"/>
        <v>0</v>
      </c>
      <c r="C842" s="5" t="str">
        <f t="shared" si="65"/>
        <v/>
      </c>
      <c r="D842" s="5" t="str">
        <f>IFERROR(IF(F842&lt;&gt;"",F842,VLOOKUP(MAX(C$2:C842),A$2:F842,2,FALSE)),"")</f>
        <v/>
      </c>
      <c r="E842" s="5" t="str">
        <f t="shared" si="67"/>
        <v/>
      </c>
      <c r="K842" t="str">
        <f>IFERROR(IF(VLOOKUP(E:E,'Old Report'!E:J,6,FALSE)="","",VLOOKUP(E:E,'Old Report'!E:J,6,FALSE)),"")</f>
        <v/>
      </c>
      <c r="L842" t="str">
        <f>IFERROR(IF(VLOOKUP(E:E,'Old Report'!E:L,8,FALSE)="","",VLOOKUP(E:E,'Old Report'!E:L,8,FALSE)),"")</f>
        <v/>
      </c>
      <c r="M842" s="5" t="str">
        <f t="shared" si="68"/>
        <v/>
      </c>
      <c r="N842" s="5" t="str">
        <f t="shared" si="69"/>
        <v/>
      </c>
    </row>
    <row r="843" spans="1:14" x14ac:dyDescent="0.25">
      <c r="A843" s="5">
        <v>842</v>
      </c>
      <c r="B843" s="5">
        <f t="shared" si="66"/>
        <v>0</v>
      </c>
      <c r="C843" s="5" t="str">
        <f t="shared" si="65"/>
        <v/>
      </c>
      <c r="D843" s="5" t="str">
        <f>IFERROR(IF(F843&lt;&gt;"",F843,VLOOKUP(MAX(C$2:C843),A$2:F843,2,FALSE)),"")</f>
        <v/>
      </c>
      <c r="E843" s="5" t="str">
        <f t="shared" si="67"/>
        <v/>
      </c>
      <c r="K843" t="str">
        <f>IFERROR(IF(VLOOKUP(E:E,'Old Report'!E:J,6,FALSE)="","",VLOOKUP(E:E,'Old Report'!E:J,6,FALSE)),"")</f>
        <v/>
      </c>
      <c r="L843" t="str">
        <f>IFERROR(IF(VLOOKUP(E:E,'Old Report'!E:L,8,FALSE)="","",VLOOKUP(E:E,'Old Report'!E:L,8,FALSE)),"")</f>
        <v/>
      </c>
      <c r="M843" s="5" t="str">
        <f t="shared" si="68"/>
        <v/>
      </c>
      <c r="N843" s="5" t="str">
        <f t="shared" si="69"/>
        <v/>
      </c>
    </row>
    <row r="844" spans="1:14" x14ac:dyDescent="0.25">
      <c r="A844" s="5">
        <v>843</v>
      </c>
      <c r="B844" s="5">
        <f t="shared" si="66"/>
        <v>0</v>
      </c>
      <c r="C844" s="5" t="str">
        <f t="shared" si="65"/>
        <v/>
      </c>
      <c r="D844" s="5" t="str">
        <f>IFERROR(IF(F844&lt;&gt;"",F844,VLOOKUP(MAX(C$2:C844),A$2:F844,2,FALSE)),"")</f>
        <v/>
      </c>
      <c r="E844" s="5" t="str">
        <f t="shared" si="67"/>
        <v/>
      </c>
      <c r="K844" t="str">
        <f>IFERROR(IF(VLOOKUP(E:E,'Old Report'!E:J,6,FALSE)="","",VLOOKUP(E:E,'Old Report'!E:J,6,FALSE)),"")</f>
        <v/>
      </c>
      <c r="L844" t="str">
        <f>IFERROR(IF(VLOOKUP(E:E,'Old Report'!E:L,8,FALSE)="","",VLOOKUP(E:E,'Old Report'!E:L,8,FALSE)),"")</f>
        <v/>
      </c>
      <c r="M844" s="5" t="str">
        <f t="shared" si="68"/>
        <v/>
      </c>
      <c r="N844" s="5" t="str">
        <f t="shared" si="69"/>
        <v/>
      </c>
    </row>
    <row r="845" spans="1:14" x14ac:dyDescent="0.25">
      <c r="A845" s="5">
        <v>844</v>
      </c>
      <c r="B845" s="5">
        <f t="shared" si="66"/>
        <v>0</v>
      </c>
      <c r="C845" s="5" t="str">
        <f t="shared" si="65"/>
        <v/>
      </c>
      <c r="D845" s="5" t="str">
        <f>IFERROR(IF(F845&lt;&gt;"",F845,VLOOKUP(MAX(C$2:C845),A$2:F845,2,FALSE)),"")</f>
        <v/>
      </c>
      <c r="E845" s="5" t="str">
        <f t="shared" si="67"/>
        <v/>
      </c>
      <c r="K845" t="str">
        <f>IFERROR(IF(VLOOKUP(E:E,'Old Report'!E:J,6,FALSE)="","",VLOOKUP(E:E,'Old Report'!E:J,6,FALSE)),"")</f>
        <v/>
      </c>
      <c r="L845" t="str">
        <f>IFERROR(IF(VLOOKUP(E:E,'Old Report'!E:L,8,FALSE)="","",VLOOKUP(E:E,'Old Report'!E:L,8,FALSE)),"")</f>
        <v/>
      </c>
      <c r="M845" s="5" t="str">
        <f t="shared" si="68"/>
        <v/>
      </c>
      <c r="N845" s="5" t="str">
        <f t="shared" si="69"/>
        <v/>
      </c>
    </row>
    <row r="846" spans="1:14" x14ac:dyDescent="0.25">
      <c r="A846" s="5">
        <v>845</v>
      </c>
      <c r="B846" s="5">
        <f t="shared" si="66"/>
        <v>0</v>
      </c>
      <c r="C846" s="5" t="str">
        <f t="shared" si="65"/>
        <v/>
      </c>
      <c r="D846" s="5" t="str">
        <f>IFERROR(IF(F846&lt;&gt;"",F846,VLOOKUP(MAX(C$2:C846),A$2:F846,2,FALSE)),"")</f>
        <v/>
      </c>
      <c r="E846" s="5" t="str">
        <f t="shared" si="67"/>
        <v/>
      </c>
      <c r="K846" t="str">
        <f>IFERROR(IF(VLOOKUP(E:E,'Old Report'!E:J,6,FALSE)="","",VLOOKUP(E:E,'Old Report'!E:J,6,FALSE)),"")</f>
        <v/>
      </c>
      <c r="L846" t="str">
        <f>IFERROR(IF(VLOOKUP(E:E,'Old Report'!E:L,8,FALSE)="","",VLOOKUP(E:E,'Old Report'!E:L,8,FALSE)),"")</f>
        <v/>
      </c>
      <c r="M846" s="5" t="str">
        <f t="shared" si="68"/>
        <v/>
      </c>
      <c r="N846" s="5" t="str">
        <f t="shared" si="69"/>
        <v/>
      </c>
    </row>
    <row r="847" spans="1:14" x14ac:dyDescent="0.25">
      <c r="A847" s="5">
        <v>846</v>
      </c>
      <c r="B847" s="5">
        <f t="shared" si="66"/>
        <v>0</v>
      </c>
      <c r="C847" s="5" t="str">
        <f t="shared" si="65"/>
        <v/>
      </c>
      <c r="D847" s="5" t="str">
        <f>IFERROR(IF(F847&lt;&gt;"",F847,VLOOKUP(MAX(C$2:C847),A$2:F847,2,FALSE)),"")</f>
        <v/>
      </c>
      <c r="E847" s="5" t="str">
        <f t="shared" si="67"/>
        <v/>
      </c>
      <c r="K847" t="str">
        <f>IFERROR(IF(VLOOKUP(E:E,'Old Report'!E:J,6,FALSE)="","",VLOOKUP(E:E,'Old Report'!E:J,6,FALSE)),"")</f>
        <v/>
      </c>
      <c r="L847" t="str">
        <f>IFERROR(IF(VLOOKUP(E:E,'Old Report'!E:L,8,FALSE)="","",VLOOKUP(E:E,'Old Report'!E:L,8,FALSE)),"")</f>
        <v/>
      </c>
      <c r="M847" s="5" t="str">
        <f t="shared" si="68"/>
        <v/>
      </c>
      <c r="N847" s="5" t="str">
        <f t="shared" si="69"/>
        <v/>
      </c>
    </row>
    <row r="848" spans="1:14" x14ac:dyDescent="0.25">
      <c r="A848" s="5">
        <v>847</v>
      </c>
      <c r="B848" s="5">
        <f t="shared" si="66"/>
        <v>0</v>
      </c>
      <c r="C848" s="5" t="str">
        <f t="shared" si="65"/>
        <v/>
      </c>
      <c r="D848" s="5" t="str">
        <f>IFERROR(IF(F848&lt;&gt;"",F848,VLOOKUP(MAX(C$2:C848),A$2:F848,2,FALSE)),"")</f>
        <v/>
      </c>
      <c r="E848" s="5" t="str">
        <f t="shared" si="67"/>
        <v/>
      </c>
      <c r="K848" t="str">
        <f>IFERROR(IF(VLOOKUP(E:E,'Old Report'!E:J,6,FALSE)="","",VLOOKUP(E:E,'Old Report'!E:J,6,FALSE)),"")</f>
        <v/>
      </c>
      <c r="L848" t="str">
        <f>IFERROR(IF(VLOOKUP(E:E,'Old Report'!E:L,8,FALSE)="","",VLOOKUP(E:E,'Old Report'!E:L,8,FALSE)),"")</f>
        <v/>
      </c>
      <c r="M848" s="5" t="str">
        <f t="shared" si="68"/>
        <v/>
      </c>
      <c r="N848" s="5" t="str">
        <f t="shared" si="69"/>
        <v/>
      </c>
    </row>
    <row r="849" spans="1:14" x14ac:dyDescent="0.25">
      <c r="A849" s="5">
        <v>848</v>
      </c>
      <c r="B849" s="5">
        <f t="shared" si="66"/>
        <v>0</v>
      </c>
      <c r="C849" s="5" t="str">
        <f t="shared" si="65"/>
        <v/>
      </c>
      <c r="D849" s="5" t="str">
        <f>IFERROR(IF(F849&lt;&gt;"",F849,VLOOKUP(MAX(C$2:C849),A$2:F849,2,FALSE)),"")</f>
        <v/>
      </c>
      <c r="E849" s="5" t="str">
        <f t="shared" si="67"/>
        <v/>
      </c>
      <c r="K849" t="str">
        <f>IFERROR(IF(VLOOKUP(E:E,'Old Report'!E:J,6,FALSE)="","",VLOOKUP(E:E,'Old Report'!E:J,6,FALSE)),"")</f>
        <v/>
      </c>
      <c r="L849" t="str">
        <f>IFERROR(IF(VLOOKUP(E:E,'Old Report'!E:L,8,FALSE)="","",VLOOKUP(E:E,'Old Report'!E:L,8,FALSE)),"")</f>
        <v/>
      </c>
      <c r="M849" s="5" t="str">
        <f t="shared" si="68"/>
        <v/>
      </c>
      <c r="N849" s="5" t="str">
        <f t="shared" si="69"/>
        <v/>
      </c>
    </row>
    <row r="850" spans="1:14" x14ac:dyDescent="0.25">
      <c r="A850" s="5">
        <v>849</v>
      </c>
      <c r="B850" s="5">
        <f t="shared" si="66"/>
        <v>0</v>
      </c>
      <c r="C850" s="5" t="str">
        <f t="shared" si="65"/>
        <v/>
      </c>
      <c r="D850" s="5" t="str">
        <f>IFERROR(IF(F850&lt;&gt;"",F850,VLOOKUP(MAX(C$2:C850),A$2:F850,2,FALSE)),"")</f>
        <v/>
      </c>
      <c r="E850" s="5" t="str">
        <f t="shared" si="67"/>
        <v/>
      </c>
      <c r="K850" t="str">
        <f>IFERROR(IF(VLOOKUP(E:E,'Old Report'!E:J,6,FALSE)="","",VLOOKUP(E:E,'Old Report'!E:J,6,FALSE)),"")</f>
        <v/>
      </c>
      <c r="L850" t="str">
        <f>IFERROR(IF(VLOOKUP(E:E,'Old Report'!E:L,8,FALSE)="","",VLOOKUP(E:E,'Old Report'!E:L,8,FALSE)),"")</f>
        <v/>
      </c>
      <c r="M850" s="5" t="str">
        <f t="shared" si="68"/>
        <v/>
      </c>
      <c r="N850" s="5" t="str">
        <f t="shared" si="69"/>
        <v/>
      </c>
    </row>
    <row r="851" spans="1:14" x14ac:dyDescent="0.25">
      <c r="A851" s="5">
        <v>850</v>
      </c>
      <c r="B851" s="5">
        <f t="shared" si="66"/>
        <v>0</v>
      </c>
      <c r="C851" s="5" t="str">
        <f t="shared" si="65"/>
        <v/>
      </c>
      <c r="D851" s="5" t="str">
        <f>IFERROR(IF(F851&lt;&gt;"",F851,VLOOKUP(MAX(C$2:C851),A$2:F851,2,FALSE)),"")</f>
        <v/>
      </c>
      <c r="E851" s="5" t="str">
        <f t="shared" si="67"/>
        <v/>
      </c>
      <c r="K851" t="str">
        <f>IFERROR(IF(VLOOKUP(E:E,'Old Report'!E:J,6,FALSE)="","",VLOOKUP(E:E,'Old Report'!E:J,6,FALSE)),"")</f>
        <v/>
      </c>
      <c r="L851" t="str">
        <f>IFERROR(IF(VLOOKUP(E:E,'Old Report'!E:L,8,FALSE)="","",VLOOKUP(E:E,'Old Report'!E:L,8,FALSE)),"")</f>
        <v/>
      </c>
      <c r="M851" s="5" t="str">
        <f t="shared" si="68"/>
        <v/>
      </c>
      <c r="N851" s="5" t="str">
        <f t="shared" si="69"/>
        <v/>
      </c>
    </row>
    <row r="852" spans="1:14" x14ac:dyDescent="0.25">
      <c r="A852" s="5">
        <v>851</v>
      </c>
      <c r="B852" s="5">
        <f t="shared" si="66"/>
        <v>0</v>
      </c>
      <c r="C852" s="5" t="str">
        <f t="shared" si="65"/>
        <v/>
      </c>
      <c r="D852" s="5" t="str">
        <f>IFERROR(IF(F852&lt;&gt;"",F852,VLOOKUP(MAX(C$2:C852),A$2:F852,2,FALSE)),"")</f>
        <v/>
      </c>
      <c r="E852" s="5" t="str">
        <f t="shared" si="67"/>
        <v/>
      </c>
      <c r="K852" t="str">
        <f>IFERROR(IF(VLOOKUP(E:E,'Old Report'!E:J,6,FALSE)="","",VLOOKUP(E:E,'Old Report'!E:J,6,FALSE)),"")</f>
        <v/>
      </c>
      <c r="L852" t="str">
        <f>IFERROR(IF(VLOOKUP(E:E,'Old Report'!E:L,8,FALSE)="","",VLOOKUP(E:E,'Old Report'!E:L,8,FALSE)),"")</f>
        <v/>
      </c>
      <c r="M852" s="5" t="str">
        <f t="shared" si="68"/>
        <v/>
      </c>
      <c r="N852" s="5" t="str">
        <f t="shared" si="69"/>
        <v/>
      </c>
    </row>
    <row r="853" spans="1:14" x14ac:dyDescent="0.25">
      <c r="A853" s="5">
        <v>852</v>
      </c>
      <c r="B853" s="5">
        <f t="shared" si="66"/>
        <v>0</v>
      </c>
      <c r="C853" s="5" t="str">
        <f t="shared" si="65"/>
        <v/>
      </c>
      <c r="D853" s="5" t="str">
        <f>IFERROR(IF(F853&lt;&gt;"",F853,VLOOKUP(MAX(C$2:C853),A$2:F853,2,FALSE)),"")</f>
        <v/>
      </c>
      <c r="E853" s="5" t="str">
        <f t="shared" si="67"/>
        <v/>
      </c>
      <c r="K853" t="str">
        <f>IFERROR(IF(VLOOKUP(E:E,'Old Report'!E:J,6,FALSE)="","",VLOOKUP(E:E,'Old Report'!E:J,6,FALSE)),"")</f>
        <v/>
      </c>
      <c r="L853" t="str">
        <f>IFERROR(IF(VLOOKUP(E:E,'Old Report'!E:L,8,FALSE)="","",VLOOKUP(E:E,'Old Report'!E:L,8,FALSE)),"")</f>
        <v/>
      </c>
      <c r="M853" s="5" t="str">
        <f t="shared" si="68"/>
        <v/>
      </c>
      <c r="N853" s="5" t="str">
        <f t="shared" si="69"/>
        <v/>
      </c>
    </row>
    <row r="854" spans="1:14" x14ac:dyDescent="0.25">
      <c r="A854" s="5">
        <v>853</v>
      </c>
      <c r="B854" s="5">
        <f t="shared" si="66"/>
        <v>0</v>
      </c>
      <c r="C854" s="5" t="str">
        <f t="shared" si="65"/>
        <v/>
      </c>
      <c r="D854" s="5" t="str">
        <f>IFERROR(IF(F854&lt;&gt;"",F854,VLOOKUP(MAX(C$2:C854),A$2:F854,2,FALSE)),"")</f>
        <v/>
      </c>
      <c r="E854" s="5" t="str">
        <f t="shared" si="67"/>
        <v/>
      </c>
      <c r="K854" t="str">
        <f>IFERROR(IF(VLOOKUP(E:E,'Old Report'!E:J,6,FALSE)="","",VLOOKUP(E:E,'Old Report'!E:J,6,FALSE)),"")</f>
        <v/>
      </c>
      <c r="L854" t="str">
        <f>IFERROR(IF(VLOOKUP(E:E,'Old Report'!E:L,8,FALSE)="","",VLOOKUP(E:E,'Old Report'!E:L,8,FALSE)),"")</f>
        <v/>
      </c>
      <c r="M854" s="5" t="str">
        <f t="shared" si="68"/>
        <v/>
      </c>
      <c r="N854" s="5" t="str">
        <f t="shared" si="69"/>
        <v/>
      </c>
    </row>
    <row r="855" spans="1:14" x14ac:dyDescent="0.25">
      <c r="A855" s="5">
        <v>854</v>
      </c>
      <c r="B855" s="5">
        <f t="shared" si="66"/>
        <v>0</v>
      </c>
      <c r="C855" s="5" t="str">
        <f t="shared" si="65"/>
        <v/>
      </c>
      <c r="D855" s="5" t="str">
        <f>IFERROR(IF(F855&lt;&gt;"",F855,VLOOKUP(MAX(C$2:C855),A$2:F855,2,FALSE)),"")</f>
        <v/>
      </c>
      <c r="E855" s="5" t="str">
        <f t="shared" si="67"/>
        <v/>
      </c>
      <c r="K855" t="str">
        <f>IFERROR(IF(VLOOKUP(E:E,'Old Report'!E:J,6,FALSE)="","",VLOOKUP(E:E,'Old Report'!E:J,6,FALSE)),"")</f>
        <v/>
      </c>
      <c r="L855" t="str">
        <f>IFERROR(IF(VLOOKUP(E:E,'Old Report'!E:L,8,FALSE)="","",VLOOKUP(E:E,'Old Report'!E:L,8,FALSE)),"")</f>
        <v/>
      </c>
      <c r="M855" s="5" t="str">
        <f t="shared" si="68"/>
        <v/>
      </c>
      <c r="N855" s="5" t="str">
        <f t="shared" si="69"/>
        <v/>
      </c>
    </row>
    <row r="856" spans="1:14" x14ac:dyDescent="0.25">
      <c r="A856" s="5">
        <v>855</v>
      </c>
      <c r="B856" s="5">
        <f t="shared" si="66"/>
        <v>0</v>
      </c>
      <c r="C856" s="5" t="str">
        <f t="shared" si="65"/>
        <v/>
      </c>
      <c r="D856" s="5" t="str">
        <f>IFERROR(IF(F856&lt;&gt;"",F856,VLOOKUP(MAX(C$2:C856),A$2:F856,2,FALSE)),"")</f>
        <v/>
      </c>
      <c r="E856" s="5" t="str">
        <f t="shared" si="67"/>
        <v/>
      </c>
      <c r="K856" t="str">
        <f>IFERROR(IF(VLOOKUP(E:E,'Old Report'!E:J,6,FALSE)="","",VLOOKUP(E:E,'Old Report'!E:J,6,FALSE)),"")</f>
        <v/>
      </c>
      <c r="L856" t="str">
        <f>IFERROR(IF(VLOOKUP(E:E,'Old Report'!E:L,8,FALSE)="","",VLOOKUP(E:E,'Old Report'!E:L,8,FALSE)),"")</f>
        <v/>
      </c>
      <c r="M856" s="5" t="str">
        <f t="shared" si="68"/>
        <v/>
      </c>
      <c r="N856" s="5" t="str">
        <f t="shared" si="69"/>
        <v/>
      </c>
    </row>
    <row r="857" spans="1:14" x14ac:dyDescent="0.25">
      <c r="A857" s="5">
        <v>856</v>
      </c>
      <c r="B857" s="5">
        <f t="shared" si="66"/>
        <v>0</v>
      </c>
      <c r="C857" s="5" t="str">
        <f t="shared" si="65"/>
        <v/>
      </c>
      <c r="D857" s="5" t="str">
        <f>IFERROR(IF(F857&lt;&gt;"",F857,VLOOKUP(MAX(C$2:C857),A$2:F857,2,FALSE)),"")</f>
        <v/>
      </c>
      <c r="E857" s="5" t="str">
        <f t="shared" si="67"/>
        <v/>
      </c>
      <c r="K857" t="str">
        <f>IFERROR(IF(VLOOKUP(E:E,'Old Report'!E:J,6,FALSE)="","",VLOOKUP(E:E,'Old Report'!E:J,6,FALSE)),"")</f>
        <v/>
      </c>
      <c r="L857" t="str">
        <f>IFERROR(IF(VLOOKUP(E:E,'Old Report'!E:L,8,FALSE)="","",VLOOKUP(E:E,'Old Report'!E:L,8,FALSE)),"")</f>
        <v/>
      </c>
      <c r="M857" s="5" t="str">
        <f t="shared" si="68"/>
        <v/>
      </c>
      <c r="N857" s="5" t="str">
        <f t="shared" si="69"/>
        <v/>
      </c>
    </row>
    <row r="858" spans="1:14" x14ac:dyDescent="0.25">
      <c r="A858" s="5">
        <v>857</v>
      </c>
      <c r="B858" s="5">
        <f t="shared" si="66"/>
        <v>0</v>
      </c>
      <c r="C858" s="5" t="str">
        <f t="shared" si="65"/>
        <v/>
      </c>
      <c r="D858" s="5" t="str">
        <f>IFERROR(IF(F858&lt;&gt;"",F858,VLOOKUP(MAX(C$2:C858),A$2:F858,2,FALSE)),"")</f>
        <v/>
      </c>
      <c r="E858" s="5" t="str">
        <f t="shared" si="67"/>
        <v/>
      </c>
      <c r="K858" t="str">
        <f>IFERROR(IF(VLOOKUP(E:E,'Old Report'!E:J,6,FALSE)="","",VLOOKUP(E:E,'Old Report'!E:J,6,FALSE)),"")</f>
        <v/>
      </c>
      <c r="L858" t="str">
        <f>IFERROR(IF(VLOOKUP(E:E,'Old Report'!E:L,8,FALSE)="","",VLOOKUP(E:E,'Old Report'!E:L,8,FALSE)),"")</f>
        <v/>
      </c>
      <c r="M858" s="5" t="str">
        <f t="shared" si="68"/>
        <v/>
      </c>
      <c r="N858" s="5" t="str">
        <f t="shared" si="69"/>
        <v/>
      </c>
    </row>
    <row r="859" spans="1:14" x14ac:dyDescent="0.25">
      <c r="A859" s="5">
        <v>858</v>
      </c>
      <c r="B859" s="5">
        <f t="shared" si="66"/>
        <v>0</v>
      </c>
      <c r="C859" s="5" t="str">
        <f t="shared" si="65"/>
        <v/>
      </c>
      <c r="D859" s="5" t="str">
        <f>IFERROR(IF(F859&lt;&gt;"",F859,VLOOKUP(MAX(C$2:C859),A$2:F859,2,FALSE)),"")</f>
        <v/>
      </c>
      <c r="E859" s="5" t="str">
        <f t="shared" si="67"/>
        <v/>
      </c>
      <c r="K859" t="str">
        <f>IFERROR(IF(VLOOKUP(E:E,'Old Report'!E:J,6,FALSE)="","",VLOOKUP(E:E,'Old Report'!E:J,6,FALSE)),"")</f>
        <v/>
      </c>
      <c r="L859" t="str">
        <f>IFERROR(IF(VLOOKUP(E:E,'Old Report'!E:L,8,FALSE)="","",VLOOKUP(E:E,'Old Report'!E:L,8,FALSE)),"")</f>
        <v/>
      </c>
      <c r="M859" s="5" t="str">
        <f t="shared" si="68"/>
        <v/>
      </c>
      <c r="N859" s="5" t="str">
        <f t="shared" si="69"/>
        <v/>
      </c>
    </row>
    <row r="860" spans="1:14" x14ac:dyDescent="0.25">
      <c r="A860" s="5">
        <v>859</v>
      </c>
      <c r="B860" s="5">
        <f t="shared" si="66"/>
        <v>0</v>
      </c>
      <c r="C860" s="5" t="str">
        <f t="shared" si="65"/>
        <v/>
      </c>
      <c r="D860" s="5" t="str">
        <f>IFERROR(IF(F860&lt;&gt;"",F860,VLOOKUP(MAX(C$2:C860),A$2:F860,2,FALSE)),"")</f>
        <v/>
      </c>
      <c r="E860" s="5" t="str">
        <f t="shared" si="67"/>
        <v/>
      </c>
      <c r="K860" t="str">
        <f>IFERROR(IF(VLOOKUP(E:E,'Old Report'!E:J,6,FALSE)="","",VLOOKUP(E:E,'Old Report'!E:J,6,FALSE)),"")</f>
        <v/>
      </c>
      <c r="L860" t="str">
        <f>IFERROR(IF(VLOOKUP(E:E,'Old Report'!E:L,8,FALSE)="","",VLOOKUP(E:E,'Old Report'!E:L,8,FALSE)),"")</f>
        <v/>
      </c>
      <c r="M860" s="5" t="str">
        <f t="shared" si="68"/>
        <v/>
      </c>
      <c r="N860" s="5" t="str">
        <f t="shared" si="69"/>
        <v/>
      </c>
    </row>
    <row r="861" spans="1:14" x14ac:dyDescent="0.25">
      <c r="A861" s="5">
        <v>860</v>
      </c>
      <c r="B861" s="5">
        <f t="shared" si="66"/>
        <v>0</v>
      </c>
      <c r="C861" s="5" t="str">
        <f t="shared" si="65"/>
        <v/>
      </c>
      <c r="D861" s="5" t="str">
        <f>IFERROR(IF(F861&lt;&gt;"",F861,VLOOKUP(MAX(C$2:C861),A$2:F861,2,FALSE)),"")</f>
        <v/>
      </c>
      <c r="E861" s="5" t="str">
        <f t="shared" si="67"/>
        <v/>
      </c>
      <c r="K861" t="str">
        <f>IFERROR(IF(VLOOKUP(E:E,'Old Report'!E:J,6,FALSE)="","",VLOOKUP(E:E,'Old Report'!E:J,6,FALSE)),"")</f>
        <v/>
      </c>
      <c r="L861" t="str">
        <f>IFERROR(IF(VLOOKUP(E:E,'Old Report'!E:L,8,FALSE)="","",VLOOKUP(E:E,'Old Report'!E:L,8,FALSE)),"")</f>
        <v/>
      </c>
      <c r="M861" s="5" t="str">
        <f t="shared" si="68"/>
        <v/>
      </c>
      <c r="N861" s="5" t="str">
        <f t="shared" si="69"/>
        <v/>
      </c>
    </row>
    <row r="862" spans="1:14" x14ac:dyDescent="0.25">
      <c r="A862" s="5">
        <v>861</v>
      </c>
      <c r="B862" s="5">
        <f t="shared" si="66"/>
        <v>0</v>
      </c>
      <c r="C862" s="5" t="str">
        <f t="shared" si="65"/>
        <v/>
      </c>
      <c r="D862" s="5" t="str">
        <f>IFERROR(IF(F862&lt;&gt;"",F862,VLOOKUP(MAX(C$2:C862),A$2:F862,2,FALSE)),"")</f>
        <v/>
      </c>
      <c r="E862" s="5" t="str">
        <f t="shared" si="67"/>
        <v/>
      </c>
      <c r="K862" t="str">
        <f>IFERROR(IF(VLOOKUP(E:E,'Old Report'!E:J,6,FALSE)="","",VLOOKUP(E:E,'Old Report'!E:J,6,FALSE)),"")</f>
        <v/>
      </c>
      <c r="L862" t="str">
        <f>IFERROR(IF(VLOOKUP(E:E,'Old Report'!E:L,8,FALSE)="","",VLOOKUP(E:E,'Old Report'!E:L,8,FALSE)),"")</f>
        <v/>
      </c>
      <c r="M862" s="5" t="str">
        <f t="shared" si="68"/>
        <v/>
      </c>
      <c r="N862" s="5" t="str">
        <f t="shared" si="69"/>
        <v/>
      </c>
    </row>
    <row r="863" spans="1:14" x14ac:dyDescent="0.25">
      <c r="A863" s="5">
        <v>862</v>
      </c>
      <c r="B863" s="5">
        <f t="shared" si="66"/>
        <v>0</v>
      </c>
      <c r="C863" s="5" t="str">
        <f t="shared" si="65"/>
        <v/>
      </c>
      <c r="D863" s="5" t="str">
        <f>IFERROR(IF(F863&lt;&gt;"",F863,VLOOKUP(MAX(C$2:C863),A$2:F863,2,FALSE)),"")</f>
        <v/>
      </c>
      <c r="E863" s="5" t="str">
        <f t="shared" si="67"/>
        <v/>
      </c>
      <c r="K863" t="str">
        <f>IFERROR(IF(VLOOKUP(E:E,'Old Report'!E:J,6,FALSE)="","",VLOOKUP(E:E,'Old Report'!E:J,6,FALSE)),"")</f>
        <v/>
      </c>
      <c r="L863" t="str">
        <f>IFERROR(IF(VLOOKUP(E:E,'Old Report'!E:L,8,FALSE)="","",VLOOKUP(E:E,'Old Report'!E:L,8,FALSE)),"")</f>
        <v/>
      </c>
      <c r="M863" s="5" t="str">
        <f t="shared" si="68"/>
        <v/>
      </c>
      <c r="N863" s="5" t="str">
        <f t="shared" si="69"/>
        <v/>
      </c>
    </row>
    <row r="864" spans="1:14" x14ac:dyDescent="0.25">
      <c r="A864" s="5">
        <v>863</v>
      </c>
      <c r="B864" s="5">
        <f t="shared" si="66"/>
        <v>0</v>
      </c>
      <c r="C864" s="5" t="str">
        <f t="shared" si="65"/>
        <v/>
      </c>
      <c r="D864" s="5" t="str">
        <f>IFERROR(IF(F864&lt;&gt;"",F864,VLOOKUP(MAX(C$2:C864),A$2:F864,2,FALSE)),"")</f>
        <v/>
      </c>
      <c r="E864" s="5" t="str">
        <f t="shared" si="67"/>
        <v/>
      </c>
      <c r="K864" t="str">
        <f>IFERROR(IF(VLOOKUP(E:E,'Old Report'!E:J,6,FALSE)="","",VLOOKUP(E:E,'Old Report'!E:J,6,FALSE)),"")</f>
        <v/>
      </c>
      <c r="L864" t="str">
        <f>IFERROR(IF(VLOOKUP(E:E,'Old Report'!E:L,8,FALSE)="","",VLOOKUP(E:E,'Old Report'!E:L,8,FALSE)),"")</f>
        <v/>
      </c>
      <c r="M864" s="5" t="str">
        <f t="shared" si="68"/>
        <v/>
      </c>
      <c r="N864" s="5" t="str">
        <f t="shared" si="69"/>
        <v/>
      </c>
    </row>
    <row r="865" spans="1:14" x14ac:dyDescent="0.25">
      <c r="A865" s="5">
        <v>864</v>
      </c>
      <c r="B865" s="5">
        <f t="shared" si="66"/>
        <v>0</v>
      </c>
      <c r="C865" s="5" t="str">
        <f t="shared" si="65"/>
        <v/>
      </c>
      <c r="D865" s="5" t="str">
        <f>IFERROR(IF(F865&lt;&gt;"",F865,VLOOKUP(MAX(C$2:C865),A$2:F865,2,FALSE)),"")</f>
        <v/>
      </c>
      <c r="E865" s="5" t="str">
        <f t="shared" si="67"/>
        <v/>
      </c>
      <c r="K865" t="str">
        <f>IFERROR(IF(VLOOKUP(E:E,'Old Report'!E:J,6,FALSE)="","",VLOOKUP(E:E,'Old Report'!E:J,6,FALSE)),"")</f>
        <v/>
      </c>
      <c r="L865" t="str">
        <f>IFERROR(IF(VLOOKUP(E:E,'Old Report'!E:L,8,FALSE)="","",VLOOKUP(E:E,'Old Report'!E:L,8,FALSE)),"")</f>
        <v/>
      </c>
      <c r="M865" s="5" t="str">
        <f t="shared" si="68"/>
        <v/>
      </c>
      <c r="N865" s="5" t="str">
        <f t="shared" si="69"/>
        <v/>
      </c>
    </row>
    <row r="866" spans="1:14" x14ac:dyDescent="0.25">
      <c r="A866" s="5">
        <v>865</v>
      </c>
      <c r="B866" s="5">
        <f t="shared" si="66"/>
        <v>0</v>
      </c>
      <c r="C866" s="5" t="str">
        <f t="shared" si="65"/>
        <v/>
      </c>
      <c r="D866" s="5" t="str">
        <f>IFERROR(IF(F866&lt;&gt;"",F866,VLOOKUP(MAX(C$2:C866),A$2:F866,2,FALSE)),"")</f>
        <v/>
      </c>
      <c r="E866" s="5" t="str">
        <f t="shared" si="67"/>
        <v/>
      </c>
      <c r="K866" t="str">
        <f>IFERROR(IF(VLOOKUP(E:E,'Old Report'!E:J,6,FALSE)="","",VLOOKUP(E:E,'Old Report'!E:J,6,FALSE)),"")</f>
        <v/>
      </c>
      <c r="L866" t="str">
        <f>IFERROR(IF(VLOOKUP(E:E,'Old Report'!E:L,8,FALSE)="","",VLOOKUP(E:E,'Old Report'!E:L,8,FALSE)),"")</f>
        <v/>
      </c>
      <c r="M866" s="5" t="str">
        <f t="shared" si="68"/>
        <v/>
      </c>
      <c r="N866" s="5" t="str">
        <f t="shared" si="69"/>
        <v/>
      </c>
    </row>
    <row r="867" spans="1:14" x14ac:dyDescent="0.25">
      <c r="A867" s="5">
        <v>866</v>
      </c>
      <c r="B867" s="5">
        <f t="shared" si="66"/>
        <v>0</v>
      </c>
      <c r="C867" s="5" t="str">
        <f t="shared" si="65"/>
        <v/>
      </c>
      <c r="D867" s="5" t="str">
        <f>IFERROR(IF(F867&lt;&gt;"",F867,VLOOKUP(MAX(C$2:C867),A$2:F867,2,FALSE)),"")</f>
        <v/>
      </c>
      <c r="E867" s="5" t="str">
        <f t="shared" si="67"/>
        <v/>
      </c>
      <c r="K867" t="str">
        <f>IFERROR(IF(VLOOKUP(E:E,'Old Report'!E:J,6,FALSE)="","",VLOOKUP(E:E,'Old Report'!E:J,6,FALSE)),"")</f>
        <v/>
      </c>
      <c r="L867" t="str">
        <f>IFERROR(IF(VLOOKUP(E:E,'Old Report'!E:L,8,FALSE)="","",VLOOKUP(E:E,'Old Report'!E:L,8,FALSE)),"")</f>
        <v/>
      </c>
      <c r="M867" s="5" t="str">
        <f t="shared" si="68"/>
        <v/>
      </c>
      <c r="N867" s="5" t="str">
        <f t="shared" si="69"/>
        <v/>
      </c>
    </row>
    <row r="868" spans="1:14" x14ac:dyDescent="0.25">
      <c r="A868" s="5">
        <v>867</v>
      </c>
      <c r="B868" s="5">
        <f t="shared" si="66"/>
        <v>0</v>
      </c>
      <c r="C868" s="5" t="str">
        <f t="shared" si="65"/>
        <v/>
      </c>
      <c r="D868" s="5" t="str">
        <f>IFERROR(IF(F868&lt;&gt;"",F868,VLOOKUP(MAX(C$2:C868),A$2:F868,2,FALSE)),"")</f>
        <v/>
      </c>
      <c r="E868" s="5" t="str">
        <f t="shared" si="67"/>
        <v/>
      </c>
      <c r="K868" t="str">
        <f>IFERROR(IF(VLOOKUP(E:E,'Old Report'!E:J,6,FALSE)="","",VLOOKUP(E:E,'Old Report'!E:J,6,FALSE)),"")</f>
        <v/>
      </c>
      <c r="L868" t="str">
        <f>IFERROR(IF(VLOOKUP(E:E,'Old Report'!E:L,8,FALSE)="","",VLOOKUP(E:E,'Old Report'!E:L,8,FALSE)),"")</f>
        <v/>
      </c>
      <c r="M868" s="5" t="str">
        <f t="shared" si="68"/>
        <v/>
      </c>
      <c r="N868" s="5" t="str">
        <f t="shared" si="69"/>
        <v/>
      </c>
    </row>
    <row r="869" spans="1:14" x14ac:dyDescent="0.25">
      <c r="A869" s="5">
        <v>868</v>
      </c>
      <c r="B869" s="5">
        <f t="shared" si="66"/>
        <v>0</v>
      </c>
      <c r="C869" s="5" t="str">
        <f t="shared" si="65"/>
        <v/>
      </c>
      <c r="D869" s="5" t="str">
        <f>IFERROR(IF(F869&lt;&gt;"",F869,VLOOKUP(MAX(C$2:C869),A$2:F869,2,FALSE)),"")</f>
        <v/>
      </c>
      <c r="E869" s="5" t="str">
        <f t="shared" si="67"/>
        <v/>
      </c>
      <c r="K869" t="str">
        <f>IFERROR(IF(VLOOKUP(E:E,'Old Report'!E:J,6,FALSE)="","",VLOOKUP(E:E,'Old Report'!E:J,6,FALSE)),"")</f>
        <v/>
      </c>
      <c r="L869" t="str">
        <f>IFERROR(IF(VLOOKUP(E:E,'Old Report'!E:L,8,FALSE)="","",VLOOKUP(E:E,'Old Report'!E:L,8,FALSE)),"")</f>
        <v/>
      </c>
      <c r="M869" s="5" t="str">
        <f t="shared" si="68"/>
        <v/>
      </c>
      <c r="N869" s="5" t="str">
        <f t="shared" si="69"/>
        <v/>
      </c>
    </row>
    <row r="870" spans="1:14" x14ac:dyDescent="0.25">
      <c r="A870" s="5">
        <v>869</v>
      </c>
      <c r="B870" s="5">
        <f t="shared" si="66"/>
        <v>0</v>
      </c>
      <c r="C870" s="5" t="str">
        <f t="shared" si="65"/>
        <v/>
      </c>
      <c r="D870" s="5" t="str">
        <f>IFERROR(IF(F870&lt;&gt;"",F870,VLOOKUP(MAX(C$2:C870),A$2:F870,2,FALSE)),"")</f>
        <v/>
      </c>
      <c r="E870" s="5" t="str">
        <f t="shared" si="67"/>
        <v/>
      </c>
      <c r="K870" t="str">
        <f>IFERROR(IF(VLOOKUP(E:E,'Old Report'!E:J,6,FALSE)="","",VLOOKUP(E:E,'Old Report'!E:J,6,FALSE)),"")</f>
        <v/>
      </c>
      <c r="L870" t="str">
        <f>IFERROR(IF(VLOOKUP(E:E,'Old Report'!E:L,8,FALSE)="","",VLOOKUP(E:E,'Old Report'!E:L,8,FALSE)),"")</f>
        <v/>
      </c>
      <c r="M870" s="5" t="str">
        <f t="shared" si="68"/>
        <v/>
      </c>
      <c r="N870" s="5" t="str">
        <f t="shared" si="69"/>
        <v/>
      </c>
    </row>
    <row r="871" spans="1:14" x14ac:dyDescent="0.25">
      <c r="A871" s="5">
        <v>870</v>
      </c>
      <c r="B871" s="5">
        <f t="shared" si="66"/>
        <v>0</v>
      </c>
      <c r="C871" s="5" t="str">
        <f t="shared" si="65"/>
        <v/>
      </c>
      <c r="D871" s="5" t="str">
        <f>IFERROR(IF(F871&lt;&gt;"",F871,VLOOKUP(MAX(C$2:C871),A$2:F871,2,FALSE)),"")</f>
        <v/>
      </c>
      <c r="E871" s="5" t="str">
        <f t="shared" si="67"/>
        <v/>
      </c>
      <c r="K871" t="str">
        <f>IFERROR(IF(VLOOKUP(E:E,'Old Report'!E:J,6,FALSE)="","",VLOOKUP(E:E,'Old Report'!E:J,6,FALSE)),"")</f>
        <v/>
      </c>
      <c r="L871" t="str">
        <f>IFERROR(IF(VLOOKUP(E:E,'Old Report'!E:L,8,FALSE)="","",VLOOKUP(E:E,'Old Report'!E:L,8,FALSE)),"")</f>
        <v/>
      </c>
      <c r="M871" s="5" t="str">
        <f t="shared" si="68"/>
        <v/>
      </c>
      <c r="N871" s="5" t="str">
        <f t="shared" si="69"/>
        <v/>
      </c>
    </row>
    <row r="872" spans="1:14" x14ac:dyDescent="0.25">
      <c r="A872" s="5">
        <v>871</v>
      </c>
      <c r="B872" s="5">
        <f t="shared" si="66"/>
        <v>0</v>
      </c>
      <c r="C872" s="5" t="str">
        <f t="shared" si="65"/>
        <v/>
      </c>
      <c r="D872" s="5" t="str">
        <f>IFERROR(IF(F872&lt;&gt;"",F872,VLOOKUP(MAX(C$2:C872),A$2:F872,2,FALSE)),"")</f>
        <v/>
      </c>
      <c r="E872" s="5" t="str">
        <f t="shared" si="67"/>
        <v/>
      </c>
      <c r="K872" t="str">
        <f>IFERROR(IF(VLOOKUP(E:E,'Old Report'!E:J,6,FALSE)="","",VLOOKUP(E:E,'Old Report'!E:J,6,FALSE)),"")</f>
        <v/>
      </c>
      <c r="L872" t="str">
        <f>IFERROR(IF(VLOOKUP(E:E,'Old Report'!E:L,8,FALSE)="","",VLOOKUP(E:E,'Old Report'!E:L,8,FALSE)),"")</f>
        <v/>
      </c>
      <c r="M872" s="5" t="str">
        <f t="shared" si="68"/>
        <v/>
      </c>
      <c r="N872" s="5" t="str">
        <f t="shared" si="69"/>
        <v/>
      </c>
    </row>
    <row r="873" spans="1:14" x14ac:dyDescent="0.25">
      <c r="A873" s="5">
        <v>872</v>
      </c>
      <c r="B873" s="5">
        <f t="shared" si="66"/>
        <v>0</v>
      </c>
      <c r="C873" s="5" t="str">
        <f t="shared" si="65"/>
        <v/>
      </c>
      <c r="D873" s="5" t="str">
        <f>IFERROR(IF(F873&lt;&gt;"",F873,VLOOKUP(MAX(C$2:C873),A$2:F873,2,FALSE)),"")</f>
        <v/>
      </c>
      <c r="E873" s="5" t="str">
        <f t="shared" si="67"/>
        <v/>
      </c>
      <c r="K873" t="str">
        <f>IFERROR(IF(VLOOKUP(E:E,'Old Report'!E:J,6,FALSE)="","",VLOOKUP(E:E,'Old Report'!E:J,6,FALSE)),"")</f>
        <v/>
      </c>
      <c r="L873" t="str">
        <f>IFERROR(IF(VLOOKUP(E:E,'Old Report'!E:L,8,FALSE)="","",VLOOKUP(E:E,'Old Report'!E:L,8,FALSE)),"")</f>
        <v/>
      </c>
      <c r="M873" s="5" t="str">
        <f t="shared" si="68"/>
        <v/>
      </c>
      <c r="N873" s="5" t="str">
        <f t="shared" si="69"/>
        <v/>
      </c>
    </row>
    <row r="874" spans="1:14" x14ac:dyDescent="0.25">
      <c r="A874" s="5">
        <v>873</v>
      </c>
      <c r="B874" s="5">
        <f t="shared" si="66"/>
        <v>0</v>
      </c>
      <c r="C874" s="5" t="str">
        <f t="shared" si="65"/>
        <v/>
      </c>
      <c r="D874" s="5" t="str">
        <f>IFERROR(IF(F874&lt;&gt;"",F874,VLOOKUP(MAX(C$2:C874),A$2:F874,2,FALSE)),"")</f>
        <v/>
      </c>
      <c r="E874" s="5" t="str">
        <f t="shared" si="67"/>
        <v/>
      </c>
      <c r="K874" t="str">
        <f>IFERROR(IF(VLOOKUP(E:E,'Old Report'!E:J,6,FALSE)="","",VLOOKUP(E:E,'Old Report'!E:J,6,FALSE)),"")</f>
        <v/>
      </c>
      <c r="L874" t="str">
        <f>IFERROR(IF(VLOOKUP(E:E,'Old Report'!E:L,8,FALSE)="","",VLOOKUP(E:E,'Old Report'!E:L,8,FALSE)),"")</f>
        <v/>
      </c>
      <c r="M874" s="5" t="str">
        <f t="shared" si="68"/>
        <v/>
      </c>
      <c r="N874" s="5" t="str">
        <f t="shared" si="69"/>
        <v/>
      </c>
    </row>
    <row r="875" spans="1:14" x14ac:dyDescent="0.25">
      <c r="A875" s="5">
        <v>874</v>
      </c>
      <c r="B875" s="5">
        <f t="shared" si="66"/>
        <v>0</v>
      </c>
      <c r="C875" s="5" t="str">
        <f t="shared" si="65"/>
        <v/>
      </c>
      <c r="D875" s="5" t="str">
        <f>IFERROR(IF(F875&lt;&gt;"",F875,VLOOKUP(MAX(C$2:C875),A$2:F875,2,FALSE)),"")</f>
        <v/>
      </c>
      <c r="E875" s="5" t="str">
        <f t="shared" si="67"/>
        <v/>
      </c>
      <c r="K875" t="str">
        <f>IFERROR(IF(VLOOKUP(E:E,'Old Report'!E:J,6,FALSE)="","",VLOOKUP(E:E,'Old Report'!E:J,6,FALSE)),"")</f>
        <v/>
      </c>
      <c r="L875" t="str">
        <f>IFERROR(IF(VLOOKUP(E:E,'Old Report'!E:L,8,FALSE)="","",VLOOKUP(E:E,'Old Report'!E:L,8,FALSE)),"")</f>
        <v/>
      </c>
      <c r="M875" s="5" t="str">
        <f t="shared" si="68"/>
        <v/>
      </c>
      <c r="N875" s="5" t="str">
        <f t="shared" si="69"/>
        <v/>
      </c>
    </row>
    <row r="876" spans="1:14" x14ac:dyDescent="0.25">
      <c r="A876" s="5">
        <v>875</v>
      </c>
      <c r="B876" s="5">
        <f t="shared" si="66"/>
        <v>0</v>
      </c>
      <c r="C876" s="5" t="str">
        <f t="shared" si="65"/>
        <v/>
      </c>
      <c r="D876" s="5" t="str">
        <f>IFERROR(IF(F876&lt;&gt;"",F876,VLOOKUP(MAX(C$2:C876),A$2:F876,2,FALSE)),"")</f>
        <v/>
      </c>
      <c r="E876" s="5" t="str">
        <f t="shared" si="67"/>
        <v/>
      </c>
      <c r="K876" t="str">
        <f>IFERROR(IF(VLOOKUP(E:E,'Old Report'!E:J,6,FALSE)="","",VLOOKUP(E:E,'Old Report'!E:J,6,FALSE)),"")</f>
        <v/>
      </c>
      <c r="L876" t="str">
        <f>IFERROR(IF(VLOOKUP(E:E,'Old Report'!E:L,8,FALSE)="","",VLOOKUP(E:E,'Old Report'!E:L,8,FALSE)),"")</f>
        <v/>
      </c>
      <c r="M876" s="5" t="str">
        <f t="shared" si="68"/>
        <v/>
      </c>
      <c r="N876" s="5" t="str">
        <f t="shared" si="69"/>
        <v/>
      </c>
    </row>
    <row r="877" spans="1:14" x14ac:dyDescent="0.25">
      <c r="A877" s="5">
        <v>876</v>
      </c>
      <c r="B877" s="5">
        <f t="shared" si="66"/>
        <v>0</v>
      </c>
      <c r="C877" s="5" t="str">
        <f t="shared" si="65"/>
        <v/>
      </c>
      <c r="D877" s="5" t="str">
        <f>IFERROR(IF(F877&lt;&gt;"",F877,VLOOKUP(MAX(C$2:C877),A$2:F877,2,FALSE)),"")</f>
        <v/>
      </c>
      <c r="E877" s="5" t="str">
        <f t="shared" si="67"/>
        <v/>
      </c>
      <c r="K877" t="str">
        <f>IFERROR(IF(VLOOKUP(E:E,'Old Report'!E:J,6,FALSE)="","",VLOOKUP(E:E,'Old Report'!E:J,6,FALSE)),"")</f>
        <v/>
      </c>
      <c r="L877" t="str">
        <f>IFERROR(IF(VLOOKUP(E:E,'Old Report'!E:L,8,FALSE)="","",VLOOKUP(E:E,'Old Report'!E:L,8,FALSE)),"")</f>
        <v/>
      </c>
      <c r="M877" s="5" t="str">
        <f t="shared" si="68"/>
        <v/>
      </c>
      <c r="N877" s="5" t="str">
        <f t="shared" si="69"/>
        <v/>
      </c>
    </row>
    <row r="878" spans="1:14" x14ac:dyDescent="0.25">
      <c r="A878" s="5">
        <v>877</v>
      </c>
      <c r="B878" s="5">
        <f t="shared" si="66"/>
        <v>0</v>
      </c>
      <c r="C878" s="5" t="str">
        <f t="shared" si="65"/>
        <v/>
      </c>
      <c r="D878" s="5" t="str">
        <f>IFERROR(IF(F878&lt;&gt;"",F878,VLOOKUP(MAX(C$2:C878),A$2:F878,2,FALSE)),"")</f>
        <v/>
      </c>
      <c r="E878" s="5" t="str">
        <f t="shared" si="67"/>
        <v/>
      </c>
      <c r="K878" t="str">
        <f>IFERROR(IF(VLOOKUP(E:E,'Old Report'!E:J,6,FALSE)="","",VLOOKUP(E:E,'Old Report'!E:J,6,FALSE)),"")</f>
        <v/>
      </c>
      <c r="L878" t="str">
        <f>IFERROR(IF(VLOOKUP(E:E,'Old Report'!E:L,8,FALSE)="","",VLOOKUP(E:E,'Old Report'!E:L,8,FALSE)),"")</f>
        <v/>
      </c>
      <c r="M878" s="5" t="str">
        <f t="shared" si="68"/>
        <v/>
      </c>
      <c r="N878" s="5" t="str">
        <f t="shared" si="69"/>
        <v/>
      </c>
    </row>
    <row r="879" spans="1:14" x14ac:dyDescent="0.25">
      <c r="A879" s="5">
        <v>878</v>
      </c>
      <c r="B879" s="5">
        <f t="shared" si="66"/>
        <v>0</v>
      </c>
      <c r="C879" s="5" t="str">
        <f t="shared" si="65"/>
        <v/>
      </c>
      <c r="D879" s="5" t="str">
        <f>IFERROR(IF(F879&lt;&gt;"",F879,VLOOKUP(MAX(C$2:C879),A$2:F879,2,FALSE)),"")</f>
        <v/>
      </c>
      <c r="E879" s="5" t="str">
        <f t="shared" si="67"/>
        <v/>
      </c>
      <c r="K879" t="str">
        <f>IFERROR(IF(VLOOKUP(E:E,'Old Report'!E:J,6,FALSE)="","",VLOOKUP(E:E,'Old Report'!E:J,6,FALSE)),"")</f>
        <v/>
      </c>
      <c r="L879" t="str">
        <f>IFERROR(IF(VLOOKUP(E:E,'Old Report'!E:L,8,FALSE)="","",VLOOKUP(E:E,'Old Report'!E:L,8,FALSE)),"")</f>
        <v/>
      </c>
      <c r="M879" s="5" t="str">
        <f t="shared" si="68"/>
        <v/>
      </c>
      <c r="N879" s="5" t="str">
        <f t="shared" si="69"/>
        <v/>
      </c>
    </row>
    <row r="880" spans="1:14" x14ac:dyDescent="0.25">
      <c r="A880" s="5">
        <v>879</v>
      </c>
      <c r="B880" s="5">
        <f t="shared" si="66"/>
        <v>0</v>
      </c>
      <c r="C880" s="5" t="str">
        <f t="shared" si="65"/>
        <v/>
      </c>
      <c r="D880" s="5" t="str">
        <f>IFERROR(IF(F880&lt;&gt;"",F880,VLOOKUP(MAX(C$2:C880),A$2:F880,2,FALSE)),"")</f>
        <v/>
      </c>
      <c r="E880" s="5" t="str">
        <f t="shared" si="67"/>
        <v/>
      </c>
      <c r="K880" t="str">
        <f>IFERROR(IF(VLOOKUP(E:E,'Old Report'!E:J,6,FALSE)="","",VLOOKUP(E:E,'Old Report'!E:J,6,FALSE)),"")</f>
        <v/>
      </c>
      <c r="L880" t="str">
        <f>IFERROR(IF(VLOOKUP(E:E,'Old Report'!E:L,8,FALSE)="","",VLOOKUP(E:E,'Old Report'!E:L,8,FALSE)),"")</f>
        <v/>
      </c>
      <c r="M880" s="5" t="str">
        <f t="shared" si="68"/>
        <v/>
      </c>
      <c r="N880" s="5" t="str">
        <f t="shared" si="69"/>
        <v/>
      </c>
    </row>
    <row r="881" spans="1:14" x14ac:dyDescent="0.25">
      <c r="A881" s="5">
        <v>880</v>
      </c>
      <c r="B881" s="5">
        <f t="shared" si="66"/>
        <v>0</v>
      </c>
      <c r="C881" s="5" t="str">
        <f t="shared" si="65"/>
        <v/>
      </c>
      <c r="D881" s="5" t="str">
        <f>IFERROR(IF(F881&lt;&gt;"",F881,VLOOKUP(MAX(C$2:C881),A$2:F881,2,FALSE)),"")</f>
        <v/>
      </c>
      <c r="E881" s="5" t="str">
        <f t="shared" si="67"/>
        <v/>
      </c>
      <c r="K881" t="str">
        <f>IFERROR(IF(VLOOKUP(E:E,'Old Report'!E:J,6,FALSE)="","",VLOOKUP(E:E,'Old Report'!E:J,6,FALSE)),"")</f>
        <v/>
      </c>
      <c r="L881" t="str">
        <f>IFERROR(IF(VLOOKUP(E:E,'Old Report'!E:L,8,FALSE)="","",VLOOKUP(E:E,'Old Report'!E:L,8,FALSE)),"")</f>
        <v/>
      </c>
      <c r="M881" s="5" t="str">
        <f t="shared" si="68"/>
        <v/>
      </c>
      <c r="N881" s="5" t="str">
        <f t="shared" si="69"/>
        <v/>
      </c>
    </row>
    <row r="882" spans="1:14" x14ac:dyDescent="0.25">
      <c r="A882" s="5">
        <v>881</v>
      </c>
      <c r="B882" s="5">
        <f t="shared" si="66"/>
        <v>0</v>
      </c>
      <c r="C882" s="5" t="str">
        <f t="shared" si="65"/>
        <v/>
      </c>
      <c r="D882" s="5" t="str">
        <f>IFERROR(IF(F882&lt;&gt;"",F882,VLOOKUP(MAX(C$2:C882),A$2:F882,2,FALSE)),"")</f>
        <v/>
      </c>
      <c r="E882" s="5" t="str">
        <f t="shared" si="67"/>
        <v/>
      </c>
      <c r="K882" t="str">
        <f>IFERROR(IF(VLOOKUP(E:E,'Old Report'!E:J,6,FALSE)="","",VLOOKUP(E:E,'Old Report'!E:J,6,FALSE)),"")</f>
        <v/>
      </c>
      <c r="L882" t="str">
        <f>IFERROR(IF(VLOOKUP(E:E,'Old Report'!E:L,8,FALSE)="","",VLOOKUP(E:E,'Old Report'!E:L,8,FALSE)),"")</f>
        <v/>
      </c>
      <c r="M882" s="5" t="str">
        <f t="shared" si="68"/>
        <v/>
      </c>
      <c r="N882" s="5" t="str">
        <f t="shared" si="69"/>
        <v/>
      </c>
    </row>
    <row r="883" spans="1:14" x14ac:dyDescent="0.25">
      <c r="A883" s="5">
        <v>882</v>
      </c>
      <c r="B883" s="5">
        <f t="shared" si="66"/>
        <v>0</v>
      </c>
      <c r="C883" s="5" t="str">
        <f t="shared" si="65"/>
        <v/>
      </c>
      <c r="D883" s="5" t="str">
        <f>IFERROR(IF(F883&lt;&gt;"",F883,VLOOKUP(MAX(C$2:C883),A$2:F883,2,FALSE)),"")</f>
        <v/>
      </c>
      <c r="E883" s="5" t="str">
        <f t="shared" si="67"/>
        <v/>
      </c>
      <c r="K883" t="str">
        <f>IFERROR(IF(VLOOKUP(E:E,'Old Report'!E:J,6,FALSE)="","",VLOOKUP(E:E,'Old Report'!E:J,6,FALSE)),"")</f>
        <v/>
      </c>
      <c r="L883" t="str">
        <f>IFERROR(IF(VLOOKUP(E:E,'Old Report'!E:L,8,FALSE)="","",VLOOKUP(E:E,'Old Report'!E:L,8,FALSE)),"")</f>
        <v/>
      </c>
      <c r="M883" s="5" t="str">
        <f t="shared" si="68"/>
        <v/>
      </c>
      <c r="N883" s="5" t="str">
        <f t="shared" si="69"/>
        <v/>
      </c>
    </row>
    <row r="884" spans="1:14" x14ac:dyDescent="0.25">
      <c r="A884" s="5">
        <v>883</v>
      </c>
      <c r="B884" s="5">
        <f t="shared" si="66"/>
        <v>0</v>
      </c>
      <c r="C884" s="5" t="str">
        <f t="shared" si="65"/>
        <v/>
      </c>
      <c r="D884" s="5" t="str">
        <f>IFERROR(IF(F884&lt;&gt;"",F884,VLOOKUP(MAX(C$2:C884),A$2:F884,2,FALSE)),"")</f>
        <v/>
      </c>
      <c r="E884" s="5" t="str">
        <f t="shared" si="67"/>
        <v/>
      </c>
      <c r="K884" t="str">
        <f>IFERROR(IF(VLOOKUP(E:E,'Old Report'!E:J,6,FALSE)="","",VLOOKUP(E:E,'Old Report'!E:J,6,FALSE)),"")</f>
        <v/>
      </c>
      <c r="L884" t="str">
        <f>IFERROR(IF(VLOOKUP(E:E,'Old Report'!E:L,8,FALSE)="","",VLOOKUP(E:E,'Old Report'!E:L,8,FALSE)),"")</f>
        <v/>
      </c>
      <c r="M884" s="5" t="str">
        <f t="shared" si="68"/>
        <v/>
      </c>
      <c r="N884" s="5" t="str">
        <f t="shared" si="69"/>
        <v/>
      </c>
    </row>
    <row r="885" spans="1:14" x14ac:dyDescent="0.25">
      <c r="A885" s="5">
        <v>884</v>
      </c>
      <c r="B885" s="5">
        <f t="shared" si="66"/>
        <v>0</v>
      </c>
      <c r="C885" s="5" t="str">
        <f t="shared" si="65"/>
        <v/>
      </c>
      <c r="D885" s="5" t="str">
        <f>IFERROR(IF(F885&lt;&gt;"",F885,VLOOKUP(MAX(C$2:C885),A$2:F885,2,FALSE)),"")</f>
        <v/>
      </c>
      <c r="E885" s="5" t="str">
        <f t="shared" si="67"/>
        <v/>
      </c>
      <c r="K885" t="str">
        <f>IFERROR(IF(VLOOKUP(E:E,'Old Report'!E:J,6,FALSE)="","",VLOOKUP(E:E,'Old Report'!E:J,6,FALSE)),"")</f>
        <v/>
      </c>
      <c r="L885" t="str">
        <f>IFERROR(IF(VLOOKUP(E:E,'Old Report'!E:L,8,FALSE)="","",VLOOKUP(E:E,'Old Report'!E:L,8,FALSE)),"")</f>
        <v/>
      </c>
      <c r="M885" s="5" t="str">
        <f t="shared" si="68"/>
        <v/>
      </c>
      <c r="N885" s="5" t="str">
        <f t="shared" si="69"/>
        <v/>
      </c>
    </row>
    <row r="886" spans="1:14" x14ac:dyDescent="0.25">
      <c r="A886" s="5">
        <v>885</v>
      </c>
      <c r="B886" s="5">
        <f t="shared" si="66"/>
        <v>0</v>
      </c>
      <c r="C886" s="5" t="str">
        <f t="shared" si="65"/>
        <v/>
      </c>
      <c r="D886" s="5" t="str">
        <f>IFERROR(IF(F886&lt;&gt;"",F886,VLOOKUP(MAX(C$2:C886),A$2:F886,2,FALSE)),"")</f>
        <v/>
      </c>
      <c r="E886" s="5" t="str">
        <f t="shared" si="67"/>
        <v/>
      </c>
      <c r="K886" t="str">
        <f>IFERROR(IF(VLOOKUP(E:E,'Old Report'!E:J,6,FALSE)="","",VLOOKUP(E:E,'Old Report'!E:J,6,FALSE)),"")</f>
        <v/>
      </c>
      <c r="L886" t="str">
        <f>IFERROR(IF(VLOOKUP(E:E,'Old Report'!E:L,8,FALSE)="","",VLOOKUP(E:E,'Old Report'!E:L,8,FALSE)),"")</f>
        <v/>
      </c>
      <c r="M886" s="5" t="str">
        <f t="shared" si="68"/>
        <v/>
      </c>
      <c r="N886" s="5" t="str">
        <f t="shared" si="69"/>
        <v/>
      </c>
    </row>
    <row r="887" spans="1:14" x14ac:dyDescent="0.25">
      <c r="A887" s="5">
        <v>886</v>
      </c>
      <c r="B887" s="5">
        <f t="shared" si="66"/>
        <v>0</v>
      </c>
      <c r="C887" s="5" t="str">
        <f t="shared" si="65"/>
        <v/>
      </c>
      <c r="D887" s="5" t="str">
        <f>IFERROR(IF(F887&lt;&gt;"",F887,VLOOKUP(MAX(C$2:C887),A$2:F887,2,FALSE)),"")</f>
        <v/>
      </c>
      <c r="E887" s="5" t="str">
        <f t="shared" si="67"/>
        <v/>
      </c>
      <c r="K887" t="str">
        <f>IFERROR(IF(VLOOKUP(E:E,'Old Report'!E:J,6,FALSE)="","",VLOOKUP(E:E,'Old Report'!E:J,6,FALSE)),"")</f>
        <v/>
      </c>
      <c r="L887" t="str">
        <f>IFERROR(IF(VLOOKUP(E:E,'Old Report'!E:L,8,FALSE)="","",VLOOKUP(E:E,'Old Report'!E:L,8,FALSE)),"")</f>
        <v/>
      </c>
      <c r="M887" s="5" t="str">
        <f t="shared" si="68"/>
        <v/>
      </c>
      <c r="N887" s="5" t="str">
        <f t="shared" si="69"/>
        <v/>
      </c>
    </row>
    <row r="888" spans="1:14" x14ac:dyDescent="0.25">
      <c r="A888" s="5">
        <v>887</v>
      </c>
      <c r="B888" s="5">
        <f t="shared" si="66"/>
        <v>0</v>
      </c>
      <c r="C888" s="5" t="str">
        <f t="shared" si="65"/>
        <v/>
      </c>
      <c r="D888" s="5" t="str">
        <f>IFERROR(IF(F888&lt;&gt;"",F888,VLOOKUP(MAX(C$2:C888),A$2:F888,2,FALSE)),"")</f>
        <v/>
      </c>
      <c r="E888" s="5" t="str">
        <f t="shared" si="67"/>
        <v/>
      </c>
      <c r="K888" t="str">
        <f>IFERROR(IF(VLOOKUP(E:E,'Old Report'!E:J,6,FALSE)="","",VLOOKUP(E:E,'Old Report'!E:J,6,FALSE)),"")</f>
        <v/>
      </c>
      <c r="L888" t="str">
        <f>IFERROR(IF(VLOOKUP(E:E,'Old Report'!E:L,8,FALSE)="","",VLOOKUP(E:E,'Old Report'!E:L,8,FALSE)),"")</f>
        <v/>
      </c>
      <c r="M888" s="5" t="str">
        <f t="shared" si="68"/>
        <v/>
      </c>
      <c r="N888" s="5" t="str">
        <f t="shared" si="69"/>
        <v/>
      </c>
    </row>
    <row r="889" spans="1:14" x14ac:dyDescent="0.25">
      <c r="A889" s="5">
        <v>888</v>
      </c>
      <c r="B889" s="5">
        <f t="shared" si="66"/>
        <v>0</v>
      </c>
      <c r="C889" s="5" t="str">
        <f t="shared" si="65"/>
        <v/>
      </c>
      <c r="D889" s="5" t="str">
        <f>IFERROR(IF(F889&lt;&gt;"",F889,VLOOKUP(MAX(C$2:C889),A$2:F889,2,FALSE)),"")</f>
        <v/>
      </c>
      <c r="E889" s="5" t="str">
        <f t="shared" si="67"/>
        <v/>
      </c>
      <c r="K889" t="str">
        <f>IFERROR(IF(VLOOKUP(E:E,'Old Report'!E:J,6,FALSE)="","",VLOOKUP(E:E,'Old Report'!E:J,6,FALSE)),"")</f>
        <v/>
      </c>
      <c r="L889" t="str">
        <f>IFERROR(IF(VLOOKUP(E:E,'Old Report'!E:L,8,FALSE)="","",VLOOKUP(E:E,'Old Report'!E:L,8,FALSE)),"")</f>
        <v/>
      </c>
      <c r="M889" s="5" t="str">
        <f t="shared" si="68"/>
        <v/>
      </c>
      <c r="N889" s="5" t="str">
        <f t="shared" si="69"/>
        <v/>
      </c>
    </row>
    <row r="890" spans="1:14" x14ac:dyDescent="0.25">
      <c r="A890" s="5">
        <v>889</v>
      </c>
      <c r="B890" s="5">
        <f t="shared" si="66"/>
        <v>0</v>
      </c>
      <c r="C890" s="5" t="str">
        <f t="shared" si="65"/>
        <v/>
      </c>
      <c r="D890" s="5" t="str">
        <f>IFERROR(IF(F890&lt;&gt;"",F890,VLOOKUP(MAX(C$2:C890),A$2:F890,2,FALSE)),"")</f>
        <v/>
      </c>
      <c r="E890" s="5" t="str">
        <f t="shared" si="67"/>
        <v/>
      </c>
      <c r="K890" t="str">
        <f>IFERROR(IF(VLOOKUP(E:E,'Old Report'!E:J,6,FALSE)="","",VLOOKUP(E:E,'Old Report'!E:J,6,FALSE)),"")</f>
        <v/>
      </c>
      <c r="L890" t="str">
        <f>IFERROR(IF(VLOOKUP(E:E,'Old Report'!E:L,8,FALSE)="","",VLOOKUP(E:E,'Old Report'!E:L,8,FALSE)),"")</f>
        <v/>
      </c>
      <c r="M890" s="5" t="str">
        <f t="shared" si="68"/>
        <v/>
      </c>
      <c r="N890" s="5" t="str">
        <f t="shared" si="69"/>
        <v/>
      </c>
    </row>
    <row r="891" spans="1:14" x14ac:dyDescent="0.25">
      <c r="A891" s="5">
        <v>890</v>
      </c>
      <c r="B891" s="5">
        <f t="shared" si="66"/>
        <v>0</v>
      </c>
      <c r="C891" s="5" t="str">
        <f t="shared" si="65"/>
        <v/>
      </c>
      <c r="D891" s="5" t="str">
        <f>IFERROR(IF(F891&lt;&gt;"",F891,VLOOKUP(MAX(C$2:C891),A$2:F891,2,FALSE)),"")</f>
        <v/>
      </c>
      <c r="E891" s="5" t="str">
        <f t="shared" si="67"/>
        <v/>
      </c>
      <c r="K891" t="str">
        <f>IFERROR(IF(VLOOKUP(E:E,'Old Report'!E:J,6,FALSE)="","",VLOOKUP(E:E,'Old Report'!E:J,6,FALSE)),"")</f>
        <v/>
      </c>
      <c r="L891" t="str">
        <f>IFERROR(IF(VLOOKUP(E:E,'Old Report'!E:L,8,FALSE)="","",VLOOKUP(E:E,'Old Report'!E:L,8,FALSE)),"")</f>
        <v/>
      </c>
      <c r="M891" s="5" t="str">
        <f t="shared" si="68"/>
        <v/>
      </c>
      <c r="N891" s="5" t="str">
        <f t="shared" si="69"/>
        <v/>
      </c>
    </row>
    <row r="892" spans="1:14" x14ac:dyDescent="0.25">
      <c r="A892" s="5">
        <v>891</v>
      </c>
      <c r="B892" s="5">
        <f t="shared" si="66"/>
        <v>0</v>
      </c>
      <c r="C892" s="5" t="str">
        <f t="shared" si="65"/>
        <v/>
      </c>
      <c r="D892" s="5" t="str">
        <f>IFERROR(IF(F892&lt;&gt;"",F892,VLOOKUP(MAX(C$2:C892),A$2:F892,2,FALSE)),"")</f>
        <v/>
      </c>
      <c r="E892" s="5" t="str">
        <f t="shared" si="67"/>
        <v/>
      </c>
      <c r="K892" t="str">
        <f>IFERROR(IF(VLOOKUP(E:E,'Old Report'!E:J,6,FALSE)="","",VLOOKUP(E:E,'Old Report'!E:J,6,FALSE)),"")</f>
        <v/>
      </c>
      <c r="L892" t="str">
        <f>IFERROR(IF(VLOOKUP(E:E,'Old Report'!E:L,8,FALSE)="","",VLOOKUP(E:E,'Old Report'!E:L,8,FALSE)),"")</f>
        <v/>
      </c>
      <c r="M892" s="5" t="str">
        <f t="shared" si="68"/>
        <v/>
      </c>
      <c r="N892" s="5" t="str">
        <f t="shared" si="69"/>
        <v/>
      </c>
    </row>
    <row r="893" spans="1:14" x14ac:dyDescent="0.25">
      <c r="A893" s="5">
        <v>892</v>
      </c>
      <c r="B893" s="5">
        <f t="shared" si="66"/>
        <v>0</v>
      </c>
      <c r="C893" s="5" t="str">
        <f t="shared" si="65"/>
        <v/>
      </c>
      <c r="D893" s="5" t="str">
        <f>IFERROR(IF(F893&lt;&gt;"",F893,VLOOKUP(MAX(C$2:C893),A$2:F893,2,FALSE)),"")</f>
        <v/>
      </c>
      <c r="E893" s="5" t="str">
        <f t="shared" si="67"/>
        <v/>
      </c>
      <c r="K893" t="str">
        <f>IFERROR(IF(VLOOKUP(E:E,'Old Report'!E:J,6,FALSE)="","",VLOOKUP(E:E,'Old Report'!E:J,6,FALSE)),"")</f>
        <v/>
      </c>
      <c r="L893" t="str">
        <f>IFERROR(IF(VLOOKUP(E:E,'Old Report'!E:L,8,FALSE)="","",VLOOKUP(E:E,'Old Report'!E:L,8,FALSE)),"")</f>
        <v/>
      </c>
      <c r="M893" s="5" t="str">
        <f t="shared" si="68"/>
        <v/>
      </c>
      <c r="N893" s="5" t="str">
        <f t="shared" si="69"/>
        <v/>
      </c>
    </row>
    <row r="894" spans="1:14" x14ac:dyDescent="0.25">
      <c r="A894" s="5">
        <v>893</v>
      </c>
      <c r="B894" s="5">
        <f t="shared" si="66"/>
        <v>0</v>
      </c>
      <c r="C894" s="5" t="str">
        <f t="shared" si="65"/>
        <v/>
      </c>
      <c r="D894" s="5" t="str">
        <f>IFERROR(IF(F894&lt;&gt;"",F894,VLOOKUP(MAX(C$2:C894),A$2:F894,2,FALSE)),"")</f>
        <v/>
      </c>
      <c r="E894" s="5" t="str">
        <f t="shared" si="67"/>
        <v/>
      </c>
      <c r="K894" t="str">
        <f>IFERROR(IF(VLOOKUP(E:E,'Old Report'!E:J,6,FALSE)="","",VLOOKUP(E:E,'Old Report'!E:J,6,FALSE)),"")</f>
        <v/>
      </c>
      <c r="L894" t="str">
        <f>IFERROR(IF(VLOOKUP(E:E,'Old Report'!E:L,8,FALSE)="","",VLOOKUP(E:E,'Old Report'!E:L,8,FALSE)),"")</f>
        <v/>
      </c>
      <c r="M894" s="5" t="str">
        <f t="shared" si="68"/>
        <v/>
      </c>
      <c r="N894" s="5" t="str">
        <f t="shared" si="69"/>
        <v/>
      </c>
    </row>
    <row r="895" spans="1:14" x14ac:dyDescent="0.25">
      <c r="A895" s="5">
        <v>894</v>
      </c>
      <c r="B895" s="5">
        <f t="shared" si="66"/>
        <v>0</v>
      </c>
      <c r="C895" s="5" t="str">
        <f t="shared" si="65"/>
        <v/>
      </c>
      <c r="D895" s="5" t="str">
        <f>IFERROR(IF(F895&lt;&gt;"",F895,VLOOKUP(MAX(C$2:C895),A$2:F895,2,FALSE)),"")</f>
        <v/>
      </c>
      <c r="E895" s="5" t="str">
        <f t="shared" si="67"/>
        <v/>
      </c>
      <c r="K895" t="str">
        <f>IFERROR(IF(VLOOKUP(E:E,'Old Report'!E:J,6,FALSE)="","",VLOOKUP(E:E,'Old Report'!E:J,6,FALSE)),"")</f>
        <v/>
      </c>
      <c r="L895" t="str">
        <f>IFERROR(IF(VLOOKUP(E:E,'Old Report'!E:L,8,FALSE)="","",VLOOKUP(E:E,'Old Report'!E:L,8,FALSE)),"")</f>
        <v/>
      </c>
      <c r="M895" s="5" t="str">
        <f t="shared" si="68"/>
        <v/>
      </c>
      <c r="N895" s="5" t="str">
        <f t="shared" si="69"/>
        <v/>
      </c>
    </row>
    <row r="896" spans="1:14" x14ac:dyDescent="0.25">
      <c r="A896" s="5">
        <v>895</v>
      </c>
      <c r="B896" s="5">
        <f t="shared" si="66"/>
        <v>0</v>
      </c>
      <c r="C896" s="5" t="str">
        <f t="shared" si="65"/>
        <v/>
      </c>
      <c r="D896" s="5" t="str">
        <f>IFERROR(IF(F896&lt;&gt;"",F896,VLOOKUP(MAX(C$2:C896),A$2:F896,2,FALSE)),"")</f>
        <v/>
      </c>
      <c r="E896" s="5" t="str">
        <f t="shared" si="67"/>
        <v/>
      </c>
      <c r="K896" t="str">
        <f>IFERROR(IF(VLOOKUP(E:E,'Old Report'!E:J,6,FALSE)="","",VLOOKUP(E:E,'Old Report'!E:J,6,FALSE)),"")</f>
        <v/>
      </c>
      <c r="L896" t="str">
        <f>IFERROR(IF(VLOOKUP(E:E,'Old Report'!E:L,8,FALSE)="","",VLOOKUP(E:E,'Old Report'!E:L,8,FALSE)),"")</f>
        <v/>
      </c>
      <c r="M896" s="5" t="str">
        <f t="shared" si="68"/>
        <v/>
      </c>
      <c r="N896" s="5" t="str">
        <f t="shared" si="69"/>
        <v/>
      </c>
    </row>
    <row r="897" spans="1:14" x14ac:dyDescent="0.25">
      <c r="A897" s="5">
        <v>896</v>
      </c>
      <c r="B897" s="5">
        <f t="shared" si="66"/>
        <v>0</v>
      </c>
      <c r="C897" s="5" t="str">
        <f t="shared" si="65"/>
        <v/>
      </c>
      <c r="D897" s="5" t="str">
        <f>IFERROR(IF(F897&lt;&gt;"",F897,VLOOKUP(MAX(C$2:C897),A$2:F897,2,FALSE)),"")</f>
        <v/>
      </c>
      <c r="E897" s="5" t="str">
        <f t="shared" si="67"/>
        <v/>
      </c>
      <c r="K897" t="str">
        <f>IFERROR(IF(VLOOKUP(E:E,'Old Report'!E:J,6,FALSE)="","",VLOOKUP(E:E,'Old Report'!E:J,6,FALSE)),"")</f>
        <v/>
      </c>
      <c r="L897" t="str">
        <f>IFERROR(IF(VLOOKUP(E:E,'Old Report'!E:L,8,FALSE)="","",VLOOKUP(E:E,'Old Report'!E:L,8,FALSE)),"")</f>
        <v/>
      </c>
      <c r="M897" s="5" t="str">
        <f t="shared" si="68"/>
        <v/>
      </c>
      <c r="N897" s="5" t="str">
        <f t="shared" si="69"/>
        <v/>
      </c>
    </row>
    <row r="898" spans="1:14" x14ac:dyDescent="0.25">
      <c r="A898" s="5">
        <v>897</v>
      </c>
      <c r="B898" s="5">
        <f t="shared" si="66"/>
        <v>0</v>
      </c>
      <c r="C898" s="5" t="str">
        <f t="shared" ref="C898:C961" si="70">IF(F898&lt;&gt;"",A898,"")</f>
        <v/>
      </c>
      <c r="D898" s="5" t="str">
        <f>IFERROR(IF(F898&lt;&gt;"",F898,VLOOKUP(MAX(C$2:C898),A$2:F898,2,FALSE)),"")</f>
        <v/>
      </c>
      <c r="E898" s="5" t="str">
        <f t="shared" si="67"/>
        <v/>
      </c>
      <c r="K898" t="str">
        <f>IFERROR(IF(VLOOKUP(E:E,'Old Report'!E:J,6,FALSE)="","",VLOOKUP(E:E,'Old Report'!E:J,6,FALSE)),"")</f>
        <v/>
      </c>
      <c r="L898" t="str">
        <f>IFERROR(IF(VLOOKUP(E:E,'Old Report'!E:L,8,FALSE)="","",VLOOKUP(E:E,'Old Report'!E:L,8,FALSE)),"")</f>
        <v/>
      </c>
      <c r="M898" s="5" t="str">
        <f t="shared" si="68"/>
        <v/>
      </c>
      <c r="N898" s="5" t="str">
        <f t="shared" si="69"/>
        <v/>
      </c>
    </row>
    <row r="899" spans="1:14" x14ac:dyDescent="0.25">
      <c r="A899" s="5">
        <v>898</v>
      </c>
      <c r="B899" s="5">
        <f t="shared" ref="B899:B962" si="71">IF(F900&lt;&gt;"",F900,F899)</f>
        <v>0</v>
      </c>
      <c r="C899" s="5" t="str">
        <f t="shared" si="70"/>
        <v/>
      </c>
      <c r="D899" s="5" t="str">
        <f>IFERROR(IF(F899&lt;&gt;"",F899,VLOOKUP(MAX(C$2:C899),A$2:F899,2,FALSE)),"")</f>
        <v/>
      </c>
      <c r="E899" s="5" t="str">
        <f t="shared" ref="E899:E962" si="72">IF(H899&lt;&gt;"",CONCATENATE(D899,".",H899),"")</f>
        <v/>
      </c>
      <c r="K899" t="str">
        <f>IFERROR(IF(VLOOKUP(E:E,'Old Report'!E:J,6,FALSE)="","",VLOOKUP(E:E,'Old Report'!E:J,6,FALSE)),"")</f>
        <v/>
      </c>
      <c r="L899" t="str">
        <f>IFERROR(IF(VLOOKUP(E:E,'Old Report'!E:L,8,FALSE)="","",VLOOKUP(E:E,'Old Report'!E:L,8,FALSE)),"")</f>
        <v/>
      </c>
      <c r="M899" s="5" t="str">
        <f t="shared" si="68"/>
        <v/>
      </c>
      <c r="N899" s="5" t="str">
        <f t="shared" si="69"/>
        <v/>
      </c>
    </row>
    <row r="900" spans="1:14" x14ac:dyDescent="0.25">
      <c r="A900" s="5">
        <v>899</v>
      </c>
      <c r="B900" s="5">
        <f t="shared" si="71"/>
        <v>0</v>
      </c>
      <c r="C900" s="5" t="str">
        <f t="shared" si="70"/>
        <v/>
      </c>
      <c r="D900" s="5" t="str">
        <f>IFERROR(IF(F900&lt;&gt;"",F900,VLOOKUP(MAX(C$2:C900),A$2:F900,2,FALSE)),"")</f>
        <v/>
      </c>
      <c r="E900" s="5" t="str">
        <f t="shared" si="72"/>
        <v/>
      </c>
      <c r="K900" t="str">
        <f>IFERROR(IF(VLOOKUP(E:E,'Old Report'!E:J,6,FALSE)="","",VLOOKUP(E:E,'Old Report'!E:J,6,FALSE)),"")</f>
        <v/>
      </c>
      <c r="L900" t="str">
        <f>IFERROR(IF(VLOOKUP(E:E,'Old Report'!E:L,8,FALSE)="","",VLOOKUP(E:E,'Old Report'!E:L,8,FALSE)),"")</f>
        <v/>
      </c>
      <c r="M900" s="5" t="str">
        <f t="shared" ref="M900:M963" si="73">IFERROR(L900,"")</f>
        <v/>
      </c>
      <c r="N900" s="5" t="str">
        <f t="shared" ref="N900:N963" si="74">IFERROR( IF(J900&lt;&gt;"",IF(K900 &lt;&gt; "",IF(J900 = K900,"No Change",IF(J900 &lt; K900,CONCATENATE("Issues reduced from ",K900," to ",J900),IF(J900&gt;K900,CONCATENATE("Issues increased from ",K900," to ",J900),""))),"New issue - needs to be checked"),""),"")</f>
        <v/>
      </c>
    </row>
    <row r="901" spans="1:14" x14ac:dyDescent="0.25">
      <c r="A901" s="5">
        <v>900</v>
      </c>
      <c r="B901" s="5">
        <f t="shared" si="71"/>
        <v>0</v>
      </c>
      <c r="C901" s="5" t="str">
        <f t="shared" si="70"/>
        <v/>
      </c>
      <c r="D901" s="5" t="str">
        <f>IFERROR(IF(F901&lt;&gt;"",F901,VLOOKUP(MAX(C$2:C901),A$2:F901,2,FALSE)),"")</f>
        <v/>
      </c>
      <c r="E901" s="5" t="str">
        <f t="shared" si="72"/>
        <v/>
      </c>
      <c r="K901" t="str">
        <f>IFERROR(IF(VLOOKUP(E:E,'Old Report'!E:J,6,FALSE)="","",VLOOKUP(E:E,'Old Report'!E:J,6,FALSE)),"")</f>
        <v/>
      </c>
      <c r="L901" t="str">
        <f>IFERROR(IF(VLOOKUP(E:E,'Old Report'!E:L,8,FALSE)="","",VLOOKUP(E:E,'Old Report'!E:L,8,FALSE)),"")</f>
        <v/>
      </c>
      <c r="M901" s="5" t="str">
        <f t="shared" si="73"/>
        <v/>
      </c>
      <c r="N901" s="5" t="str">
        <f t="shared" si="74"/>
        <v/>
      </c>
    </row>
    <row r="902" spans="1:14" x14ac:dyDescent="0.25">
      <c r="A902" s="5">
        <v>901</v>
      </c>
      <c r="B902" s="5">
        <f t="shared" si="71"/>
        <v>0</v>
      </c>
      <c r="C902" s="5" t="str">
        <f t="shared" si="70"/>
        <v/>
      </c>
      <c r="D902" s="5" t="str">
        <f>IFERROR(IF(F902&lt;&gt;"",F902,VLOOKUP(MAX(C$2:C902),A$2:F902,2,FALSE)),"")</f>
        <v/>
      </c>
      <c r="E902" s="5" t="str">
        <f t="shared" si="72"/>
        <v/>
      </c>
      <c r="K902" t="str">
        <f>IFERROR(IF(VLOOKUP(E:E,'Old Report'!E:J,6,FALSE)="","",VLOOKUP(E:E,'Old Report'!E:J,6,FALSE)),"")</f>
        <v/>
      </c>
      <c r="L902" t="str">
        <f>IFERROR(IF(VLOOKUP(E:E,'Old Report'!E:L,8,FALSE)="","",VLOOKUP(E:E,'Old Report'!E:L,8,FALSE)),"")</f>
        <v/>
      </c>
      <c r="M902" s="5" t="str">
        <f t="shared" si="73"/>
        <v/>
      </c>
      <c r="N902" s="5" t="str">
        <f t="shared" si="74"/>
        <v/>
      </c>
    </row>
    <row r="903" spans="1:14" x14ac:dyDescent="0.25">
      <c r="A903" s="5">
        <v>902</v>
      </c>
      <c r="B903" s="5">
        <f t="shared" si="71"/>
        <v>0</v>
      </c>
      <c r="C903" s="5" t="str">
        <f t="shared" si="70"/>
        <v/>
      </c>
      <c r="D903" s="5" t="str">
        <f>IFERROR(IF(F903&lt;&gt;"",F903,VLOOKUP(MAX(C$2:C903),A$2:F903,2,FALSE)),"")</f>
        <v/>
      </c>
      <c r="E903" s="5" t="str">
        <f t="shared" si="72"/>
        <v/>
      </c>
      <c r="K903" t="str">
        <f>IFERROR(IF(VLOOKUP(E:E,'Old Report'!E:J,6,FALSE)="","",VLOOKUP(E:E,'Old Report'!E:J,6,FALSE)),"")</f>
        <v/>
      </c>
      <c r="L903" t="str">
        <f>IFERROR(IF(VLOOKUP(E:E,'Old Report'!E:L,8,FALSE)="","",VLOOKUP(E:E,'Old Report'!E:L,8,FALSE)),"")</f>
        <v/>
      </c>
      <c r="M903" s="5" t="str">
        <f t="shared" si="73"/>
        <v/>
      </c>
      <c r="N903" s="5" t="str">
        <f t="shared" si="74"/>
        <v/>
      </c>
    </row>
    <row r="904" spans="1:14" x14ac:dyDescent="0.25">
      <c r="A904" s="5">
        <v>903</v>
      </c>
      <c r="B904" s="5">
        <f t="shared" si="71"/>
        <v>0</v>
      </c>
      <c r="C904" s="5" t="str">
        <f t="shared" si="70"/>
        <v/>
      </c>
      <c r="D904" s="5" t="str">
        <f>IFERROR(IF(F904&lt;&gt;"",F904,VLOOKUP(MAX(C$2:C904),A$2:F904,2,FALSE)),"")</f>
        <v/>
      </c>
      <c r="E904" s="5" t="str">
        <f t="shared" si="72"/>
        <v/>
      </c>
      <c r="K904" t="str">
        <f>IFERROR(IF(VLOOKUP(E:E,'Old Report'!E:J,6,FALSE)="","",VLOOKUP(E:E,'Old Report'!E:J,6,FALSE)),"")</f>
        <v/>
      </c>
      <c r="L904" t="str">
        <f>IFERROR(IF(VLOOKUP(E:E,'Old Report'!E:L,8,FALSE)="","",VLOOKUP(E:E,'Old Report'!E:L,8,FALSE)),"")</f>
        <v/>
      </c>
      <c r="M904" s="5" t="str">
        <f t="shared" si="73"/>
        <v/>
      </c>
      <c r="N904" s="5" t="str">
        <f t="shared" si="74"/>
        <v/>
      </c>
    </row>
    <row r="905" spans="1:14" x14ac:dyDescent="0.25">
      <c r="A905" s="5">
        <v>904</v>
      </c>
      <c r="B905" s="5">
        <f t="shared" si="71"/>
        <v>0</v>
      </c>
      <c r="C905" s="5" t="str">
        <f t="shared" si="70"/>
        <v/>
      </c>
      <c r="D905" s="5" t="str">
        <f>IFERROR(IF(F905&lt;&gt;"",F905,VLOOKUP(MAX(C$2:C905),A$2:F905,2,FALSE)),"")</f>
        <v/>
      </c>
      <c r="E905" s="5" t="str">
        <f t="shared" si="72"/>
        <v/>
      </c>
      <c r="K905" t="str">
        <f>IFERROR(IF(VLOOKUP(E:E,'Old Report'!E:J,6,FALSE)="","",VLOOKUP(E:E,'Old Report'!E:J,6,FALSE)),"")</f>
        <v/>
      </c>
      <c r="L905" t="str">
        <f>IFERROR(IF(VLOOKUP(E:E,'Old Report'!E:L,8,FALSE)="","",VLOOKUP(E:E,'Old Report'!E:L,8,FALSE)),"")</f>
        <v/>
      </c>
      <c r="M905" s="5" t="str">
        <f t="shared" si="73"/>
        <v/>
      </c>
      <c r="N905" s="5" t="str">
        <f t="shared" si="74"/>
        <v/>
      </c>
    </row>
    <row r="906" spans="1:14" x14ac:dyDescent="0.25">
      <c r="A906" s="5">
        <v>905</v>
      </c>
      <c r="B906" s="5">
        <f t="shared" si="71"/>
        <v>0</v>
      </c>
      <c r="C906" s="5" t="str">
        <f t="shared" si="70"/>
        <v/>
      </c>
      <c r="D906" s="5" t="str">
        <f>IFERROR(IF(F906&lt;&gt;"",F906,VLOOKUP(MAX(C$2:C906),A$2:F906,2,FALSE)),"")</f>
        <v/>
      </c>
      <c r="E906" s="5" t="str">
        <f t="shared" si="72"/>
        <v/>
      </c>
      <c r="K906" t="str">
        <f>IFERROR(IF(VLOOKUP(E:E,'Old Report'!E:J,6,FALSE)="","",VLOOKUP(E:E,'Old Report'!E:J,6,FALSE)),"")</f>
        <v/>
      </c>
      <c r="L906" t="str">
        <f>IFERROR(IF(VLOOKUP(E:E,'Old Report'!E:L,8,FALSE)="","",VLOOKUP(E:E,'Old Report'!E:L,8,FALSE)),"")</f>
        <v/>
      </c>
      <c r="M906" s="5" t="str">
        <f t="shared" si="73"/>
        <v/>
      </c>
      <c r="N906" s="5" t="str">
        <f t="shared" si="74"/>
        <v/>
      </c>
    </row>
    <row r="907" spans="1:14" x14ac:dyDescent="0.25">
      <c r="A907" s="5">
        <v>906</v>
      </c>
      <c r="B907" s="5">
        <f t="shared" si="71"/>
        <v>0</v>
      </c>
      <c r="C907" s="5" t="str">
        <f t="shared" si="70"/>
        <v/>
      </c>
      <c r="D907" s="5" t="str">
        <f>IFERROR(IF(F907&lt;&gt;"",F907,VLOOKUP(MAX(C$2:C907),A$2:F907,2,FALSE)),"")</f>
        <v/>
      </c>
      <c r="E907" s="5" t="str">
        <f t="shared" si="72"/>
        <v/>
      </c>
      <c r="K907" t="str">
        <f>IFERROR(IF(VLOOKUP(E:E,'Old Report'!E:J,6,FALSE)="","",VLOOKUP(E:E,'Old Report'!E:J,6,FALSE)),"")</f>
        <v/>
      </c>
      <c r="L907" t="str">
        <f>IFERROR(IF(VLOOKUP(E:E,'Old Report'!E:L,8,FALSE)="","",VLOOKUP(E:E,'Old Report'!E:L,8,FALSE)),"")</f>
        <v/>
      </c>
      <c r="M907" s="5" t="str">
        <f t="shared" si="73"/>
        <v/>
      </c>
      <c r="N907" s="5" t="str">
        <f t="shared" si="74"/>
        <v/>
      </c>
    </row>
    <row r="908" spans="1:14" x14ac:dyDescent="0.25">
      <c r="A908" s="5">
        <v>907</v>
      </c>
      <c r="B908" s="5">
        <f t="shared" si="71"/>
        <v>0</v>
      </c>
      <c r="C908" s="5" t="str">
        <f t="shared" si="70"/>
        <v/>
      </c>
      <c r="D908" s="5" t="str">
        <f>IFERROR(IF(F908&lt;&gt;"",F908,VLOOKUP(MAX(C$2:C908),A$2:F908,2,FALSE)),"")</f>
        <v/>
      </c>
      <c r="E908" s="5" t="str">
        <f t="shared" si="72"/>
        <v/>
      </c>
      <c r="K908" t="str">
        <f>IFERROR(IF(VLOOKUP(E:E,'Old Report'!E:J,6,FALSE)="","",VLOOKUP(E:E,'Old Report'!E:J,6,FALSE)),"")</f>
        <v/>
      </c>
      <c r="L908" t="str">
        <f>IFERROR(IF(VLOOKUP(E:E,'Old Report'!E:L,8,FALSE)="","",VLOOKUP(E:E,'Old Report'!E:L,8,FALSE)),"")</f>
        <v/>
      </c>
      <c r="M908" s="5" t="str">
        <f t="shared" si="73"/>
        <v/>
      </c>
      <c r="N908" s="5" t="str">
        <f t="shared" si="74"/>
        <v/>
      </c>
    </row>
    <row r="909" spans="1:14" x14ac:dyDescent="0.25">
      <c r="A909" s="5">
        <v>908</v>
      </c>
      <c r="B909" s="5">
        <f t="shared" si="71"/>
        <v>0</v>
      </c>
      <c r="C909" s="5" t="str">
        <f t="shared" si="70"/>
        <v/>
      </c>
      <c r="D909" s="5" t="str">
        <f>IFERROR(IF(F909&lt;&gt;"",F909,VLOOKUP(MAX(C$2:C909),A$2:F909,2,FALSE)),"")</f>
        <v/>
      </c>
      <c r="E909" s="5" t="str">
        <f t="shared" si="72"/>
        <v/>
      </c>
      <c r="K909" t="str">
        <f>IFERROR(IF(VLOOKUP(E:E,'Old Report'!E:J,6,FALSE)="","",VLOOKUP(E:E,'Old Report'!E:J,6,FALSE)),"")</f>
        <v/>
      </c>
      <c r="L909" t="str">
        <f>IFERROR(IF(VLOOKUP(E:E,'Old Report'!E:L,8,FALSE)="","",VLOOKUP(E:E,'Old Report'!E:L,8,FALSE)),"")</f>
        <v/>
      </c>
      <c r="M909" s="5" t="str">
        <f t="shared" si="73"/>
        <v/>
      </c>
      <c r="N909" s="5" t="str">
        <f t="shared" si="74"/>
        <v/>
      </c>
    </row>
    <row r="910" spans="1:14" x14ac:dyDescent="0.25">
      <c r="A910" s="5">
        <v>909</v>
      </c>
      <c r="B910" s="5">
        <f t="shared" si="71"/>
        <v>0</v>
      </c>
      <c r="C910" s="5" t="str">
        <f t="shared" si="70"/>
        <v/>
      </c>
      <c r="D910" s="5" t="str">
        <f>IFERROR(IF(F910&lt;&gt;"",F910,VLOOKUP(MAX(C$2:C910),A$2:F910,2,FALSE)),"")</f>
        <v/>
      </c>
      <c r="E910" s="5" t="str">
        <f t="shared" si="72"/>
        <v/>
      </c>
      <c r="K910" t="str">
        <f>IFERROR(IF(VLOOKUP(E:E,'Old Report'!E:J,6,FALSE)="","",VLOOKUP(E:E,'Old Report'!E:J,6,FALSE)),"")</f>
        <v/>
      </c>
      <c r="L910" t="str">
        <f>IFERROR(IF(VLOOKUP(E:E,'Old Report'!E:L,8,FALSE)="","",VLOOKUP(E:E,'Old Report'!E:L,8,FALSE)),"")</f>
        <v/>
      </c>
      <c r="M910" s="5" t="str">
        <f t="shared" si="73"/>
        <v/>
      </c>
      <c r="N910" s="5" t="str">
        <f t="shared" si="74"/>
        <v/>
      </c>
    </row>
    <row r="911" spans="1:14" x14ac:dyDescent="0.25">
      <c r="A911" s="5">
        <v>910</v>
      </c>
      <c r="B911" s="5">
        <f t="shared" si="71"/>
        <v>0</v>
      </c>
      <c r="C911" s="5" t="str">
        <f t="shared" si="70"/>
        <v/>
      </c>
      <c r="D911" s="5" t="str">
        <f>IFERROR(IF(F911&lt;&gt;"",F911,VLOOKUP(MAX(C$2:C911),A$2:F911,2,FALSE)),"")</f>
        <v/>
      </c>
      <c r="E911" s="5" t="str">
        <f t="shared" si="72"/>
        <v/>
      </c>
      <c r="K911" t="str">
        <f>IFERROR(IF(VLOOKUP(E:E,'Old Report'!E:J,6,FALSE)="","",VLOOKUP(E:E,'Old Report'!E:J,6,FALSE)),"")</f>
        <v/>
      </c>
      <c r="L911" t="str">
        <f>IFERROR(IF(VLOOKUP(E:E,'Old Report'!E:L,8,FALSE)="","",VLOOKUP(E:E,'Old Report'!E:L,8,FALSE)),"")</f>
        <v/>
      </c>
      <c r="M911" s="5" t="str">
        <f t="shared" si="73"/>
        <v/>
      </c>
      <c r="N911" s="5" t="str">
        <f t="shared" si="74"/>
        <v/>
      </c>
    </row>
    <row r="912" spans="1:14" x14ac:dyDescent="0.25">
      <c r="A912" s="5">
        <v>911</v>
      </c>
      <c r="B912" s="5">
        <f t="shared" si="71"/>
        <v>0</v>
      </c>
      <c r="C912" s="5" t="str">
        <f t="shared" si="70"/>
        <v/>
      </c>
      <c r="D912" s="5" t="str">
        <f>IFERROR(IF(F912&lt;&gt;"",F912,VLOOKUP(MAX(C$2:C912),A$2:F912,2,FALSE)),"")</f>
        <v/>
      </c>
      <c r="E912" s="5" t="str">
        <f t="shared" si="72"/>
        <v/>
      </c>
      <c r="K912" t="str">
        <f>IFERROR(IF(VLOOKUP(E:E,'Old Report'!E:J,6,FALSE)="","",VLOOKUP(E:E,'Old Report'!E:J,6,FALSE)),"")</f>
        <v/>
      </c>
      <c r="L912" t="str">
        <f>IFERROR(IF(VLOOKUP(E:E,'Old Report'!E:L,8,FALSE)="","",VLOOKUP(E:E,'Old Report'!E:L,8,FALSE)),"")</f>
        <v/>
      </c>
      <c r="M912" s="5" t="str">
        <f t="shared" si="73"/>
        <v/>
      </c>
      <c r="N912" s="5" t="str">
        <f t="shared" si="74"/>
        <v/>
      </c>
    </row>
    <row r="913" spans="1:14" x14ac:dyDescent="0.25">
      <c r="A913" s="5">
        <v>912</v>
      </c>
      <c r="B913" s="5">
        <f t="shared" si="71"/>
        <v>0</v>
      </c>
      <c r="C913" s="5" t="str">
        <f t="shared" si="70"/>
        <v/>
      </c>
      <c r="D913" s="5" t="str">
        <f>IFERROR(IF(F913&lt;&gt;"",F913,VLOOKUP(MAX(C$2:C913),A$2:F913,2,FALSE)),"")</f>
        <v/>
      </c>
      <c r="E913" s="5" t="str">
        <f t="shared" si="72"/>
        <v/>
      </c>
      <c r="K913" t="str">
        <f>IFERROR(IF(VLOOKUP(E:E,'Old Report'!E:J,6,FALSE)="","",VLOOKUP(E:E,'Old Report'!E:J,6,FALSE)),"")</f>
        <v/>
      </c>
      <c r="L913" t="str">
        <f>IFERROR(IF(VLOOKUP(E:E,'Old Report'!E:L,8,FALSE)="","",VLOOKUP(E:E,'Old Report'!E:L,8,FALSE)),"")</f>
        <v/>
      </c>
      <c r="M913" s="5" t="str">
        <f t="shared" si="73"/>
        <v/>
      </c>
      <c r="N913" s="5" t="str">
        <f t="shared" si="74"/>
        <v/>
      </c>
    </row>
    <row r="914" spans="1:14" x14ac:dyDescent="0.25">
      <c r="A914" s="5">
        <v>913</v>
      </c>
      <c r="B914" s="5">
        <f t="shared" si="71"/>
        <v>0</v>
      </c>
      <c r="C914" s="5" t="str">
        <f t="shared" si="70"/>
        <v/>
      </c>
      <c r="D914" s="5" t="str">
        <f>IFERROR(IF(F914&lt;&gt;"",F914,VLOOKUP(MAX(C$2:C914),A$2:F914,2,FALSE)),"")</f>
        <v/>
      </c>
      <c r="E914" s="5" t="str">
        <f t="shared" si="72"/>
        <v/>
      </c>
      <c r="K914" t="str">
        <f>IFERROR(IF(VLOOKUP(E:E,'Old Report'!E:J,6,FALSE)="","",VLOOKUP(E:E,'Old Report'!E:J,6,FALSE)),"")</f>
        <v/>
      </c>
      <c r="L914" t="str">
        <f>IFERROR(IF(VLOOKUP(E:E,'Old Report'!E:L,8,FALSE)="","",VLOOKUP(E:E,'Old Report'!E:L,8,FALSE)),"")</f>
        <v/>
      </c>
      <c r="M914" s="5" t="str">
        <f t="shared" si="73"/>
        <v/>
      </c>
      <c r="N914" s="5" t="str">
        <f t="shared" si="74"/>
        <v/>
      </c>
    </row>
    <row r="915" spans="1:14" x14ac:dyDescent="0.25">
      <c r="A915" s="5">
        <v>914</v>
      </c>
      <c r="B915" s="5">
        <f t="shared" si="71"/>
        <v>0</v>
      </c>
      <c r="C915" s="5" t="str">
        <f t="shared" si="70"/>
        <v/>
      </c>
      <c r="D915" s="5" t="str">
        <f>IFERROR(IF(F915&lt;&gt;"",F915,VLOOKUP(MAX(C$2:C915),A$2:F915,2,FALSE)),"")</f>
        <v/>
      </c>
      <c r="E915" s="5" t="str">
        <f t="shared" si="72"/>
        <v/>
      </c>
      <c r="K915" t="str">
        <f>IFERROR(IF(VLOOKUP(E:E,'Old Report'!E:J,6,FALSE)="","",VLOOKUP(E:E,'Old Report'!E:J,6,FALSE)),"")</f>
        <v/>
      </c>
      <c r="L915" t="str">
        <f>IFERROR(IF(VLOOKUP(E:E,'Old Report'!E:L,8,FALSE)="","",VLOOKUP(E:E,'Old Report'!E:L,8,FALSE)),"")</f>
        <v/>
      </c>
      <c r="M915" s="5" t="str">
        <f t="shared" si="73"/>
        <v/>
      </c>
      <c r="N915" s="5" t="str">
        <f t="shared" si="74"/>
        <v/>
      </c>
    </row>
    <row r="916" spans="1:14" x14ac:dyDescent="0.25">
      <c r="A916" s="5">
        <v>915</v>
      </c>
      <c r="B916" s="5">
        <f t="shared" si="71"/>
        <v>0</v>
      </c>
      <c r="C916" s="5" t="str">
        <f t="shared" si="70"/>
        <v/>
      </c>
      <c r="D916" s="5" t="str">
        <f>IFERROR(IF(F916&lt;&gt;"",F916,VLOOKUP(MAX(C$2:C916),A$2:F916,2,FALSE)),"")</f>
        <v/>
      </c>
      <c r="E916" s="5" t="str">
        <f t="shared" si="72"/>
        <v/>
      </c>
      <c r="K916" t="str">
        <f>IFERROR(IF(VLOOKUP(E:E,'Old Report'!E:J,6,FALSE)="","",VLOOKUP(E:E,'Old Report'!E:J,6,FALSE)),"")</f>
        <v/>
      </c>
      <c r="L916" t="str">
        <f>IFERROR(IF(VLOOKUP(E:E,'Old Report'!E:L,8,FALSE)="","",VLOOKUP(E:E,'Old Report'!E:L,8,FALSE)),"")</f>
        <v/>
      </c>
      <c r="M916" s="5" t="str">
        <f t="shared" si="73"/>
        <v/>
      </c>
      <c r="N916" s="5" t="str">
        <f t="shared" si="74"/>
        <v/>
      </c>
    </row>
    <row r="917" spans="1:14" x14ac:dyDescent="0.25">
      <c r="A917" s="5">
        <v>916</v>
      </c>
      <c r="B917" s="5">
        <f t="shared" si="71"/>
        <v>0</v>
      </c>
      <c r="C917" s="5" t="str">
        <f t="shared" si="70"/>
        <v/>
      </c>
      <c r="D917" s="5" t="str">
        <f>IFERROR(IF(F917&lt;&gt;"",F917,VLOOKUP(MAX(C$2:C917),A$2:F917,2,FALSE)),"")</f>
        <v/>
      </c>
      <c r="E917" s="5" t="str">
        <f t="shared" si="72"/>
        <v/>
      </c>
      <c r="K917" t="str">
        <f>IFERROR(IF(VLOOKUP(E:E,'Old Report'!E:J,6,FALSE)="","",VLOOKUP(E:E,'Old Report'!E:J,6,FALSE)),"")</f>
        <v/>
      </c>
      <c r="L917" t="str">
        <f>IFERROR(IF(VLOOKUP(E:E,'Old Report'!E:L,8,FALSE)="","",VLOOKUP(E:E,'Old Report'!E:L,8,FALSE)),"")</f>
        <v/>
      </c>
      <c r="M917" s="5" t="str">
        <f t="shared" si="73"/>
        <v/>
      </c>
      <c r="N917" s="5" t="str">
        <f t="shared" si="74"/>
        <v/>
      </c>
    </row>
    <row r="918" spans="1:14" x14ac:dyDescent="0.25">
      <c r="A918" s="5">
        <v>917</v>
      </c>
      <c r="B918" s="5">
        <f t="shared" si="71"/>
        <v>0</v>
      </c>
      <c r="C918" s="5" t="str">
        <f t="shared" si="70"/>
        <v/>
      </c>
      <c r="D918" s="5" t="str">
        <f>IFERROR(IF(F918&lt;&gt;"",F918,VLOOKUP(MAX(C$2:C918),A$2:F918,2,FALSE)),"")</f>
        <v/>
      </c>
      <c r="E918" s="5" t="str">
        <f t="shared" si="72"/>
        <v/>
      </c>
      <c r="K918" t="str">
        <f>IFERROR(IF(VLOOKUP(E:E,'Old Report'!E:J,6,FALSE)="","",VLOOKUP(E:E,'Old Report'!E:J,6,FALSE)),"")</f>
        <v/>
      </c>
      <c r="L918" t="str">
        <f>IFERROR(IF(VLOOKUP(E:E,'Old Report'!E:L,8,FALSE)="","",VLOOKUP(E:E,'Old Report'!E:L,8,FALSE)),"")</f>
        <v/>
      </c>
      <c r="M918" s="5" t="str">
        <f t="shared" si="73"/>
        <v/>
      </c>
      <c r="N918" s="5" t="str">
        <f t="shared" si="74"/>
        <v/>
      </c>
    </row>
    <row r="919" spans="1:14" x14ac:dyDescent="0.25">
      <c r="A919" s="5">
        <v>918</v>
      </c>
      <c r="B919" s="5">
        <f t="shared" si="71"/>
        <v>0</v>
      </c>
      <c r="C919" s="5" t="str">
        <f t="shared" si="70"/>
        <v/>
      </c>
      <c r="D919" s="5" t="str">
        <f>IFERROR(IF(F919&lt;&gt;"",F919,VLOOKUP(MAX(C$2:C919),A$2:F919,2,FALSE)),"")</f>
        <v/>
      </c>
      <c r="E919" s="5" t="str">
        <f t="shared" si="72"/>
        <v/>
      </c>
      <c r="K919" t="str">
        <f>IFERROR(IF(VLOOKUP(E:E,'Old Report'!E:J,6,FALSE)="","",VLOOKUP(E:E,'Old Report'!E:J,6,FALSE)),"")</f>
        <v/>
      </c>
      <c r="L919" t="str">
        <f>IFERROR(IF(VLOOKUP(E:E,'Old Report'!E:L,8,FALSE)="","",VLOOKUP(E:E,'Old Report'!E:L,8,FALSE)),"")</f>
        <v/>
      </c>
      <c r="M919" s="5" t="str">
        <f t="shared" si="73"/>
        <v/>
      </c>
      <c r="N919" s="5" t="str">
        <f t="shared" si="74"/>
        <v/>
      </c>
    </row>
    <row r="920" spans="1:14" x14ac:dyDescent="0.25">
      <c r="A920" s="5">
        <v>919</v>
      </c>
      <c r="B920" s="5">
        <f t="shared" si="71"/>
        <v>0</v>
      </c>
      <c r="C920" s="5" t="str">
        <f t="shared" si="70"/>
        <v/>
      </c>
      <c r="D920" s="5" t="str">
        <f>IFERROR(IF(F920&lt;&gt;"",F920,VLOOKUP(MAX(C$2:C920),A$2:F920,2,FALSE)),"")</f>
        <v/>
      </c>
      <c r="E920" s="5" t="str">
        <f t="shared" si="72"/>
        <v/>
      </c>
      <c r="K920" t="str">
        <f>IFERROR(IF(VLOOKUP(E:E,'Old Report'!E:J,6,FALSE)="","",VLOOKUP(E:E,'Old Report'!E:J,6,FALSE)),"")</f>
        <v/>
      </c>
      <c r="L920" t="str">
        <f>IFERROR(IF(VLOOKUP(E:E,'Old Report'!E:L,8,FALSE)="","",VLOOKUP(E:E,'Old Report'!E:L,8,FALSE)),"")</f>
        <v/>
      </c>
      <c r="M920" s="5" t="str">
        <f t="shared" si="73"/>
        <v/>
      </c>
      <c r="N920" s="5" t="str">
        <f t="shared" si="74"/>
        <v/>
      </c>
    </row>
    <row r="921" spans="1:14" x14ac:dyDescent="0.25">
      <c r="A921" s="5">
        <v>920</v>
      </c>
      <c r="B921" s="5">
        <f t="shared" si="71"/>
        <v>0</v>
      </c>
      <c r="C921" s="5" t="str">
        <f t="shared" si="70"/>
        <v/>
      </c>
      <c r="D921" s="5" t="str">
        <f>IFERROR(IF(F921&lt;&gt;"",F921,VLOOKUP(MAX(C$2:C921),A$2:F921,2,FALSE)),"")</f>
        <v/>
      </c>
      <c r="E921" s="5" t="str">
        <f t="shared" si="72"/>
        <v/>
      </c>
      <c r="K921" t="str">
        <f>IFERROR(IF(VLOOKUP(E:E,'Old Report'!E:J,6,FALSE)="","",VLOOKUP(E:E,'Old Report'!E:J,6,FALSE)),"")</f>
        <v/>
      </c>
      <c r="L921" t="str">
        <f>IFERROR(IF(VLOOKUP(E:E,'Old Report'!E:L,8,FALSE)="","",VLOOKUP(E:E,'Old Report'!E:L,8,FALSE)),"")</f>
        <v/>
      </c>
      <c r="M921" s="5" t="str">
        <f t="shared" si="73"/>
        <v/>
      </c>
      <c r="N921" s="5" t="str">
        <f t="shared" si="74"/>
        <v/>
      </c>
    </row>
    <row r="922" spans="1:14" x14ac:dyDescent="0.25">
      <c r="A922" s="5">
        <v>921</v>
      </c>
      <c r="B922" s="5">
        <f t="shared" si="71"/>
        <v>0</v>
      </c>
      <c r="C922" s="5" t="str">
        <f t="shared" si="70"/>
        <v/>
      </c>
      <c r="D922" s="5" t="str">
        <f>IFERROR(IF(F922&lt;&gt;"",F922,VLOOKUP(MAX(C$2:C922),A$2:F922,2,FALSE)),"")</f>
        <v/>
      </c>
      <c r="E922" s="5" t="str">
        <f t="shared" si="72"/>
        <v/>
      </c>
      <c r="K922" t="str">
        <f>IFERROR(IF(VLOOKUP(E:E,'Old Report'!E:J,6,FALSE)="","",VLOOKUP(E:E,'Old Report'!E:J,6,FALSE)),"")</f>
        <v/>
      </c>
      <c r="L922" t="str">
        <f>IFERROR(IF(VLOOKUP(E:E,'Old Report'!E:L,8,FALSE)="","",VLOOKUP(E:E,'Old Report'!E:L,8,FALSE)),"")</f>
        <v/>
      </c>
      <c r="M922" s="5" t="str">
        <f t="shared" si="73"/>
        <v/>
      </c>
      <c r="N922" s="5" t="str">
        <f t="shared" si="74"/>
        <v/>
      </c>
    </row>
    <row r="923" spans="1:14" x14ac:dyDescent="0.25">
      <c r="A923" s="5">
        <v>922</v>
      </c>
      <c r="B923" s="5">
        <f t="shared" si="71"/>
        <v>0</v>
      </c>
      <c r="C923" s="5" t="str">
        <f t="shared" si="70"/>
        <v/>
      </c>
      <c r="D923" s="5" t="str">
        <f>IFERROR(IF(F923&lt;&gt;"",F923,VLOOKUP(MAX(C$2:C923),A$2:F923,2,FALSE)),"")</f>
        <v/>
      </c>
      <c r="E923" s="5" t="str">
        <f t="shared" si="72"/>
        <v/>
      </c>
      <c r="K923" t="str">
        <f>IFERROR(IF(VLOOKUP(E:E,'Old Report'!E:J,6,FALSE)="","",VLOOKUP(E:E,'Old Report'!E:J,6,FALSE)),"")</f>
        <v/>
      </c>
      <c r="L923" t="str">
        <f>IFERROR(IF(VLOOKUP(E:E,'Old Report'!E:L,8,FALSE)="","",VLOOKUP(E:E,'Old Report'!E:L,8,FALSE)),"")</f>
        <v/>
      </c>
      <c r="M923" s="5" t="str">
        <f t="shared" si="73"/>
        <v/>
      </c>
      <c r="N923" s="5" t="str">
        <f t="shared" si="74"/>
        <v/>
      </c>
    </row>
    <row r="924" spans="1:14" x14ac:dyDescent="0.25">
      <c r="A924" s="5">
        <v>923</v>
      </c>
      <c r="B924" s="5">
        <f t="shared" si="71"/>
        <v>0</v>
      </c>
      <c r="C924" s="5" t="str">
        <f t="shared" si="70"/>
        <v/>
      </c>
      <c r="D924" s="5" t="str">
        <f>IFERROR(IF(F924&lt;&gt;"",F924,VLOOKUP(MAX(C$2:C924),A$2:F924,2,FALSE)),"")</f>
        <v/>
      </c>
      <c r="E924" s="5" t="str">
        <f t="shared" si="72"/>
        <v/>
      </c>
      <c r="K924" t="str">
        <f>IFERROR(IF(VLOOKUP(E:E,'Old Report'!E:J,6,FALSE)="","",VLOOKUP(E:E,'Old Report'!E:J,6,FALSE)),"")</f>
        <v/>
      </c>
      <c r="L924" t="str">
        <f>IFERROR(IF(VLOOKUP(E:E,'Old Report'!E:L,8,FALSE)="","",VLOOKUP(E:E,'Old Report'!E:L,8,FALSE)),"")</f>
        <v/>
      </c>
      <c r="M924" s="5" t="str">
        <f t="shared" si="73"/>
        <v/>
      </c>
      <c r="N924" s="5" t="str">
        <f t="shared" si="74"/>
        <v/>
      </c>
    </row>
    <row r="925" spans="1:14" x14ac:dyDescent="0.25">
      <c r="A925" s="5">
        <v>924</v>
      </c>
      <c r="B925" s="5">
        <f t="shared" si="71"/>
        <v>0</v>
      </c>
      <c r="C925" s="5" t="str">
        <f t="shared" si="70"/>
        <v/>
      </c>
      <c r="D925" s="5" t="str">
        <f>IFERROR(IF(F925&lt;&gt;"",F925,VLOOKUP(MAX(C$2:C925),A$2:F925,2,FALSE)),"")</f>
        <v/>
      </c>
      <c r="E925" s="5" t="str">
        <f t="shared" si="72"/>
        <v/>
      </c>
      <c r="K925" t="str">
        <f>IFERROR(IF(VLOOKUP(E:E,'Old Report'!E:J,6,FALSE)="","",VLOOKUP(E:E,'Old Report'!E:J,6,FALSE)),"")</f>
        <v/>
      </c>
      <c r="L925" t="str">
        <f>IFERROR(IF(VLOOKUP(E:E,'Old Report'!E:L,8,FALSE)="","",VLOOKUP(E:E,'Old Report'!E:L,8,FALSE)),"")</f>
        <v/>
      </c>
      <c r="M925" s="5" t="str">
        <f t="shared" si="73"/>
        <v/>
      </c>
      <c r="N925" s="5" t="str">
        <f t="shared" si="74"/>
        <v/>
      </c>
    </row>
    <row r="926" spans="1:14" x14ac:dyDescent="0.25">
      <c r="A926" s="5">
        <v>925</v>
      </c>
      <c r="B926" s="5">
        <f t="shared" si="71"/>
        <v>0</v>
      </c>
      <c r="C926" s="5" t="str">
        <f t="shared" si="70"/>
        <v/>
      </c>
      <c r="D926" s="5" t="str">
        <f>IFERROR(IF(F926&lt;&gt;"",F926,VLOOKUP(MAX(C$2:C926),A$2:F926,2,FALSE)),"")</f>
        <v/>
      </c>
      <c r="E926" s="5" t="str">
        <f t="shared" si="72"/>
        <v/>
      </c>
      <c r="K926" t="str">
        <f>IFERROR(IF(VLOOKUP(E:E,'Old Report'!E:J,6,FALSE)="","",VLOOKUP(E:E,'Old Report'!E:J,6,FALSE)),"")</f>
        <v/>
      </c>
      <c r="L926" t="str">
        <f>IFERROR(IF(VLOOKUP(E:E,'Old Report'!E:L,8,FALSE)="","",VLOOKUP(E:E,'Old Report'!E:L,8,FALSE)),"")</f>
        <v/>
      </c>
      <c r="M926" s="5" t="str">
        <f t="shared" si="73"/>
        <v/>
      </c>
      <c r="N926" s="5" t="str">
        <f t="shared" si="74"/>
        <v/>
      </c>
    </row>
    <row r="927" spans="1:14" x14ac:dyDescent="0.25">
      <c r="A927" s="5">
        <v>926</v>
      </c>
      <c r="B927" s="5">
        <f t="shared" si="71"/>
        <v>0</v>
      </c>
      <c r="C927" s="5" t="str">
        <f t="shared" si="70"/>
        <v/>
      </c>
      <c r="D927" s="5" t="str">
        <f>IFERROR(IF(F927&lt;&gt;"",F927,VLOOKUP(MAX(C$2:C927),A$2:F927,2,FALSE)),"")</f>
        <v/>
      </c>
      <c r="E927" s="5" t="str">
        <f t="shared" si="72"/>
        <v/>
      </c>
      <c r="K927" t="str">
        <f>IFERROR(IF(VLOOKUP(E:E,'Old Report'!E:J,6,FALSE)="","",VLOOKUP(E:E,'Old Report'!E:J,6,FALSE)),"")</f>
        <v/>
      </c>
      <c r="L927" t="str">
        <f>IFERROR(IF(VLOOKUP(E:E,'Old Report'!E:L,8,FALSE)="","",VLOOKUP(E:E,'Old Report'!E:L,8,FALSE)),"")</f>
        <v/>
      </c>
      <c r="M927" s="5" t="str">
        <f t="shared" si="73"/>
        <v/>
      </c>
      <c r="N927" s="5" t="str">
        <f t="shared" si="74"/>
        <v/>
      </c>
    </row>
    <row r="928" spans="1:14" x14ac:dyDescent="0.25">
      <c r="A928" s="5">
        <v>927</v>
      </c>
      <c r="B928" s="5">
        <f t="shared" si="71"/>
        <v>0</v>
      </c>
      <c r="C928" s="5" t="str">
        <f t="shared" si="70"/>
        <v/>
      </c>
      <c r="D928" s="5" t="str">
        <f>IFERROR(IF(F928&lt;&gt;"",F928,VLOOKUP(MAX(C$2:C928),A$2:F928,2,FALSE)),"")</f>
        <v/>
      </c>
      <c r="E928" s="5" t="str">
        <f t="shared" si="72"/>
        <v/>
      </c>
      <c r="K928" t="str">
        <f>IFERROR(IF(VLOOKUP(E:E,'Old Report'!E:J,6,FALSE)="","",VLOOKUP(E:E,'Old Report'!E:J,6,FALSE)),"")</f>
        <v/>
      </c>
      <c r="L928" t="str">
        <f>IFERROR(IF(VLOOKUP(E:E,'Old Report'!E:L,8,FALSE)="","",VLOOKUP(E:E,'Old Report'!E:L,8,FALSE)),"")</f>
        <v/>
      </c>
      <c r="M928" s="5" t="str">
        <f t="shared" si="73"/>
        <v/>
      </c>
      <c r="N928" s="5" t="str">
        <f t="shared" si="74"/>
        <v/>
      </c>
    </row>
    <row r="929" spans="1:14" x14ac:dyDescent="0.25">
      <c r="A929" s="5">
        <v>928</v>
      </c>
      <c r="B929" s="5">
        <f t="shared" si="71"/>
        <v>0</v>
      </c>
      <c r="C929" s="5" t="str">
        <f t="shared" si="70"/>
        <v/>
      </c>
      <c r="D929" s="5" t="str">
        <f>IFERROR(IF(F929&lt;&gt;"",F929,VLOOKUP(MAX(C$2:C929),A$2:F929,2,FALSE)),"")</f>
        <v/>
      </c>
      <c r="E929" s="5" t="str">
        <f t="shared" si="72"/>
        <v/>
      </c>
      <c r="K929" t="str">
        <f>IFERROR(IF(VLOOKUP(E:E,'Old Report'!E:J,6,FALSE)="","",VLOOKUP(E:E,'Old Report'!E:J,6,FALSE)),"")</f>
        <v/>
      </c>
      <c r="L929" t="str">
        <f>IFERROR(IF(VLOOKUP(E:E,'Old Report'!E:L,8,FALSE)="","",VLOOKUP(E:E,'Old Report'!E:L,8,FALSE)),"")</f>
        <v/>
      </c>
      <c r="M929" s="5" t="str">
        <f t="shared" si="73"/>
        <v/>
      </c>
      <c r="N929" s="5" t="str">
        <f t="shared" si="74"/>
        <v/>
      </c>
    </row>
    <row r="930" spans="1:14" x14ac:dyDescent="0.25">
      <c r="A930" s="5">
        <v>929</v>
      </c>
      <c r="B930" s="5">
        <f t="shared" si="71"/>
        <v>0</v>
      </c>
      <c r="C930" s="5" t="str">
        <f t="shared" si="70"/>
        <v/>
      </c>
      <c r="D930" s="5" t="str">
        <f>IFERROR(IF(F930&lt;&gt;"",F930,VLOOKUP(MAX(C$2:C930),A$2:F930,2,FALSE)),"")</f>
        <v/>
      </c>
      <c r="E930" s="5" t="str">
        <f t="shared" si="72"/>
        <v/>
      </c>
      <c r="K930" t="str">
        <f>IFERROR(IF(VLOOKUP(E:E,'Old Report'!E:J,6,FALSE)="","",VLOOKUP(E:E,'Old Report'!E:J,6,FALSE)),"")</f>
        <v/>
      </c>
      <c r="L930" t="str">
        <f>IFERROR(IF(VLOOKUP(E:E,'Old Report'!E:L,8,FALSE)="","",VLOOKUP(E:E,'Old Report'!E:L,8,FALSE)),"")</f>
        <v/>
      </c>
      <c r="M930" s="5" t="str">
        <f t="shared" si="73"/>
        <v/>
      </c>
      <c r="N930" s="5" t="str">
        <f t="shared" si="74"/>
        <v/>
      </c>
    </row>
    <row r="931" spans="1:14" x14ac:dyDescent="0.25">
      <c r="A931" s="5">
        <v>930</v>
      </c>
      <c r="B931" s="5">
        <f t="shared" si="71"/>
        <v>0</v>
      </c>
      <c r="C931" s="5" t="str">
        <f t="shared" si="70"/>
        <v/>
      </c>
      <c r="D931" s="5" t="str">
        <f>IFERROR(IF(F931&lt;&gt;"",F931,VLOOKUP(MAX(C$2:C931),A$2:F931,2,FALSE)),"")</f>
        <v/>
      </c>
      <c r="E931" s="5" t="str">
        <f t="shared" si="72"/>
        <v/>
      </c>
      <c r="K931" t="str">
        <f>IFERROR(IF(VLOOKUP(E:E,'Old Report'!E:J,6,FALSE)="","",VLOOKUP(E:E,'Old Report'!E:J,6,FALSE)),"")</f>
        <v/>
      </c>
      <c r="L931" t="str">
        <f>IFERROR(IF(VLOOKUP(E:E,'Old Report'!E:L,8,FALSE)="","",VLOOKUP(E:E,'Old Report'!E:L,8,FALSE)),"")</f>
        <v/>
      </c>
      <c r="M931" s="5" t="str">
        <f t="shared" si="73"/>
        <v/>
      </c>
      <c r="N931" s="5" t="str">
        <f t="shared" si="74"/>
        <v/>
      </c>
    </row>
    <row r="932" spans="1:14" x14ac:dyDescent="0.25">
      <c r="A932" s="5">
        <v>931</v>
      </c>
      <c r="B932" s="5">
        <f t="shared" si="71"/>
        <v>0</v>
      </c>
      <c r="C932" s="5" t="str">
        <f t="shared" si="70"/>
        <v/>
      </c>
      <c r="D932" s="5" t="str">
        <f>IFERROR(IF(F932&lt;&gt;"",F932,VLOOKUP(MAX(C$2:C932),A$2:F932,2,FALSE)),"")</f>
        <v/>
      </c>
      <c r="E932" s="5" t="str">
        <f t="shared" si="72"/>
        <v/>
      </c>
      <c r="K932" t="str">
        <f>IFERROR(IF(VLOOKUP(E:E,'Old Report'!E:J,6,FALSE)="","",VLOOKUP(E:E,'Old Report'!E:J,6,FALSE)),"")</f>
        <v/>
      </c>
      <c r="L932" t="str">
        <f>IFERROR(IF(VLOOKUP(E:E,'Old Report'!E:L,8,FALSE)="","",VLOOKUP(E:E,'Old Report'!E:L,8,FALSE)),"")</f>
        <v/>
      </c>
      <c r="M932" s="5" t="str">
        <f t="shared" si="73"/>
        <v/>
      </c>
      <c r="N932" s="5" t="str">
        <f t="shared" si="74"/>
        <v/>
      </c>
    </row>
    <row r="933" spans="1:14" x14ac:dyDescent="0.25">
      <c r="A933" s="5">
        <v>932</v>
      </c>
      <c r="B933" s="5">
        <f t="shared" si="71"/>
        <v>0</v>
      </c>
      <c r="C933" s="5" t="str">
        <f t="shared" si="70"/>
        <v/>
      </c>
      <c r="D933" s="5" t="str">
        <f>IFERROR(IF(F933&lt;&gt;"",F933,VLOOKUP(MAX(C$2:C933),A$2:F933,2,FALSE)),"")</f>
        <v/>
      </c>
      <c r="E933" s="5" t="str">
        <f t="shared" si="72"/>
        <v/>
      </c>
      <c r="K933" t="str">
        <f>IFERROR(IF(VLOOKUP(E:E,'Old Report'!E:J,6,FALSE)="","",VLOOKUP(E:E,'Old Report'!E:J,6,FALSE)),"")</f>
        <v/>
      </c>
      <c r="L933" t="str">
        <f>IFERROR(IF(VLOOKUP(E:E,'Old Report'!E:L,8,FALSE)="","",VLOOKUP(E:E,'Old Report'!E:L,8,FALSE)),"")</f>
        <v/>
      </c>
      <c r="M933" s="5" t="str">
        <f t="shared" si="73"/>
        <v/>
      </c>
      <c r="N933" s="5" t="str">
        <f t="shared" si="74"/>
        <v/>
      </c>
    </row>
    <row r="934" spans="1:14" x14ac:dyDescent="0.25">
      <c r="A934" s="5">
        <v>933</v>
      </c>
      <c r="B934" s="5">
        <f t="shared" si="71"/>
        <v>0</v>
      </c>
      <c r="C934" s="5" t="str">
        <f t="shared" si="70"/>
        <v/>
      </c>
      <c r="D934" s="5" t="str">
        <f>IFERROR(IF(F934&lt;&gt;"",F934,VLOOKUP(MAX(C$2:C934),A$2:F934,2,FALSE)),"")</f>
        <v/>
      </c>
      <c r="E934" s="5" t="str">
        <f t="shared" si="72"/>
        <v/>
      </c>
      <c r="K934" t="str">
        <f>IFERROR(IF(VLOOKUP(E:E,'Old Report'!E:J,6,FALSE)="","",VLOOKUP(E:E,'Old Report'!E:J,6,FALSE)),"")</f>
        <v/>
      </c>
      <c r="L934" t="str">
        <f>IFERROR(IF(VLOOKUP(E:E,'Old Report'!E:L,8,FALSE)="","",VLOOKUP(E:E,'Old Report'!E:L,8,FALSE)),"")</f>
        <v/>
      </c>
      <c r="M934" s="5" t="str">
        <f t="shared" si="73"/>
        <v/>
      </c>
      <c r="N934" s="5" t="str">
        <f t="shared" si="74"/>
        <v/>
      </c>
    </row>
    <row r="935" spans="1:14" x14ac:dyDescent="0.25">
      <c r="A935" s="5">
        <v>934</v>
      </c>
      <c r="B935" s="5">
        <f t="shared" si="71"/>
        <v>0</v>
      </c>
      <c r="C935" s="5" t="str">
        <f t="shared" si="70"/>
        <v/>
      </c>
      <c r="D935" s="5" t="str">
        <f>IFERROR(IF(F935&lt;&gt;"",F935,VLOOKUP(MAX(C$2:C935),A$2:F935,2,FALSE)),"")</f>
        <v/>
      </c>
      <c r="E935" s="5" t="str">
        <f t="shared" si="72"/>
        <v/>
      </c>
      <c r="K935" t="str">
        <f>IFERROR(IF(VLOOKUP(E:E,'Old Report'!E:J,6,FALSE)="","",VLOOKUP(E:E,'Old Report'!E:J,6,FALSE)),"")</f>
        <v/>
      </c>
      <c r="L935" t="str">
        <f>IFERROR(IF(VLOOKUP(E:E,'Old Report'!E:L,8,FALSE)="","",VLOOKUP(E:E,'Old Report'!E:L,8,FALSE)),"")</f>
        <v/>
      </c>
      <c r="M935" s="5" t="str">
        <f t="shared" si="73"/>
        <v/>
      </c>
      <c r="N935" s="5" t="str">
        <f t="shared" si="74"/>
        <v/>
      </c>
    </row>
    <row r="936" spans="1:14" x14ac:dyDescent="0.25">
      <c r="A936" s="5">
        <v>935</v>
      </c>
      <c r="B936" s="5">
        <f t="shared" si="71"/>
        <v>0</v>
      </c>
      <c r="C936" s="5" t="str">
        <f t="shared" si="70"/>
        <v/>
      </c>
      <c r="D936" s="5" t="str">
        <f>IFERROR(IF(F936&lt;&gt;"",F936,VLOOKUP(MAX(C$2:C936),A$2:F936,2,FALSE)),"")</f>
        <v/>
      </c>
      <c r="E936" s="5" t="str">
        <f t="shared" si="72"/>
        <v/>
      </c>
      <c r="K936" t="str">
        <f>IFERROR(IF(VLOOKUP(E:E,'Old Report'!E:J,6,FALSE)="","",VLOOKUP(E:E,'Old Report'!E:J,6,FALSE)),"")</f>
        <v/>
      </c>
      <c r="L936" t="str">
        <f>IFERROR(IF(VLOOKUP(E:E,'Old Report'!E:L,8,FALSE)="","",VLOOKUP(E:E,'Old Report'!E:L,8,FALSE)),"")</f>
        <v/>
      </c>
      <c r="M936" s="5" t="str">
        <f t="shared" si="73"/>
        <v/>
      </c>
      <c r="N936" s="5" t="str">
        <f t="shared" si="74"/>
        <v/>
      </c>
    </row>
    <row r="937" spans="1:14" x14ac:dyDescent="0.25">
      <c r="A937" s="5">
        <v>936</v>
      </c>
      <c r="B937" s="5">
        <f t="shared" si="71"/>
        <v>0</v>
      </c>
      <c r="C937" s="5" t="str">
        <f t="shared" si="70"/>
        <v/>
      </c>
      <c r="D937" s="5" t="str">
        <f>IFERROR(IF(F937&lt;&gt;"",F937,VLOOKUP(MAX(C$2:C937),A$2:F937,2,FALSE)),"")</f>
        <v/>
      </c>
      <c r="E937" s="5" t="str">
        <f t="shared" si="72"/>
        <v/>
      </c>
      <c r="K937" t="str">
        <f>IFERROR(IF(VLOOKUP(E:E,'Old Report'!E:J,6,FALSE)="","",VLOOKUP(E:E,'Old Report'!E:J,6,FALSE)),"")</f>
        <v/>
      </c>
      <c r="L937" t="str">
        <f>IFERROR(IF(VLOOKUP(E:E,'Old Report'!E:L,8,FALSE)="","",VLOOKUP(E:E,'Old Report'!E:L,8,FALSE)),"")</f>
        <v/>
      </c>
      <c r="M937" s="5" t="str">
        <f t="shared" si="73"/>
        <v/>
      </c>
      <c r="N937" s="5" t="str">
        <f t="shared" si="74"/>
        <v/>
      </c>
    </row>
    <row r="938" spans="1:14" x14ac:dyDescent="0.25">
      <c r="A938" s="5">
        <v>937</v>
      </c>
      <c r="B938" s="5">
        <f t="shared" si="71"/>
        <v>0</v>
      </c>
      <c r="C938" s="5" t="str">
        <f t="shared" si="70"/>
        <v/>
      </c>
      <c r="D938" s="5" t="str">
        <f>IFERROR(IF(F938&lt;&gt;"",F938,VLOOKUP(MAX(C$2:C938),A$2:F938,2,FALSE)),"")</f>
        <v/>
      </c>
      <c r="E938" s="5" t="str">
        <f t="shared" si="72"/>
        <v/>
      </c>
      <c r="K938" t="str">
        <f>IFERROR(IF(VLOOKUP(E:E,'Old Report'!E:J,6,FALSE)="","",VLOOKUP(E:E,'Old Report'!E:J,6,FALSE)),"")</f>
        <v/>
      </c>
      <c r="L938" t="str">
        <f>IFERROR(IF(VLOOKUP(E:E,'Old Report'!E:L,8,FALSE)="","",VLOOKUP(E:E,'Old Report'!E:L,8,FALSE)),"")</f>
        <v/>
      </c>
      <c r="M938" s="5" t="str">
        <f t="shared" si="73"/>
        <v/>
      </c>
      <c r="N938" s="5" t="str">
        <f t="shared" si="74"/>
        <v/>
      </c>
    </row>
    <row r="939" spans="1:14" x14ac:dyDescent="0.25">
      <c r="A939" s="5">
        <v>938</v>
      </c>
      <c r="B939" s="5">
        <f t="shared" si="71"/>
        <v>0</v>
      </c>
      <c r="C939" s="5" t="str">
        <f t="shared" si="70"/>
        <v/>
      </c>
      <c r="D939" s="5" t="str">
        <f>IFERROR(IF(F939&lt;&gt;"",F939,VLOOKUP(MAX(C$2:C939),A$2:F939,2,FALSE)),"")</f>
        <v/>
      </c>
      <c r="E939" s="5" t="str">
        <f t="shared" si="72"/>
        <v/>
      </c>
      <c r="K939" t="str">
        <f>IFERROR(IF(VLOOKUP(E:E,'Old Report'!E:J,6,FALSE)="","",VLOOKUP(E:E,'Old Report'!E:J,6,FALSE)),"")</f>
        <v/>
      </c>
      <c r="L939" t="str">
        <f>IFERROR(IF(VLOOKUP(E:E,'Old Report'!E:L,8,FALSE)="","",VLOOKUP(E:E,'Old Report'!E:L,8,FALSE)),"")</f>
        <v/>
      </c>
      <c r="M939" s="5" t="str">
        <f t="shared" si="73"/>
        <v/>
      </c>
      <c r="N939" s="5" t="str">
        <f t="shared" si="74"/>
        <v/>
      </c>
    </row>
    <row r="940" spans="1:14" x14ac:dyDescent="0.25">
      <c r="A940" s="5">
        <v>939</v>
      </c>
      <c r="B940" s="5">
        <f t="shared" si="71"/>
        <v>0</v>
      </c>
      <c r="C940" s="5" t="str">
        <f t="shared" si="70"/>
        <v/>
      </c>
      <c r="D940" s="5" t="str">
        <f>IFERROR(IF(F940&lt;&gt;"",F940,VLOOKUP(MAX(C$2:C940),A$2:F940,2,FALSE)),"")</f>
        <v/>
      </c>
      <c r="E940" s="5" t="str">
        <f t="shared" si="72"/>
        <v/>
      </c>
      <c r="K940" t="str">
        <f>IFERROR(IF(VLOOKUP(E:E,'Old Report'!E:J,6,FALSE)="","",VLOOKUP(E:E,'Old Report'!E:J,6,FALSE)),"")</f>
        <v/>
      </c>
      <c r="L940" t="str">
        <f>IFERROR(IF(VLOOKUP(E:E,'Old Report'!E:L,8,FALSE)="","",VLOOKUP(E:E,'Old Report'!E:L,8,FALSE)),"")</f>
        <v/>
      </c>
      <c r="M940" s="5" t="str">
        <f t="shared" si="73"/>
        <v/>
      </c>
      <c r="N940" s="5" t="str">
        <f t="shared" si="74"/>
        <v/>
      </c>
    </row>
    <row r="941" spans="1:14" x14ac:dyDescent="0.25">
      <c r="A941" s="5">
        <v>940</v>
      </c>
      <c r="B941" s="5">
        <f t="shared" si="71"/>
        <v>0</v>
      </c>
      <c r="C941" s="5" t="str">
        <f t="shared" si="70"/>
        <v/>
      </c>
      <c r="D941" s="5" t="str">
        <f>IFERROR(IF(F941&lt;&gt;"",F941,VLOOKUP(MAX(C$2:C941),A$2:F941,2,FALSE)),"")</f>
        <v/>
      </c>
      <c r="E941" s="5" t="str">
        <f t="shared" si="72"/>
        <v/>
      </c>
      <c r="K941" t="str">
        <f>IFERROR(IF(VLOOKUP(E:E,'Old Report'!E:J,6,FALSE)="","",VLOOKUP(E:E,'Old Report'!E:J,6,FALSE)),"")</f>
        <v/>
      </c>
      <c r="L941" t="str">
        <f>IFERROR(IF(VLOOKUP(E:E,'Old Report'!E:L,8,FALSE)="","",VLOOKUP(E:E,'Old Report'!E:L,8,FALSE)),"")</f>
        <v/>
      </c>
      <c r="M941" s="5" t="str">
        <f t="shared" si="73"/>
        <v/>
      </c>
      <c r="N941" s="5" t="str">
        <f t="shared" si="74"/>
        <v/>
      </c>
    </row>
    <row r="942" spans="1:14" x14ac:dyDescent="0.25">
      <c r="A942" s="5">
        <v>941</v>
      </c>
      <c r="B942" s="5">
        <f t="shared" si="71"/>
        <v>0</v>
      </c>
      <c r="C942" s="5" t="str">
        <f t="shared" si="70"/>
        <v/>
      </c>
      <c r="D942" s="5" t="str">
        <f>IFERROR(IF(F942&lt;&gt;"",F942,VLOOKUP(MAX(C$2:C942),A$2:F942,2,FALSE)),"")</f>
        <v/>
      </c>
      <c r="E942" s="5" t="str">
        <f t="shared" si="72"/>
        <v/>
      </c>
      <c r="K942" t="str">
        <f>IFERROR(IF(VLOOKUP(E:E,'Old Report'!E:J,6,FALSE)="","",VLOOKUP(E:E,'Old Report'!E:J,6,FALSE)),"")</f>
        <v/>
      </c>
      <c r="L942" t="str">
        <f>IFERROR(IF(VLOOKUP(E:E,'Old Report'!E:L,8,FALSE)="","",VLOOKUP(E:E,'Old Report'!E:L,8,FALSE)),"")</f>
        <v/>
      </c>
      <c r="M942" s="5" t="str">
        <f t="shared" si="73"/>
        <v/>
      </c>
      <c r="N942" s="5" t="str">
        <f t="shared" si="74"/>
        <v/>
      </c>
    </row>
    <row r="943" spans="1:14" x14ac:dyDescent="0.25">
      <c r="A943" s="5">
        <v>942</v>
      </c>
      <c r="B943" s="5">
        <f t="shared" si="71"/>
        <v>0</v>
      </c>
      <c r="C943" s="5" t="str">
        <f t="shared" si="70"/>
        <v/>
      </c>
      <c r="D943" s="5" t="str">
        <f>IFERROR(IF(F943&lt;&gt;"",F943,VLOOKUP(MAX(C$2:C943),A$2:F943,2,FALSE)),"")</f>
        <v/>
      </c>
      <c r="E943" s="5" t="str">
        <f t="shared" si="72"/>
        <v/>
      </c>
      <c r="K943" t="str">
        <f>IFERROR(IF(VLOOKUP(E:E,'Old Report'!E:J,6,FALSE)="","",VLOOKUP(E:E,'Old Report'!E:J,6,FALSE)),"")</f>
        <v/>
      </c>
      <c r="L943" t="str">
        <f>IFERROR(IF(VLOOKUP(E:E,'Old Report'!E:L,8,FALSE)="","",VLOOKUP(E:E,'Old Report'!E:L,8,FALSE)),"")</f>
        <v/>
      </c>
      <c r="M943" s="5" t="str">
        <f t="shared" si="73"/>
        <v/>
      </c>
      <c r="N943" s="5" t="str">
        <f t="shared" si="74"/>
        <v/>
      </c>
    </row>
    <row r="944" spans="1:14" x14ac:dyDescent="0.25">
      <c r="A944" s="5">
        <v>943</v>
      </c>
      <c r="B944" s="5">
        <f t="shared" si="71"/>
        <v>0</v>
      </c>
      <c r="C944" s="5" t="str">
        <f t="shared" si="70"/>
        <v/>
      </c>
      <c r="D944" s="5" t="str">
        <f>IFERROR(IF(F944&lt;&gt;"",F944,VLOOKUP(MAX(C$2:C944),A$2:F944,2,FALSE)),"")</f>
        <v/>
      </c>
      <c r="E944" s="5" t="str">
        <f t="shared" si="72"/>
        <v/>
      </c>
      <c r="K944" t="str">
        <f>IFERROR(IF(VLOOKUP(E:E,'Old Report'!E:J,6,FALSE)="","",VLOOKUP(E:E,'Old Report'!E:J,6,FALSE)),"")</f>
        <v/>
      </c>
      <c r="L944" t="str">
        <f>IFERROR(IF(VLOOKUP(E:E,'Old Report'!E:L,8,FALSE)="","",VLOOKUP(E:E,'Old Report'!E:L,8,FALSE)),"")</f>
        <v/>
      </c>
      <c r="M944" s="5" t="str">
        <f t="shared" si="73"/>
        <v/>
      </c>
      <c r="N944" s="5" t="str">
        <f t="shared" si="74"/>
        <v/>
      </c>
    </row>
    <row r="945" spans="1:14" x14ac:dyDescent="0.25">
      <c r="A945" s="5">
        <v>944</v>
      </c>
      <c r="B945" s="5">
        <f t="shared" si="71"/>
        <v>0</v>
      </c>
      <c r="C945" s="5" t="str">
        <f t="shared" si="70"/>
        <v/>
      </c>
      <c r="D945" s="5" t="str">
        <f>IFERROR(IF(F945&lt;&gt;"",F945,VLOOKUP(MAX(C$2:C945),A$2:F945,2,FALSE)),"")</f>
        <v/>
      </c>
      <c r="E945" s="5" t="str">
        <f t="shared" si="72"/>
        <v/>
      </c>
      <c r="K945" t="str">
        <f>IFERROR(IF(VLOOKUP(E:E,'Old Report'!E:J,6,FALSE)="","",VLOOKUP(E:E,'Old Report'!E:J,6,FALSE)),"")</f>
        <v/>
      </c>
      <c r="L945" t="str">
        <f>IFERROR(IF(VLOOKUP(E:E,'Old Report'!E:L,8,FALSE)="","",VLOOKUP(E:E,'Old Report'!E:L,8,FALSE)),"")</f>
        <v/>
      </c>
      <c r="M945" s="5" t="str">
        <f t="shared" si="73"/>
        <v/>
      </c>
      <c r="N945" s="5" t="str">
        <f t="shared" si="74"/>
        <v/>
      </c>
    </row>
    <row r="946" spans="1:14" x14ac:dyDescent="0.25">
      <c r="A946" s="5">
        <v>945</v>
      </c>
      <c r="B946" s="5">
        <f t="shared" si="71"/>
        <v>0</v>
      </c>
      <c r="C946" s="5" t="str">
        <f t="shared" si="70"/>
        <v/>
      </c>
      <c r="D946" s="5" t="str">
        <f>IFERROR(IF(F946&lt;&gt;"",F946,VLOOKUP(MAX(C$2:C946),A$2:F946,2,FALSE)),"")</f>
        <v/>
      </c>
      <c r="E946" s="5" t="str">
        <f t="shared" si="72"/>
        <v/>
      </c>
      <c r="K946" t="str">
        <f>IFERROR(IF(VLOOKUP(E:E,'Old Report'!E:J,6,FALSE)="","",VLOOKUP(E:E,'Old Report'!E:J,6,FALSE)),"")</f>
        <v/>
      </c>
      <c r="L946" t="str">
        <f>IFERROR(IF(VLOOKUP(E:E,'Old Report'!E:L,8,FALSE)="","",VLOOKUP(E:E,'Old Report'!E:L,8,FALSE)),"")</f>
        <v/>
      </c>
      <c r="M946" s="5" t="str">
        <f t="shared" si="73"/>
        <v/>
      </c>
      <c r="N946" s="5" t="str">
        <f t="shared" si="74"/>
        <v/>
      </c>
    </row>
    <row r="947" spans="1:14" x14ac:dyDescent="0.25">
      <c r="A947" s="5">
        <v>946</v>
      </c>
      <c r="B947" s="5">
        <f t="shared" si="71"/>
        <v>0</v>
      </c>
      <c r="C947" s="5" t="str">
        <f t="shared" si="70"/>
        <v/>
      </c>
      <c r="D947" s="5" t="str">
        <f>IFERROR(IF(F947&lt;&gt;"",F947,VLOOKUP(MAX(C$2:C947),A$2:F947,2,FALSE)),"")</f>
        <v/>
      </c>
      <c r="E947" s="5" t="str">
        <f t="shared" si="72"/>
        <v/>
      </c>
      <c r="K947" t="str">
        <f>IFERROR(IF(VLOOKUP(E:E,'Old Report'!E:J,6,FALSE)="","",VLOOKUP(E:E,'Old Report'!E:J,6,FALSE)),"")</f>
        <v/>
      </c>
      <c r="L947" t="str">
        <f>IFERROR(IF(VLOOKUP(E:E,'Old Report'!E:L,8,FALSE)="","",VLOOKUP(E:E,'Old Report'!E:L,8,FALSE)),"")</f>
        <v/>
      </c>
      <c r="M947" s="5" t="str">
        <f t="shared" si="73"/>
        <v/>
      </c>
      <c r="N947" s="5" t="str">
        <f t="shared" si="74"/>
        <v/>
      </c>
    </row>
    <row r="948" spans="1:14" x14ac:dyDescent="0.25">
      <c r="A948" s="5">
        <v>947</v>
      </c>
      <c r="B948" s="5">
        <f t="shared" si="71"/>
        <v>0</v>
      </c>
      <c r="C948" s="5" t="str">
        <f t="shared" si="70"/>
        <v/>
      </c>
      <c r="D948" s="5" t="str">
        <f>IFERROR(IF(F948&lt;&gt;"",F948,VLOOKUP(MAX(C$2:C948),A$2:F948,2,FALSE)),"")</f>
        <v/>
      </c>
      <c r="E948" s="5" t="str">
        <f t="shared" si="72"/>
        <v/>
      </c>
      <c r="K948" t="str">
        <f>IFERROR(IF(VLOOKUP(E:E,'Old Report'!E:J,6,FALSE)="","",VLOOKUP(E:E,'Old Report'!E:J,6,FALSE)),"")</f>
        <v/>
      </c>
      <c r="L948" t="str">
        <f>IFERROR(IF(VLOOKUP(E:E,'Old Report'!E:L,8,FALSE)="","",VLOOKUP(E:E,'Old Report'!E:L,8,FALSE)),"")</f>
        <v/>
      </c>
      <c r="M948" s="5" t="str">
        <f t="shared" si="73"/>
        <v/>
      </c>
      <c r="N948" s="5" t="str">
        <f t="shared" si="74"/>
        <v/>
      </c>
    </row>
    <row r="949" spans="1:14" x14ac:dyDescent="0.25">
      <c r="A949" s="5">
        <v>948</v>
      </c>
      <c r="B949" s="5">
        <f t="shared" si="71"/>
        <v>0</v>
      </c>
      <c r="C949" s="5" t="str">
        <f t="shared" si="70"/>
        <v/>
      </c>
      <c r="D949" s="5" t="str">
        <f>IFERROR(IF(F949&lt;&gt;"",F949,VLOOKUP(MAX(C$2:C949),A$2:F949,2,FALSE)),"")</f>
        <v/>
      </c>
      <c r="E949" s="5" t="str">
        <f t="shared" si="72"/>
        <v/>
      </c>
      <c r="K949" t="str">
        <f>IFERROR(IF(VLOOKUP(E:E,'Old Report'!E:J,6,FALSE)="","",VLOOKUP(E:E,'Old Report'!E:J,6,FALSE)),"")</f>
        <v/>
      </c>
      <c r="L949" t="str">
        <f>IFERROR(IF(VLOOKUP(E:E,'Old Report'!E:L,8,FALSE)="","",VLOOKUP(E:E,'Old Report'!E:L,8,FALSE)),"")</f>
        <v/>
      </c>
      <c r="M949" s="5" t="str">
        <f t="shared" si="73"/>
        <v/>
      </c>
      <c r="N949" s="5" t="str">
        <f t="shared" si="74"/>
        <v/>
      </c>
    </row>
    <row r="950" spans="1:14" x14ac:dyDescent="0.25">
      <c r="A950" s="5">
        <v>949</v>
      </c>
      <c r="B950" s="5">
        <f t="shared" si="71"/>
        <v>0</v>
      </c>
      <c r="C950" s="5" t="str">
        <f t="shared" si="70"/>
        <v/>
      </c>
      <c r="D950" s="5" t="str">
        <f>IFERROR(IF(F950&lt;&gt;"",F950,VLOOKUP(MAX(C$2:C950),A$2:F950,2,FALSE)),"")</f>
        <v/>
      </c>
      <c r="E950" s="5" t="str">
        <f t="shared" si="72"/>
        <v/>
      </c>
      <c r="K950" t="str">
        <f>IFERROR(IF(VLOOKUP(E:E,'Old Report'!E:J,6,FALSE)="","",VLOOKUP(E:E,'Old Report'!E:J,6,FALSE)),"")</f>
        <v/>
      </c>
      <c r="L950" t="str">
        <f>IFERROR(IF(VLOOKUP(E:E,'Old Report'!E:L,8,FALSE)="","",VLOOKUP(E:E,'Old Report'!E:L,8,FALSE)),"")</f>
        <v/>
      </c>
      <c r="M950" s="5" t="str">
        <f t="shared" si="73"/>
        <v/>
      </c>
      <c r="N950" s="5" t="str">
        <f t="shared" si="74"/>
        <v/>
      </c>
    </row>
    <row r="951" spans="1:14" x14ac:dyDescent="0.25">
      <c r="A951" s="5">
        <v>950</v>
      </c>
      <c r="B951" s="5">
        <f t="shared" si="71"/>
        <v>0</v>
      </c>
      <c r="C951" s="5" t="str">
        <f t="shared" si="70"/>
        <v/>
      </c>
      <c r="D951" s="5" t="str">
        <f>IFERROR(IF(F951&lt;&gt;"",F951,VLOOKUP(MAX(C$2:C951),A$2:F951,2,FALSE)),"")</f>
        <v/>
      </c>
      <c r="E951" s="5" t="str">
        <f t="shared" si="72"/>
        <v/>
      </c>
      <c r="K951" t="str">
        <f>IFERROR(IF(VLOOKUP(E:E,'Old Report'!E:J,6,FALSE)="","",VLOOKUP(E:E,'Old Report'!E:J,6,FALSE)),"")</f>
        <v/>
      </c>
      <c r="L951" t="str">
        <f>IFERROR(IF(VLOOKUP(E:E,'Old Report'!E:L,8,FALSE)="","",VLOOKUP(E:E,'Old Report'!E:L,8,FALSE)),"")</f>
        <v/>
      </c>
      <c r="M951" s="5" t="str">
        <f t="shared" si="73"/>
        <v/>
      </c>
      <c r="N951" s="5" t="str">
        <f t="shared" si="74"/>
        <v/>
      </c>
    </row>
    <row r="952" spans="1:14" x14ac:dyDescent="0.25">
      <c r="A952" s="5">
        <v>951</v>
      </c>
      <c r="B952" s="5">
        <f t="shared" si="71"/>
        <v>0</v>
      </c>
      <c r="C952" s="5" t="str">
        <f t="shared" si="70"/>
        <v/>
      </c>
      <c r="D952" s="5" t="str">
        <f>IFERROR(IF(F952&lt;&gt;"",F952,VLOOKUP(MAX(C$2:C952),A$2:F952,2,FALSE)),"")</f>
        <v/>
      </c>
      <c r="E952" s="5" t="str">
        <f t="shared" si="72"/>
        <v/>
      </c>
      <c r="K952" t="str">
        <f>IFERROR(IF(VLOOKUP(E:E,'Old Report'!E:J,6,FALSE)="","",VLOOKUP(E:E,'Old Report'!E:J,6,FALSE)),"")</f>
        <v/>
      </c>
      <c r="L952" t="str">
        <f>IFERROR(IF(VLOOKUP(E:E,'Old Report'!E:L,8,FALSE)="","",VLOOKUP(E:E,'Old Report'!E:L,8,FALSE)),"")</f>
        <v/>
      </c>
      <c r="M952" s="5" t="str">
        <f t="shared" si="73"/>
        <v/>
      </c>
      <c r="N952" s="5" t="str">
        <f t="shared" si="74"/>
        <v/>
      </c>
    </row>
    <row r="953" spans="1:14" x14ac:dyDescent="0.25">
      <c r="A953" s="5">
        <v>952</v>
      </c>
      <c r="B953" s="5">
        <f t="shared" si="71"/>
        <v>0</v>
      </c>
      <c r="C953" s="5" t="str">
        <f t="shared" si="70"/>
        <v/>
      </c>
      <c r="D953" s="5" t="str">
        <f>IFERROR(IF(F953&lt;&gt;"",F953,VLOOKUP(MAX(C$2:C953),A$2:F953,2,FALSE)),"")</f>
        <v/>
      </c>
      <c r="E953" s="5" t="str">
        <f t="shared" si="72"/>
        <v/>
      </c>
      <c r="K953" t="str">
        <f>IFERROR(IF(VLOOKUP(E:E,'Old Report'!E:J,6,FALSE)="","",VLOOKUP(E:E,'Old Report'!E:J,6,FALSE)),"")</f>
        <v/>
      </c>
      <c r="L953" t="str">
        <f>IFERROR(IF(VLOOKUP(E:E,'Old Report'!E:L,8,FALSE)="","",VLOOKUP(E:E,'Old Report'!E:L,8,FALSE)),"")</f>
        <v/>
      </c>
      <c r="M953" s="5" t="str">
        <f t="shared" si="73"/>
        <v/>
      </c>
      <c r="N953" s="5" t="str">
        <f t="shared" si="74"/>
        <v/>
      </c>
    </row>
    <row r="954" spans="1:14" x14ac:dyDescent="0.25">
      <c r="A954" s="5">
        <v>953</v>
      </c>
      <c r="B954" s="5">
        <f t="shared" si="71"/>
        <v>0</v>
      </c>
      <c r="C954" s="5" t="str">
        <f t="shared" si="70"/>
        <v/>
      </c>
      <c r="D954" s="5" t="str">
        <f>IFERROR(IF(F954&lt;&gt;"",F954,VLOOKUP(MAX(C$2:C954),A$2:F954,2,FALSE)),"")</f>
        <v/>
      </c>
      <c r="E954" s="5" t="str">
        <f t="shared" si="72"/>
        <v/>
      </c>
      <c r="K954" t="str">
        <f>IFERROR(IF(VLOOKUP(E:E,'Old Report'!E:J,6,FALSE)="","",VLOOKUP(E:E,'Old Report'!E:J,6,FALSE)),"")</f>
        <v/>
      </c>
      <c r="L954" t="str">
        <f>IFERROR(IF(VLOOKUP(E:E,'Old Report'!E:L,8,FALSE)="","",VLOOKUP(E:E,'Old Report'!E:L,8,FALSE)),"")</f>
        <v/>
      </c>
      <c r="M954" s="5" t="str">
        <f t="shared" si="73"/>
        <v/>
      </c>
      <c r="N954" s="5" t="str">
        <f t="shared" si="74"/>
        <v/>
      </c>
    </row>
    <row r="955" spans="1:14" x14ac:dyDescent="0.25">
      <c r="A955" s="5">
        <v>954</v>
      </c>
      <c r="B955" s="5">
        <f t="shared" si="71"/>
        <v>0</v>
      </c>
      <c r="C955" s="5" t="str">
        <f t="shared" si="70"/>
        <v/>
      </c>
      <c r="D955" s="5" t="str">
        <f>IFERROR(IF(F955&lt;&gt;"",F955,VLOOKUP(MAX(C$2:C955),A$2:F955,2,FALSE)),"")</f>
        <v/>
      </c>
      <c r="E955" s="5" t="str">
        <f t="shared" si="72"/>
        <v/>
      </c>
      <c r="K955" t="str">
        <f>IFERROR(IF(VLOOKUP(E:E,'Old Report'!E:J,6,FALSE)="","",VLOOKUP(E:E,'Old Report'!E:J,6,FALSE)),"")</f>
        <v/>
      </c>
      <c r="L955" t="str">
        <f>IFERROR(IF(VLOOKUP(E:E,'Old Report'!E:L,8,FALSE)="","",VLOOKUP(E:E,'Old Report'!E:L,8,FALSE)),"")</f>
        <v/>
      </c>
      <c r="M955" s="5" t="str">
        <f t="shared" si="73"/>
        <v/>
      </c>
      <c r="N955" s="5" t="str">
        <f t="shared" si="74"/>
        <v/>
      </c>
    </row>
    <row r="956" spans="1:14" x14ac:dyDescent="0.25">
      <c r="A956" s="5">
        <v>955</v>
      </c>
      <c r="B956" s="5">
        <f t="shared" si="71"/>
        <v>0</v>
      </c>
      <c r="C956" s="5" t="str">
        <f t="shared" si="70"/>
        <v/>
      </c>
      <c r="D956" s="5" t="str">
        <f>IFERROR(IF(F956&lt;&gt;"",F956,VLOOKUP(MAX(C$2:C956),A$2:F956,2,FALSE)),"")</f>
        <v/>
      </c>
      <c r="E956" s="5" t="str">
        <f t="shared" si="72"/>
        <v/>
      </c>
      <c r="K956" t="str">
        <f>IFERROR(IF(VLOOKUP(E:E,'Old Report'!E:J,6,FALSE)="","",VLOOKUP(E:E,'Old Report'!E:J,6,FALSE)),"")</f>
        <v/>
      </c>
      <c r="L956" t="str">
        <f>IFERROR(IF(VLOOKUP(E:E,'Old Report'!E:L,8,FALSE)="","",VLOOKUP(E:E,'Old Report'!E:L,8,FALSE)),"")</f>
        <v/>
      </c>
      <c r="M956" s="5" t="str">
        <f t="shared" si="73"/>
        <v/>
      </c>
      <c r="N956" s="5" t="str">
        <f t="shared" si="74"/>
        <v/>
      </c>
    </row>
    <row r="957" spans="1:14" x14ac:dyDescent="0.25">
      <c r="A957" s="5">
        <v>956</v>
      </c>
      <c r="B957" s="5">
        <f t="shared" si="71"/>
        <v>0</v>
      </c>
      <c r="C957" s="5" t="str">
        <f t="shared" si="70"/>
        <v/>
      </c>
      <c r="D957" s="5" t="str">
        <f>IFERROR(IF(F957&lt;&gt;"",F957,VLOOKUP(MAX(C$2:C957),A$2:F957,2,FALSE)),"")</f>
        <v/>
      </c>
      <c r="E957" s="5" t="str">
        <f t="shared" si="72"/>
        <v/>
      </c>
      <c r="K957" t="str">
        <f>IFERROR(IF(VLOOKUP(E:E,'Old Report'!E:J,6,FALSE)="","",VLOOKUP(E:E,'Old Report'!E:J,6,FALSE)),"")</f>
        <v/>
      </c>
      <c r="L957" t="str">
        <f>IFERROR(IF(VLOOKUP(E:E,'Old Report'!E:L,8,FALSE)="","",VLOOKUP(E:E,'Old Report'!E:L,8,FALSE)),"")</f>
        <v/>
      </c>
      <c r="M957" s="5" t="str">
        <f t="shared" si="73"/>
        <v/>
      </c>
      <c r="N957" s="5" t="str">
        <f t="shared" si="74"/>
        <v/>
      </c>
    </row>
    <row r="958" spans="1:14" x14ac:dyDescent="0.25">
      <c r="A958" s="5">
        <v>957</v>
      </c>
      <c r="B958" s="5">
        <f t="shared" si="71"/>
        <v>0</v>
      </c>
      <c r="C958" s="5" t="str">
        <f t="shared" si="70"/>
        <v/>
      </c>
      <c r="D958" s="5" t="str">
        <f>IFERROR(IF(F958&lt;&gt;"",F958,VLOOKUP(MAX(C$2:C958),A$2:F958,2,FALSE)),"")</f>
        <v/>
      </c>
      <c r="E958" s="5" t="str">
        <f t="shared" si="72"/>
        <v/>
      </c>
      <c r="K958" t="str">
        <f>IFERROR(IF(VLOOKUP(E:E,'Old Report'!E:J,6,FALSE)="","",VLOOKUP(E:E,'Old Report'!E:J,6,FALSE)),"")</f>
        <v/>
      </c>
      <c r="L958" t="str">
        <f>IFERROR(IF(VLOOKUP(E:E,'Old Report'!E:L,8,FALSE)="","",VLOOKUP(E:E,'Old Report'!E:L,8,FALSE)),"")</f>
        <v/>
      </c>
      <c r="M958" s="5" t="str">
        <f t="shared" si="73"/>
        <v/>
      </c>
      <c r="N958" s="5" t="str">
        <f t="shared" si="74"/>
        <v/>
      </c>
    </row>
    <row r="959" spans="1:14" x14ac:dyDescent="0.25">
      <c r="A959" s="5">
        <v>958</v>
      </c>
      <c r="B959" s="5">
        <f t="shared" si="71"/>
        <v>0</v>
      </c>
      <c r="C959" s="5" t="str">
        <f t="shared" si="70"/>
        <v/>
      </c>
      <c r="D959" s="5" t="str">
        <f>IFERROR(IF(F959&lt;&gt;"",F959,VLOOKUP(MAX(C$2:C959),A$2:F959,2,FALSE)),"")</f>
        <v/>
      </c>
      <c r="E959" s="5" t="str">
        <f t="shared" si="72"/>
        <v/>
      </c>
      <c r="K959" t="str">
        <f>IFERROR(IF(VLOOKUP(E:E,'Old Report'!E:J,6,FALSE)="","",VLOOKUP(E:E,'Old Report'!E:J,6,FALSE)),"")</f>
        <v/>
      </c>
      <c r="L959" t="str">
        <f>IFERROR(IF(VLOOKUP(E:E,'Old Report'!E:L,8,FALSE)="","",VLOOKUP(E:E,'Old Report'!E:L,8,FALSE)),"")</f>
        <v/>
      </c>
      <c r="M959" s="5" t="str">
        <f t="shared" si="73"/>
        <v/>
      </c>
      <c r="N959" s="5" t="str">
        <f t="shared" si="74"/>
        <v/>
      </c>
    </row>
    <row r="960" spans="1:14" x14ac:dyDescent="0.25">
      <c r="A960" s="5">
        <v>959</v>
      </c>
      <c r="B960" s="5">
        <f t="shared" si="71"/>
        <v>0</v>
      </c>
      <c r="C960" s="5" t="str">
        <f t="shared" si="70"/>
        <v/>
      </c>
      <c r="D960" s="5" t="str">
        <f>IFERROR(IF(F960&lt;&gt;"",F960,VLOOKUP(MAX(C$2:C960),A$2:F960,2,FALSE)),"")</f>
        <v/>
      </c>
      <c r="E960" s="5" t="str">
        <f t="shared" si="72"/>
        <v/>
      </c>
      <c r="K960" t="str">
        <f>IFERROR(IF(VLOOKUP(E:E,'Old Report'!E:J,6,FALSE)="","",VLOOKUP(E:E,'Old Report'!E:J,6,FALSE)),"")</f>
        <v/>
      </c>
      <c r="L960" t="str">
        <f>IFERROR(IF(VLOOKUP(E:E,'Old Report'!E:L,8,FALSE)="","",VLOOKUP(E:E,'Old Report'!E:L,8,FALSE)),"")</f>
        <v/>
      </c>
      <c r="M960" s="5" t="str">
        <f t="shared" si="73"/>
        <v/>
      </c>
      <c r="N960" s="5" t="str">
        <f t="shared" si="74"/>
        <v/>
      </c>
    </row>
    <row r="961" spans="1:14" x14ac:dyDescent="0.25">
      <c r="A961" s="5">
        <v>960</v>
      </c>
      <c r="B961" s="5">
        <f t="shared" si="71"/>
        <v>0</v>
      </c>
      <c r="C961" s="5" t="str">
        <f t="shared" si="70"/>
        <v/>
      </c>
      <c r="D961" s="5" t="str">
        <f>IFERROR(IF(F961&lt;&gt;"",F961,VLOOKUP(MAX(C$2:C961),A$2:F961,2,FALSE)),"")</f>
        <v/>
      </c>
      <c r="E961" s="5" t="str">
        <f t="shared" si="72"/>
        <v/>
      </c>
      <c r="K961" t="str">
        <f>IFERROR(IF(VLOOKUP(E:E,'Old Report'!E:J,6,FALSE)="","",VLOOKUP(E:E,'Old Report'!E:J,6,FALSE)),"")</f>
        <v/>
      </c>
      <c r="L961" t="str">
        <f>IFERROR(IF(VLOOKUP(E:E,'Old Report'!E:L,8,FALSE)="","",VLOOKUP(E:E,'Old Report'!E:L,8,FALSE)),"")</f>
        <v/>
      </c>
      <c r="M961" s="5" t="str">
        <f t="shared" si="73"/>
        <v/>
      </c>
      <c r="N961" s="5" t="str">
        <f t="shared" si="74"/>
        <v/>
      </c>
    </row>
    <row r="962" spans="1:14" x14ac:dyDescent="0.25">
      <c r="A962" s="5">
        <v>961</v>
      </c>
      <c r="B962" s="5">
        <f t="shared" si="71"/>
        <v>0</v>
      </c>
      <c r="C962" s="5" t="str">
        <f t="shared" ref="C962:C1025" si="75">IF(F962&lt;&gt;"",A962,"")</f>
        <v/>
      </c>
      <c r="D962" s="5" t="str">
        <f>IFERROR(IF(F962&lt;&gt;"",F962,VLOOKUP(MAX(C$2:C962),A$2:F962,2,FALSE)),"")</f>
        <v/>
      </c>
      <c r="E962" s="5" t="str">
        <f t="shared" si="72"/>
        <v/>
      </c>
      <c r="K962" t="str">
        <f>IFERROR(IF(VLOOKUP(E:E,'Old Report'!E:J,6,FALSE)="","",VLOOKUP(E:E,'Old Report'!E:J,6,FALSE)),"")</f>
        <v/>
      </c>
      <c r="L962" t="str">
        <f>IFERROR(IF(VLOOKUP(E:E,'Old Report'!E:L,8,FALSE)="","",VLOOKUP(E:E,'Old Report'!E:L,8,FALSE)),"")</f>
        <v/>
      </c>
      <c r="M962" s="5" t="str">
        <f t="shared" si="73"/>
        <v/>
      </c>
      <c r="N962" s="5" t="str">
        <f t="shared" si="74"/>
        <v/>
      </c>
    </row>
    <row r="963" spans="1:14" x14ac:dyDescent="0.25">
      <c r="A963" s="5">
        <v>962</v>
      </c>
      <c r="B963" s="5">
        <f t="shared" ref="B963:B1026" si="76">IF(F964&lt;&gt;"",F964,F963)</f>
        <v>0</v>
      </c>
      <c r="C963" s="5" t="str">
        <f t="shared" si="75"/>
        <v/>
      </c>
      <c r="D963" s="5" t="str">
        <f>IFERROR(IF(F963&lt;&gt;"",F963,VLOOKUP(MAX(C$2:C963),A$2:F963,2,FALSE)),"")</f>
        <v/>
      </c>
      <c r="E963" s="5" t="str">
        <f t="shared" ref="E963:E1026" si="77">IF(H963&lt;&gt;"",CONCATENATE(D963,".",H963),"")</f>
        <v/>
      </c>
      <c r="K963" t="str">
        <f>IFERROR(IF(VLOOKUP(E:E,'Old Report'!E:J,6,FALSE)="","",VLOOKUP(E:E,'Old Report'!E:J,6,FALSE)),"")</f>
        <v/>
      </c>
      <c r="L963" t="str">
        <f>IFERROR(IF(VLOOKUP(E:E,'Old Report'!E:L,8,FALSE)="","",VLOOKUP(E:E,'Old Report'!E:L,8,FALSE)),"")</f>
        <v/>
      </c>
      <c r="M963" s="5" t="str">
        <f t="shared" si="73"/>
        <v/>
      </c>
      <c r="N963" s="5" t="str">
        <f t="shared" si="74"/>
        <v/>
      </c>
    </row>
    <row r="964" spans="1:14" x14ac:dyDescent="0.25">
      <c r="A964" s="5">
        <v>963</v>
      </c>
      <c r="B964" s="5">
        <f t="shared" si="76"/>
        <v>0</v>
      </c>
      <c r="C964" s="5" t="str">
        <f t="shared" si="75"/>
        <v/>
      </c>
      <c r="D964" s="5" t="str">
        <f>IFERROR(IF(F964&lt;&gt;"",F964,VLOOKUP(MAX(C$2:C964),A$2:F964,2,FALSE)),"")</f>
        <v/>
      </c>
      <c r="E964" s="5" t="str">
        <f t="shared" si="77"/>
        <v/>
      </c>
      <c r="K964" t="str">
        <f>IFERROR(IF(VLOOKUP(E:E,'Old Report'!E:J,6,FALSE)="","",VLOOKUP(E:E,'Old Report'!E:J,6,FALSE)),"")</f>
        <v/>
      </c>
      <c r="L964" t="str">
        <f>IFERROR(IF(VLOOKUP(E:E,'Old Report'!E:L,8,FALSE)="","",VLOOKUP(E:E,'Old Report'!E:L,8,FALSE)),"")</f>
        <v/>
      </c>
      <c r="M964" s="5" t="str">
        <f t="shared" ref="M964:M1027" si="78">IFERROR(L964,"")</f>
        <v/>
      </c>
      <c r="N964" s="5" t="str">
        <f t="shared" ref="N964:N1027" si="79">IFERROR( IF(J964&lt;&gt;"",IF(K964 &lt;&gt; "",IF(J964 = K964,"No Change",IF(J964 &lt; K964,CONCATENATE("Issues reduced from ",K964," to ",J964),IF(J964&gt;K964,CONCATENATE("Issues increased from ",K964," to ",J964),""))),"New issue - needs to be checked"),""),"")</f>
        <v/>
      </c>
    </row>
    <row r="965" spans="1:14" x14ac:dyDescent="0.25">
      <c r="A965" s="5">
        <v>964</v>
      </c>
      <c r="B965" s="5">
        <f t="shared" si="76"/>
        <v>0</v>
      </c>
      <c r="C965" s="5" t="str">
        <f t="shared" si="75"/>
        <v/>
      </c>
      <c r="D965" s="5" t="str">
        <f>IFERROR(IF(F965&lt;&gt;"",F965,VLOOKUP(MAX(C$2:C965),A$2:F965,2,FALSE)),"")</f>
        <v/>
      </c>
      <c r="E965" s="5" t="str">
        <f t="shared" si="77"/>
        <v/>
      </c>
      <c r="K965" t="str">
        <f>IFERROR(IF(VLOOKUP(E:E,'Old Report'!E:J,6,FALSE)="","",VLOOKUP(E:E,'Old Report'!E:J,6,FALSE)),"")</f>
        <v/>
      </c>
      <c r="L965" t="str">
        <f>IFERROR(IF(VLOOKUP(E:E,'Old Report'!E:L,8,FALSE)="","",VLOOKUP(E:E,'Old Report'!E:L,8,FALSE)),"")</f>
        <v/>
      </c>
      <c r="M965" s="5" t="str">
        <f t="shared" si="78"/>
        <v/>
      </c>
      <c r="N965" s="5" t="str">
        <f t="shared" si="79"/>
        <v/>
      </c>
    </row>
    <row r="966" spans="1:14" x14ac:dyDescent="0.25">
      <c r="A966" s="5">
        <v>965</v>
      </c>
      <c r="B966" s="5">
        <f t="shared" si="76"/>
        <v>0</v>
      </c>
      <c r="C966" s="5" t="str">
        <f t="shared" si="75"/>
        <v/>
      </c>
      <c r="D966" s="5" t="str">
        <f>IFERROR(IF(F966&lt;&gt;"",F966,VLOOKUP(MAX(C$2:C966),A$2:F966,2,FALSE)),"")</f>
        <v/>
      </c>
      <c r="E966" s="5" t="str">
        <f t="shared" si="77"/>
        <v/>
      </c>
      <c r="K966" t="str">
        <f>IFERROR(IF(VLOOKUP(E:E,'Old Report'!E:J,6,FALSE)="","",VLOOKUP(E:E,'Old Report'!E:J,6,FALSE)),"")</f>
        <v/>
      </c>
      <c r="L966" t="str">
        <f>IFERROR(IF(VLOOKUP(E:E,'Old Report'!E:L,8,FALSE)="","",VLOOKUP(E:E,'Old Report'!E:L,8,FALSE)),"")</f>
        <v/>
      </c>
      <c r="M966" s="5" t="str">
        <f t="shared" si="78"/>
        <v/>
      </c>
      <c r="N966" s="5" t="str">
        <f t="shared" si="79"/>
        <v/>
      </c>
    </row>
    <row r="967" spans="1:14" x14ac:dyDescent="0.25">
      <c r="A967" s="5">
        <v>966</v>
      </c>
      <c r="B967" s="5">
        <f t="shared" si="76"/>
        <v>0</v>
      </c>
      <c r="C967" s="5" t="str">
        <f t="shared" si="75"/>
        <v/>
      </c>
      <c r="D967" s="5" t="str">
        <f>IFERROR(IF(F967&lt;&gt;"",F967,VLOOKUP(MAX(C$2:C967),A$2:F967,2,FALSE)),"")</f>
        <v/>
      </c>
      <c r="E967" s="5" t="str">
        <f t="shared" si="77"/>
        <v/>
      </c>
      <c r="K967" t="str">
        <f>IFERROR(IF(VLOOKUP(E:E,'Old Report'!E:J,6,FALSE)="","",VLOOKUP(E:E,'Old Report'!E:J,6,FALSE)),"")</f>
        <v/>
      </c>
      <c r="L967" t="str">
        <f>IFERROR(IF(VLOOKUP(E:E,'Old Report'!E:L,8,FALSE)="","",VLOOKUP(E:E,'Old Report'!E:L,8,FALSE)),"")</f>
        <v/>
      </c>
      <c r="M967" s="5" t="str">
        <f t="shared" si="78"/>
        <v/>
      </c>
      <c r="N967" s="5" t="str">
        <f t="shared" si="79"/>
        <v/>
      </c>
    </row>
    <row r="968" spans="1:14" x14ac:dyDescent="0.25">
      <c r="A968" s="5">
        <v>967</v>
      </c>
      <c r="B968" s="5">
        <f t="shared" si="76"/>
        <v>0</v>
      </c>
      <c r="C968" s="5" t="str">
        <f t="shared" si="75"/>
        <v/>
      </c>
      <c r="D968" s="5" t="str">
        <f>IFERROR(IF(F968&lt;&gt;"",F968,VLOOKUP(MAX(C$2:C968),A$2:F968,2,FALSE)),"")</f>
        <v/>
      </c>
      <c r="E968" s="5" t="str">
        <f t="shared" si="77"/>
        <v/>
      </c>
      <c r="K968" t="str">
        <f>IFERROR(IF(VLOOKUP(E:E,'Old Report'!E:J,6,FALSE)="","",VLOOKUP(E:E,'Old Report'!E:J,6,FALSE)),"")</f>
        <v/>
      </c>
      <c r="L968" t="str">
        <f>IFERROR(IF(VLOOKUP(E:E,'Old Report'!E:L,8,FALSE)="","",VLOOKUP(E:E,'Old Report'!E:L,8,FALSE)),"")</f>
        <v/>
      </c>
      <c r="M968" s="5" t="str">
        <f t="shared" si="78"/>
        <v/>
      </c>
      <c r="N968" s="5" t="str">
        <f t="shared" si="79"/>
        <v/>
      </c>
    </row>
    <row r="969" spans="1:14" x14ac:dyDescent="0.25">
      <c r="A969" s="5">
        <v>968</v>
      </c>
      <c r="B969" s="5">
        <f t="shared" si="76"/>
        <v>0</v>
      </c>
      <c r="C969" s="5" t="str">
        <f t="shared" si="75"/>
        <v/>
      </c>
      <c r="D969" s="5" t="str">
        <f>IFERROR(IF(F969&lt;&gt;"",F969,VLOOKUP(MAX(C$2:C969),A$2:F969,2,FALSE)),"")</f>
        <v/>
      </c>
      <c r="E969" s="5" t="str">
        <f t="shared" si="77"/>
        <v/>
      </c>
      <c r="K969" t="str">
        <f>IFERROR(IF(VLOOKUP(E:E,'Old Report'!E:J,6,FALSE)="","",VLOOKUP(E:E,'Old Report'!E:J,6,FALSE)),"")</f>
        <v/>
      </c>
      <c r="L969" t="str">
        <f>IFERROR(IF(VLOOKUP(E:E,'Old Report'!E:L,8,FALSE)="","",VLOOKUP(E:E,'Old Report'!E:L,8,FALSE)),"")</f>
        <v/>
      </c>
      <c r="M969" s="5" t="str">
        <f t="shared" si="78"/>
        <v/>
      </c>
      <c r="N969" s="5" t="str">
        <f t="shared" si="79"/>
        <v/>
      </c>
    </row>
    <row r="970" spans="1:14" x14ac:dyDescent="0.25">
      <c r="A970" s="5">
        <v>969</v>
      </c>
      <c r="B970" s="5">
        <f t="shared" si="76"/>
        <v>0</v>
      </c>
      <c r="C970" s="5" t="str">
        <f t="shared" si="75"/>
        <v/>
      </c>
      <c r="D970" s="5" t="str">
        <f>IFERROR(IF(F970&lt;&gt;"",F970,VLOOKUP(MAX(C$2:C970),A$2:F970,2,FALSE)),"")</f>
        <v/>
      </c>
      <c r="E970" s="5" t="str">
        <f t="shared" si="77"/>
        <v/>
      </c>
      <c r="K970" t="str">
        <f>IFERROR(IF(VLOOKUP(E:E,'Old Report'!E:J,6,FALSE)="","",VLOOKUP(E:E,'Old Report'!E:J,6,FALSE)),"")</f>
        <v/>
      </c>
      <c r="L970" t="str">
        <f>IFERROR(IF(VLOOKUP(E:E,'Old Report'!E:L,8,FALSE)="","",VLOOKUP(E:E,'Old Report'!E:L,8,FALSE)),"")</f>
        <v/>
      </c>
      <c r="M970" s="5" t="str">
        <f t="shared" si="78"/>
        <v/>
      </c>
      <c r="N970" s="5" t="str">
        <f t="shared" si="79"/>
        <v/>
      </c>
    </row>
    <row r="971" spans="1:14" x14ac:dyDescent="0.25">
      <c r="A971" s="5">
        <v>970</v>
      </c>
      <c r="B971" s="5">
        <f t="shared" si="76"/>
        <v>0</v>
      </c>
      <c r="C971" s="5" t="str">
        <f t="shared" si="75"/>
        <v/>
      </c>
      <c r="D971" s="5" t="str">
        <f>IFERROR(IF(F971&lt;&gt;"",F971,VLOOKUP(MAX(C$2:C971),A$2:F971,2,FALSE)),"")</f>
        <v/>
      </c>
      <c r="E971" s="5" t="str">
        <f t="shared" si="77"/>
        <v/>
      </c>
      <c r="K971" t="str">
        <f>IFERROR(IF(VLOOKUP(E:E,'Old Report'!E:J,6,FALSE)="","",VLOOKUP(E:E,'Old Report'!E:J,6,FALSE)),"")</f>
        <v/>
      </c>
      <c r="L971" t="str">
        <f>IFERROR(IF(VLOOKUP(E:E,'Old Report'!E:L,8,FALSE)="","",VLOOKUP(E:E,'Old Report'!E:L,8,FALSE)),"")</f>
        <v/>
      </c>
      <c r="M971" s="5" t="str">
        <f t="shared" si="78"/>
        <v/>
      </c>
      <c r="N971" s="5" t="str">
        <f t="shared" si="79"/>
        <v/>
      </c>
    </row>
    <row r="972" spans="1:14" x14ac:dyDescent="0.25">
      <c r="A972" s="5">
        <v>971</v>
      </c>
      <c r="B972" s="5">
        <f t="shared" si="76"/>
        <v>0</v>
      </c>
      <c r="C972" s="5" t="str">
        <f t="shared" si="75"/>
        <v/>
      </c>
      <c r="D972" s="5" t="str">
        <f>IFERROR(IF(F972&lt;&gt;"",F972,VLOOKUP(MAX(C$2:C972),A$2:F972,2,FALSE)),"")</f>
        <v/>
      </c>
      <c r="E972" s="5" t="str">
        <f t="shared" si="77"/>
        <v/>
      </c>
      <c r="K972" t="str">
        <f>IFERROR(IF(VLOOKUP(E:E,'Old Report'!E:J,6,FALSE)="","",VLOOKUP(E:E,'Old Report'!E:J,6,FALSE)),"")</f>
        <v/>
      </c>
      <c r="L972" t="str">
        <f>IFERROR(IF(VLOOKUP(E:E,'Old Report'!E:L,8,FALSE)="","",VLOOKUP(E:E,'Old Report'!E:L,8,FALSE)),"")</f>
        <v/>
      </c>
      <c r="M972" s="5" t="str">
        <f t="shared" si="78"/>
        <v/>
      </c>
      <c r="N972" s="5" t="str">
        <f t="shared" si="79"/>
        <v/>
      </c>
    </row>
    <row r="973" spans="1:14" x14ac:dyDescent="0.25">
      <c r="A973" s="5">
        <v>972</v>
      </c>
      <c r="B973" s="5">
        <f t="shared" si="76"/>
        <v>0</v>
      </c>
      <c r="C973" s="5" t="str">
        <f t="shared" si="75"/>
        <v/>
      </c>
      <c r="D973" s="5" t="str">
        <f>IFERROR(IF(F973&lt;&gt;"",F973,VLOOKUP(MAX(C$2:C973),A$2:F973,2,FALSE)),"")</f>
        <v/>
      </c>
      <c r="E973" s="5" t="str">
        <f t="shared" si="77"/>
        <v/>
      </c>
      <c r="K973" t="str">
        <f>IFERROR(IF(VLOOKUP(E:E,'Old Report'!E:J,6,FALSE)="","",VLOOKUP(E:E,'Old Report'!E:J,6,FALSE)),"")</f>
        <v/>
      </c>
      <c r="L973" t="str">
        <f>IFERROR(IF(VLOOKUP(E:E,'Old Report'!E:L,8,FALSE)="","",VLOOKUP(E:E,'Old Report'!E:L,8,FALSE)),"")</f>
        <v/>
      </c>
      <c r="M973" s="5" t="str">
        <f t="shared" si="78"/>
        <v/>
      </c>
      <c r="N973" s="5" t="str">
        <f t="shared" si="79"/>
        <v/>
      </c>
    </row>
    <row r="974" spans="1:14" x14ac:dyDescent="0.25">
      <c r="A974" s="5">
        <v>973</v>
      </c>
      <c r="B974" s="5">
        <f t="shared" si="76"/>
        <v>0</v>
      </c>
      <c r="C974" s="5" t="str">
        <f t="shared" si="75"/>
        <v/>
      </c>
      <c r="D974" s="5" t="str">
        <f>IFERROR(IF(F974&lt;&gt;"",F974,VLOOKUP(MAX(C$2:C974),A$2:F974,2,FALSE)),"")</f>
        <v/>
      </c>
      <c r="E974" s="5" t="str">
        <f t="shared" si="77"/>
        <v/>
      </c>
      <c r="K974" t="str">
        <f>IFERROR(IF(VLOOKUP(E:E,'Old Report'!E:J,6,FALSE)="","",VLOOKUP(E:E,'Old Report'!E:J,6,FALSE)),"")</f>
        <v/>
      </c>
      <c r="L974" t="str">
        <f>IFERROR(IF(VLOOKUP(E:E,'Old Report'!E:L,8,FALSE)="","",VLOOKUP(E:E,'Old Report'!E:L,8,FALSE)),"")</f>
        <v/>
      </c>
      <c r="M974" s="5" t="str">
        <f t="shared" si="78"/>
        <v/>
      </c>
      <c r="N974" s="5" t="str">
        <f t="shared" si="79"/>
        <v/>
      </c>
    </row>
    <row r="975" spans="1:14" x14ac:dyDescent="0.25">
      <c r="A975" s="5">
        <v>974</v>
      </c>
      <c r="B975" s="5">
        <f t="shared" si="76"/>
        <v>0</v>
      </c>
      <c r="C975" s="5" t="str">
        <f t="shared" si="75"/>
        <v/>
      </c>
      <c r="D975" s="5" t="str">
        <f>IFERROR(IF(F975&lt;&gt;"",F975,VLOOKUP(MAX(C$2:C975),A$2:F975,2,FALSE)),"")</f>
        <v/>
      </c>
      <c r="E975" s="5" t="str">
        <f t="shared" si="77"/>
        <v/>
      </c>
      <c r="K975" t="str">
        <f>IFERROR(IF(VLOOKUP(E:E,'Old Report'!E:J,6,FALSE)="","",VLOOKUP(E:E,'Old Report'!E:J,6,FALSE)),"")</f>
        <v/>
      </c>
      <c r="L975" t="str">
        <f>IFERROR(IF(VLOOKUP(E:E,'Old Report'!E:L,8,FALSE)="","",VLOOKUP(E:E,'Old Report'!E:L,8,FALSE)),"")</f>
        <v/>
      </c>
      <c r="M975" s="5" t="str">
        <f t="shared" si="78"/>
        <v/>
      </c>
      <c r="N975" s="5" t="str">
        <f t="shared" si="79"/>
        <v/>
      </c>
    </row>
    <row r="976" spans="1:14" x14ac:dyDescent="0.25">
      <c r="A976" s="5">
        <v>975</v>
      </c>
      <c r="B976" s="5">
        <f t="shared" si="76"/>
        <v>0</v>
      </c>
      <c r="C976" s="5" t="str">
        <f t="shared" si="75"/>
        <v/>
      </c>
      <c r="D976" s="5" t="str">
        <f>IFERROR(IF(F976&lt;&gt;"",F976,VLOOKUP(MAX(C$2:C976),A$2:F976,2,FALSE)),"")</f>
        <v/>
      </c>
      <c r="E976" s="5" t="str">
        <f t="shared" si="77"/>
        <v/>
      </c>
      <c r="K976" t="str">
        <f>IFERROR(IF(VLOOKUP(E:E,'Old Report'!E:J,6,FALSE)="","",VLOOKUP(E:E,'Old Report'!E:J,6,FALSE)),"")</f>
        <v/>
      </c>
      <c r="L976" t="str">
        <f>IFERROR(IF(VLOOKUP(E:E,'Old Report'!E:L,8,FALSE)="","",VLOOKUP(E:E,'Old Report'!E:L,8,FALSE)),"")</f>
        <v/>
      </c>
      <c r="M976" s="5" t="str">
        <f t="shared" si="78"/>
        <v/>
      </c>
      <c r="N976" s="5" t="str">
        <f t="shared" si="79"/>
        <v/>
      </c>
    </row>
    <row r="977" spans="1:14" x14ac:dyDescent="0.25">
      <c r="A977" s="5">
        <v>976</v>
      </c>
      <c r="B977" s="5">
        <f t="shared" si="76"/>
        <v>0</v>
      </c>
      <c r="C977" s="5" t="str">
        <f t="shared" si="75"/>
        <v/>
      </c>
      <c r="D977" s="5" t="str">
        <f>IFERROR(IF(F977&lt;&gt;"",F977,VLOOKUP(MAX(C$2:C977),A$2:F977,2,FALSE)),"")</f>
        <v/>
      </c>
      <c r="E977" s="5" t="str">
        <f t="shared" si="77"/>
        <v/>
      </c>
      <c r="K977" t="str">
        <f>IFERROR(IF(VLOOKUP(E:E,'Old Report'!E:J,6,FALSE)="","",VLOOKUP(E:E,'Old Report'!E:J,6,FALSE)),"")</f>
        <v/>
      </c>
      <c r="L977" t="str">
        <f>IFERROR(IF(VLOOKUP(E:E,'Old Report'!E:L,8,FALSE)="","",VLOOKUP(E:E,'Old Report'!E:L,8,FALSE)),"")</f>
        <v/>
      </c>
      <c r="M977" s="5" t="str">
        <f t="shared" si="78"/>
        <v/>
      </c>
      <c r="N977" s="5" t="str">
        <f t="shared" si="79"/>
        <v/>
      </c>
    </row>
    <row r="978" spans="1:14" x14ac:dyDescent="0.25">
      <c r="A978" s="5">
        <v>977</v>
      </c>
      <c r="B978" s="5">
        <f t="shared" si="76"/>
        <v>0</v>
      </c>
      <c r="C978" s="5" t="str">
        <f t="shared" si="75"/>
        <v/>
      </c>
      <c r="D978" s="5" t="str">
        <f>IFERROR(IF(F978&lt;&gt;"",F978,VLOOKUP(MAX(C$2:C978),A$2:F978,2,FALSE)),"")</f>
        <v/>
      </c>
      <c r="E978" s="5" t="str">
        <f t="shared" si="77"/>
        <v/>
      </c>
      <c r="K978" t="str">
        <f>IFERROR(IF(VLOOKUP(E:E,'Old Report'!E:J,6,FALSE)="","",VLOOKUP(E:E,'Old Report'!E:J,6,FALSE)),"")</f>
        <v/>
      </c>
      <c r="L978" t="str">
        <f>IFERROR(IF(VLOOKUP(E:E,'Old Report'!E:L,8,FALSE)="","",VLOOKUP(E:E,'Old Report'!E:L,8,FALSE)),"")</f>
        <v/>
      </c>
      <c r="M978" s="5" t="str">
        <f t="shared" si="78"/>
        <v/>
      </c>
      <c r="N978" s="5" t="str">
        <f t="shared" si="79"/>
        <v/>
      </c>
    </row>
    <row r="979" spans="1:14" x14ac:dyDescent="0.25">
      <c r="A979" s="5">
        <v>978</v>
      </c>
      <c r="B979" s="5">
        <f t="shared" si="76"/>
        <v>0</v>
      </c>
      <c r="C979" s="5" t="str">
        <f t="shared" si="75"/>
        <v/>
      </c>
      <c r="D979" s="5" t="str">
        <f>IFERROR(IF(F979&lt;&gt;"",F979,VLOOKUP(MAX(C$2:C979),A$2:F979,2,FALSE)),"")</f>
        <v/>
      </c>
      <c r="E979" s="5" t="str">
        <f t="shared" si="77"/>
        <v/>
      </c>
      <c r="K979" t="str">
        <f>IFERROR(IF(VLOOKUP(E:E,'Old Report'!E:J,6,FALSE)="","",VLOOKUP(E:E,'Old Report'!E:J,6,FALSE)),"")</f>
        <v/>
      </c>
      <c r="L979" t="str">
        <f>IFERROR(IF(VLOOKUP(E:E,'Old Report'!E:L,8,FALSE)="","",VLOOKUP(E:E,'Old Report'!E:L,8,FALSE)),"")</f>
        <v/>
      </c>
      <c r="M979" s="5" t="str">
        <f t="shared" si="78"/>
        <v/>
      </c>
      <c r="N979" s="5" t="str">
        <f t="shared" si="79"/>
        <v/>
      </c>
    </row>
    <row r="980" spans="1:14" x14ac:dyDescent="0.25">
      <c r="A980" s="5">
        <v>979</v>
      </c>
      <c r="B980" s="5">
        <f t="shared" si="76"/>
        <v>0</v>
      </c>
      <c r="C980" s="5" t="str">
        <f t="shared" si="75"/>
        <v/>
      </c>
      <c r="D980" s="5" t="str">
        <f>IFERROR(IF(F980&lt;&gt;"",F980,VLOOKUP(MAX(C$2:C980),A$2:F980,2,FALSE)),"")</f>
        <v/>
      </c>
      <c r="E980" s="5" t="str">
        <f t="shared" si="77"/>
        <v/>
      </c>
      <c r="K980" t="str">
        <f>IFERROR(IF(VLOOKUP(E:E,'Old Report'!E:J,6,FALSE)="","",VLOOKUP(E:E,'Old Report'!E:J,6,FALSE)),"")</f>
        <v/>
      </c>
      <c r="L980" t="str">
        <f>IFERROR(IF(VLOOKUP(E:E,'Old Report'!E:L,8,FALSE)="","",VLOOKUP(E:E,'Old Report'!E:L,8,FALSE)),"")</f>
        <v/>
      </c>
      <c r="M980" s="5" t="str">
        <f t="shared" si="78"/>
        <v/>
      </c>
      <c r="N980" s="5" t="str">
        <f t="shared" si="79"/>
        <v/>
      </c>
    </row>
    <row r="981" spans="1:14" x14ac:dyDescent="0.25">
      <c r="A981" s="5">
        <v>980</v>
      </c>
      <c r="B981" s="5">
        <f t="shared" si="76"/>
        <v>0</v>
      </c>
      <c r="C981" s="5" t="str">
        <f t="shared" si="75"/>
        <v/>
      </c>
      <c r="D981" s="5" t="str">
        <f>IFERROR(IF(F981&lt;&gt;"",F981,VLOOKUP(MAX(C$2:C981),A$2:F981,2,FALSE)),"")</f>
        <v/>
      </c>
      <c r="E981" s="5" t="str">
        <f t="shared" si="77"/>
        <v/>
      </c>
      <c r="K981" t="str">
        <f>IFERROR(IF(VLOOKUP(E:E,'Old Report'!E:J,6,FALSE)="","",VLOOKUP(E:E,'Old Report'!E:J,6,FALSE)),"")</f>
        <v/>
      </c>
      <c r="L981" t="str">
        <f>IFERROR(IF(VLOOKUP(E:E,'Old Report'!E:L,8,FALSE)="","",VLOOKUP(E:E,'Old Report'!E:L,8,FALSE)),"")</f>
        <v/>
      </c>
      <c r="M981" s="5" t="str">
        <f t="shared" si="78"/>
        <v/>
      </c>
      <c r="N981" s="5" t="str">
        <f t="shared" si="79"/>
        <v/>
      </c>
    </row>
    <row r="982" spans="1:14" x14ac:dyDescent="0.25">
      <c r="A982" s="5">
        <v>981</v>
      </c>
      <c r="B982" s="5">
        <f t="shared" si="76"/>
        <v>0</v>
      </c>
      <c r="C982" s="5" t="str">
        <f t="shared" si="75"/>
        <v/>
      </c>
      <c r="D982" s="5" t="str">
        <f>IFERROR(IF(F982&lt;&gt;"",F982,VLOOKUP(MAX(C$2:C982),A$2:F982,2,FALSE)),"")</f>
        <v/>
      </c>
      <c r="E982" s="5" t="str">
        <f t="shared" si="77"/>
        <v/>
      </c>
      <c r="K982" t="str">
        <f>IFERROR(IF(VLOOKUP(E:E,'Old Report'!E:J,6,FALSE)="","",VLOOKUP(E:E,'Old Report'!E:J,6,FALSE)),"")</f>
        <v/>
      </c>
      <c r="L982" t="str">
        <f>IFERROR(IF(VLOOKUP(E:E,'Old Report'!E:L,8,FALSE)="","",VLOOKUP(E:E,'Old Report'!E:L,8,FALSE)),"")</f>
        <v/>
      </c>
      <c r="M982" s="5" t="str">
        <f t="shared" si="78"/>
        <v/>
      </c>
      <c r="N982" s="5" t="str">
        <f t="shared" si="79"/>
        <v/>
      </c>
    </row>
    <row r="983" spans="1:14" x14ac:dyDescent="0.25">
      <c r="A983" s="5">
        <v>982</v>
      </c>
      <c r="B983" s="5">
        <f t="shared" si="76"/>
        <v>0</v>
      </c>
      <c r="C983" s="5" t="str">
        <f t="shared" si="75"/>
        <v/>
      </c>
      <c r="D983" s="5" t="str">
        <f>IFERROR(IF(F983&lt;&gt;"",F983,VLOOKUP(MAX(C$2:C983),A$2:F983,2,FALSE)),"")</f>
        <v/>
      </c>
      <c r="E983" s="5" t="str">
        <f t="shared" si="77"/>
        <v/>
      </c>
      <c r="K983" t="str">
        <f>IFERROR(IF(VLOOKUP(E:E,'Old Report'!E:J,6,FALSE)="","",VLOOKUP(E:E,'Old Report'!E:J,6,FALSE)),"")</f>
        <v/>
      </c>
      <c r="L983" t="str">
        <f>IFERROR(IF(VLOOKUP(E:E,'Old Report'!E:L,8,FALSE)="","",VLOOKUP(E:E,'Old Report'!E:L,8,FALSE)),"")</f>
        <v/>
      </c>
      <c r="M983" s="5" t="str">
        <f t="shared" si="78"/>
        <v/>
      </c>
      <c r="N983" s="5" t="str">
        <f t="shared" si="79"/>
        <v/>
      </c>
    </row>
    <row r="984" spans="1:14" x14ac:dyDescent="0.25">
      <c r="A984" s="5">
        <v>983</v>
      </c>
      <c r="B984" s="5">
        <f t="shared" si="76"/>
        <v>0</v>
      </c>
      <c r="C984" s="5" t="str">
        <f t="shared" si="75"/>
        <v/>
      </c>
      <c r="D984" s="5" t="str">
        <f>IFERROR(IF(F984&lt;&gt;"",F984,VLOOKUP(MAX(C$2:C984),A$2:F984,2,FALSE)),"")</f>
        <v/>
      </c>
      <c r="E984" s="5" t="str">
        <f t="shared" si="77"/>
        <v/>
      </c>
      <c r="K984" t="str">
        <f>IFERROR(IF(VLOOKUP(E:E,'Old Report'!E:J,6,FALSE)="","",VLOOKUP(E:E,'Old Report'!E:J,6,FALSE)),"")</f>
        <v/>
      </c>
      <c r="L984" t="str">
        <f>IFERROR(IF(VLOOKUP(E:E,'Old Report'!E:L,8,FALSE)="","",VLOOKUP(E:E,'Old Report'!E:L,8,FALSE)),"")</f>
        <v/>
      </c>
      <c r="M984" s="5" t="str">
        <f t="shared" si="78"/>
        <v/>
      </c>
      <c r="N984" s="5" t="str">
        <f t="shared" si="79"/>
        <v/>
      </c>
    </row>
    <row r="985" spans="1:14" x14ac:dyDescent="0.25">
      <c r="A985" s="5">
        <v>984</v>
      </c>
      <c r="B985" s="5">
        <f t="shared" si="76"/>
        <v>0</v>
      </c>
      <c r="C985" s="5" t="str">
        <f t="shared" si="75"/>
        <v/>
      </c>
      <c r="D985" s="5" t="str">
        <f>IFERROR(IF(F985&lt;&gt;"",F985,VLOOKUP(MAX(C$2:C985),A$2:F985,2,FALSE)),"")</f>
        <v/>
      </c>
      <c r="E985" s="5" t="str">
        <f t="shared" si="77"/>
        <v/>
      </c>
      <c r="K985" t="str">
        <f>IFERROR(IF(VLOOKUP(E:E,'Old Report'!E:J,6,FALSE)="","",VLOOKUP(E:E,'Old Report'!E:J,6,FALSE)),"")</f>
        <v/>
      </c>
      <c r="L985" t="str">
        <f>IFERROR(IF(VLOOKUP(E:E,'Old Report'!E:L,8,FALSE)="","",VLOOKUP(E:E,'Old Report'!E:L,8,FALSE)),"")</f>
        <v/>
      </c>
      <c r="M985" s="5" t="str">
        <f t="shared" si="78"/>
        <v/>
      </c>
      <c r="N985" s="5" t="str">
        <f t="shared" si="79"/>
        <v/>
      </c>
    </row>
    <row r="986" spans="1:14" x14ac:dyDescent="0.25">
      <c r="A986" s="5">
        <v>985</v>
      </c>
      <c r="B986" s="5">
        <f t="shared" si="76"/>
        <v>0</v>
      </c>
      <c r="C986" s="5" t="str">
        <f t="shared" si="75"/>
        <v/>
      </c>
      <c r="D986" s="5" t="str">
        <f>IFERROR(IF(F986&lt;&gt;"",F986,VLOOKUP(MAX(C$2:C986),A$2:F986,2,FALSE)),"")</f>
        <v/>
      </c>
      <c r="E986" s="5" t="str">
        <f t="shared" si="77"/>
        <v/>
      </c>
      <c r="K986" t="str">
        <f>IFERROR(IF(VLOOKUP(E:E,'Old Report'!E:J,6,FALSE)="","",VLOOKUP(E:E,'Old Report'!E:J,6,FALSE)),"")</f>
        <v/>
      </c>
      <c r="L986" t="str">
        <f>IFERROR(IF(VLOOKUP(E:E,'Old Report'!E:L,8,FALSE)="","",VLOOKUP(E:E,'Old Report'!E:L,8,FALSE)),"")</f>
        <v/>
      </c>
      <c r="M986" s="5" t="str">
        <f t="shared" si="78"/>
        <v/>
      </c>
      <c r="N986" s="5" t="str">
        <f t="shared" si="79"/>
        <v/>
      </c>
    </row>
    <row r="987" spans="1:14" x14ac:dyDescent="0.25">
      <c r="A987" s="5">
        <v>986</v>
      </c>
      <c r="B987" s="5">
        <f t="shared" si="76"/>
        <v>0</v>
      </c>
      <c r="C987" s="5" t="str">
        <f t="shared" si="75"/>
        <v/>
      </c>
      <c r="D987" s="5" t="str">
        <f>IFERROR(IF(F987&lt;&gt;"",F987,VLOOKUP(MAX(C$2:C987),A$2:F987,2,FALSE)),"")</f>
        <v/>
      </c>
      <c r="E987" s="5" t="str">
        <f t="shared" si="77"/>
        <v/>
      </c>
      <c r="K987" t="str">
        <f>IFERROR(IF(VLOOKUP(E:E,'Old Report'!E:J,6,FALSE)="","",VLOOKUP(E:E,'Old Report'!E:J,6,FALSE)),"")</f>
        <v/>
      </c>
      <c r="L987" t="str">
        <f>IFERROR(IF(VLOOKUP(E:E,'Old Report'!E:L,8,FALSE)="","",VLOOKUP(E:E,'Old Report'!E:L,8,FALSE)),"")</f>
        <v/>
      </c>
      <c r="M987" s="5" t="str">
        <f t="shared" si="78"/>
        <v/>
      </c>
      <c r="N987" s="5" t="str">
        <f t="shared" si="79"/>
        <v/>
      </c>
    </row>
    <row r="988" spans="1:14" x14ac:dyDescent="0.25">
      <c r="A988" s="5">
        <v>987</v>
      </c>
      <c r="B988" s="5">
        <f t="shared" si="76"/>
        <v>0</v>
      </c>
      <c r="C988" s="5" t="str">
        <f t="shared" si="75"/>
        <v/>
      </c>
      <c r="D988" s="5" t="str">
        <f>IFERROR(IF(F988&lt;&gt;"",F988,VLOOKUP(MAX(C$2:C988),A$2:F988,2,FALSE)),"")</f>
        <v/>
      </c>
      <c r="E988" s="5" t="str">
        <f t="shared" si="77"/>
        <v/>
      </c>
      <c r="K988" t="str">
        <f>IFERROR(IF(VLOOKUP(E:E,'Old Report'!E:J,6,FALSE)="","",VLOOKUP(E:E,'Old Report'!E:J,6,FALSE)),"")</f>
        <v/>
      </c>
      <c r="L988" t="str">
        <f>IFERROR(IF(VLOOKUP(E:E,'Old Report'!E:L,8,FALSE)="","",VLOOKUP(E:E,'Old Report'!E:L,8,FALSE)),"")</f>
        <v/>
      </c>
      <c r="M988" s="5" t="str">
        <f t="shared" si="78"/>
        <v/>
      </c>
      <c r="N988" s="5" t="str">
        <f t="shared" si="79"/>
        <v/>
      </c>
    </row>
    <row r="989" spans="1:14" x14ac:dyDescent="0.25">
      <c r="A989" s="5">
        <v>988</v>
      </c>
      <c r="B989" s="5">
        <f t="shared" si="76"/>
        <v>0</v>
      </c>
      <c r="C989" s="5" t="str">
        <f t="shared" si="75"/>
        <v/>
      </c>
      <c r="D989" s="5" t="str">
        <f>IFERROR(IF(F989&lt;&gt;"",F989,VLOOKUP(MAX(C$2:C989),A$2:F989,2,FALSE)),"")</f>
        <v/>
      </c>
      <c r="E989" s="5" t="str">
        <f t="shared" si="77"/>
        <v/>
      </c>
      <c r="K989" t="str">
        <f>IFERROR(IF(VLOOKUP(E:E,'Old Report'!E:J,6,FALSE)="","",VLOOKUP(E:E,'Old Report'!E:J,6,FALSE)),"")</f>
        <v/>
      </c>
      <c r="L989" t="str">
        <f>IFERROR(IF(VLOOKUP(E:E,'Old Report'!E:L,8,FALSE)="","",VLOOKUP(E:E,'Old Report'!E:L,8,FALSE)),"")</f>
        <v/>
      </c>
      <c r="M989" s="5" t="str">
        <f t="shared" si="78"/>
        <v/>
      </c>
      <c r="N989" s="5" t="str">
        <f t="shared" si="79"/>
        <v/>
      </c>
    </row>
    <row r="990" spans="1:14" x14ac:dyDescent="0.25">
      <c r="A990" s="5">
        <v>989</v>
      </c>
      <c r="B990" s="5">
        <f t="shared" si="76"/>
        <v>0</v>
      </c>
      <c r="C990" s="5" t="str">
        <f t="shared" si="75"/>
        <v/>
      </c>
      <c r="D990" s="5" t="str">
        <f>IFERROR(IF(F990&lt;&gt;"",F990,VLOOKUP(MAX(C$2:C990),A$2:F990,2,FALSE)),"")</f>
        <v/>
      </c>
      <c r="E990" s="5" t="str">
        <f t="shared" si="77"/>
        <v/>
      </c>
      <c r="K990" t="str">
        <f>IFERROR(IF(VLOOKUP(E:E,'Old Report'!E:J,6,FALSE)="","",VLOOKUP(E:E,'Old Report'!E:J,6,FALSE)),"")</f>
        <v/>
      </c>
      <c r="L990" t="str">
        <f>IFERROR(IF(VLOOKUP(E:E,'Old Report'!E:L,8,FALSE)="","",VLOOKUP(E:E,'Old Report'!E:L,8,FALSE)),"")</f>
        <v/>
      </c>
      <c r="M990" s="5" t="str">
        <f t="shared" si="78"/>
        <v/>
      </c>
      <c r="N990" s="5" t="str">
        <f t="shared" si="79"/>
        <v/>
      </c>
    </row>
    <row r="991" spans="1:14" x14ac:dyDescent="0.25">
      <c r="A991" s="5">
        <v>990</v>
      </c>
      <c r="B991" s="5">
        <f t="shared" si="76"/>
        <v>0</v>
      </c>
      <c r="C991" s="5" t="str">
        <f t="shared" si="75"/>
        <v/>
      </c>
      <c r="D991" s="5" t="str">
        <f>IFERROR(IF(F991&lt;&gt;"",F991,VLOOKUP(MAX(C$2:C991),A$2:F991,2,FALSE)),"")</f>
        <v/>
      </c>
      <c r="E991" s="5" t="str">
        <f t="shared" si="77"/>
        <v/>
      </c>
      <c r="K991" t="str">
        <f>IFERROR(IF(VLOOKUP(E:E,'Old Report'!E:J,6,FALSE)="","",VLOOKUP(E:E,'Old Report'!E:J,6,FALSE)),"")</f>
        <v/>
      </c>
      <c r="L991" t="str">
        <f>IFERROR(IF(VLOOKUP(E:E,'Old Report'!E:L,8,FALSE)="","",VLOOKUP(E:E,'Old Report'!E:L,8,FALSE)),"")</f>
        <v/>
      </c>
      <c r="M991" s="5" t="str">
        <f t="shared" si="78"/>
        <v/>
      </c>
      <c r="N991" s="5" t="str">
        <f t="shared" si="79"/>
        <v/>
      </c>
    </row>
    <row r="992" spans="1:14" x14ac:dyDescent="0.25">
      <c r="A992" s="5">
        <v>991</v>
      </c>
      <c r="B992" s="5">
        <f t="shared" si="76"/>
        <v>0</v>
      </c>
      <c r="C992" s="5" t="str">
        <f t="shared" si="75"/>
        <v/>
      </c>
      <c r="D992" s="5" t="str">
        <f>IFERROR(IF(F992&lt;&gt;"",F992,VLOOKUP(MAX(C$2:C992),A$2:F992,2,FALSE)),"")</f>
        <v/>
      </c>
      <c r="E992" s="5" t="str">
        <f t="shared" si="77"/>
        <v/>
      </c>
      <c r="K992" t="str">
        <f>IFERROR(IF(VLOOKUP(E:E,'Old Report'!E:J,6,FALSE)="","",VLOOKUP(E:E,'Old Report'!E:J,6,FALSE)),"")</f>
        <v/>
      </c>
      <c r="L992" t="str">
        <f>IFERROR(IF(VLOOKUP(E:E,'Old Report'!E:L,8,FALSE)="","",VLOOKUP(E:E,'Old Report'!E:L,8,FALSE)),"")</f>
        <v/>
      </c>
      <c r="M992" s="5" t="str">
        <f t="shared" si="78"/>
        <v/>
      </c>
      <c r="N992" s="5" t="str">
        <f t="shared" si="79"/>
        <v/>
      </c>
    </row>
    <row r="993" spans="1:14" x14ac:dyDescent="0.25">
      <c r="A993" s="5">
        <v>992</v>
      </c>
      <c r="B993" s="5">
        <f t="shared" si="76"/>
        <v>0</v>
      </c>
      <c r="C993" s="5" t="str">
        <f t="shared" si="75"/>
        <v/>
      </c>
      <c r="D993" s="5" t="str">
        <f>IFERROR(IF(F993&lt;&gt;"",F993,VLOOKUP(MAX(C$2:C993),A$2:F993,2,FALSE)),"")</f>
        <v/>
      </c>
      <c r="E993" s="5" t="str">
        <f t="shared" si="77"/>
        <v/>
      </c>
      <c r="K993" t="str">
        <f>IFERROR(IF(VLOOKUP(E:E,'Old Report'!E:J,6,FALSE)="","",VLOOKUP(E:E,'Old Report'!E:J,6,FALSE)),"")</f>
        <v/>
      </c>
      <c r="L993" t="str">
        <f>IFERROR(IF(VLOOKUP(E:E,'Old Report'!E:L,8,FALSE)="","",VLOOKUP(E:E,'Old Report'!E:L,8,FALSE)),"")</f>
        <v/>
      </c>
      <c r="M993" s="5" t="str">
        <f t="shared" si="78"/>
        <v/>
      </c>
      <c r="N993" s="5" t="str">
        <f t="shared" si="79"/>
        <v/>
      </c>
    </row>
    <row r="994" spans="1:14" x14ac:dyDescent="0.25">
      <c r="A994" s="5">
        <v>993</v>
      </c>
      <c r="B994" s="5">
        <f t="shared" si="76"/>
        <v>0</v>
      </c>
      <c r="C994" s="5" t="str">
        <f t="shared" si="75"/>
        <v/>
      </c>
      <c r="D994" s="5" t="str">
        <f>IFERROR(IF(F994&lt;&gt;"",F994,VLOOKUP(MAX(C$2:C994),A$2:F994,2,FALSE)),"")</f>
        <v/>
      </c>
      <c r="E994" s="5" t="str">
        <f t="shared" si="77"/>
        <v/>
      </c>
      <c r="K994" t="str">
        <f>IFERROR(IF(VLOOKUP(E:E,'Old Report'!E:J,6,FALSE)="","",VLOOKUP(E:E,'Old Report'!E:J,6,FALSE)),"")</f>
        <v/>
      </c>
      <c r="L994" t="str">
        <f>IFERROR(IF(VLOOKUP(E:E,'Old Report'!E:L,8,FALSE)="","",VLOOKUP(E:E,'Old Report'!E:L,8,FALSE)),"")</f>
        <v/>
      </c>
      <c r="M994" s="5" t="str">
        <f t="shared" si="78"/>
        <v/>
      </c>
      <c r="N994" s="5" t="str">
        <f t="shared" si="79"/>
        <v/>
      </c>
    </row>
    <row r="995" spans="1:14" x14ac:dyDescent="0.25">
      <c r="A995" s="5">
        <v>994</v>
      </c>
      <c r="B995" s="5">
        <f t="shared" si="76"/>
        <v>0</v>
      </c>
      <c r="C995" s="5" t="str">
        <f t="shared" si="75"/>
        <v/>
      </c>
      <c r="D995" s="5" t="str">
        <f>IFERROR(IF(F995&lt;&gt;"",F995,VLOOKUP(MAX(C$2:C995),A$2:F995,2,FALSE)),"")</f>
        <v/>
      </c>
      <c r="E995" s="5" t="str">
        <f t="shared" si="77"/>
        <v/>
      </c>
      <c r="K995" t="str">
        <f>IFERROR(IF(VLOOKUP(E:E,'Old Report'!E:J,6,FALSE)="","",VLOOKUP(E:E,'Old Report'!E:J,6,FALSE)),"")</f>
        <v/>
      </c>
      <c r="L995" t="str">
        <f>IFERROR(IF(VLOOKUP(E:E,'Old Report'!E:L,8,FALSE)="","",VLOOKUP(E:E,'Old Report'!E:L,8,FALSE)),"")</f>
        <v/>
      </c>
      <c r="M995" s="5" t="str">
        <f t="shared" si="78"/>
        <v/>
      </c>
      <c r="N995" s="5" t="str">
        <f t="shared" si="79"/>
        <v/>
      </c>
    </row>
    <row r="996" spans="1:14" x14ac:dyDescent="0.25">
      <c r="A996" s="5">
        <v>995</v>
      </c>
      <c r="B996" s="5">
        <f t="shared" si="76"/>
        <v>0</v>
      </c>
      <c r="C996" s="5" t="str">
        <f t="shared" si="75"/>
        <v/>
      </c>
      <c r="D996" s="5" t="str">
        <f>IFERROR(IF(F996&lt;&gt;"",F996,VLOOKUP(MAX(C$2:C996),A$2:F996,2,FALSE)),"")</f>
        <v/>
      </c>
      <c r="E996" s="5" t="str">
        <f t="shared" si="77"/>
        <v/>
      </c>
      <c r="K996" t="str">
        <f>IFERROR(IF(VLOOKUP(E:E,'Old Report'!E:J,6,FALSE)="","",VLOOKUP(E:E,'Old Report'!E:J,6,FALSE)),"")</f>
        <v/>
      </c>
      <c r="L996" t="str">
        <f>IFERROR(IF(VLOOKUP(E:E,'Old Report'!E:L,8,FALSE)="","",VLOOKUP(E:E,'Old Report'!E:L,8,FALSE)),"")</f>
        <v/>
      </c>
      <c r="M996" s="5" t="str">
        <f t="shared" si="78"/>
        <v/>
      </c>
      <c r="N996" s="5" t="str">
        <f t="shared" si="79"/>
        <v/>
      </c>
    </row>
    <row r="997" spans="1:14" x14ac:dyDescent="0.25">
      <c r="A997" s="5">
        <v>996</v>
      </c>
      <c r="B997" s="5">
        <f t="shared" si="76"/>
        <v>0</v>
      </c>
      <c r="C997" s="5" t="str">
        <f t="shared" si="75"/>
        <v/>
      </c>
      <c r="D997" s="5" t="str">
        <f>IFERROR(IF(F997&lt;&gt;"",F997,VLOOKUP(MAX(C$2:C997),A$2:F997,2,FALSE)),"")</f>
        <v/>
      </c>
      <c r="E997" s="5" t="str">
        <f t="shared" si="77"/>
        <v/>
      </c>
      <c r="K997" t="str">
        <f>IFERROR(IF(VLOOKUP(E:E,'Old Report'!E:J,6,FALSE)="","",VLOOKUP(E:E,'Old Report'!E:J,6,FALSE)),"")</f>
        <v/>
      </c>
      <c r="L997" t="str">
        <f>IFERROR(IF(VLOOKUP(E:E,'Old Report'!E:L,8,FALSE)="","",VLOOKUP(E:E,'Old Report'!E:L,8,FALSE)),"")</f>
        <v/>
      </c>
      <c r="M997" s="5" t="str">
        <f t="shared" si="78"/>
        <v/>
      </c>
      <c r="N997" s="5" t="str">
        <f t="shared" si="79"/>
        <v/>
      </c>
    </row>
    <row r="998" spans="1:14" x14ac:dyDescent="0.25">
      <c r="A998" s="5">
        <v>997</v>
      </c>
      <c r="B998" s="5">
        <f t="shared" si="76"/>
        <v>0</v>
      </c>
      <c r="C998" s="5" t="str">
        <f t="shared" si="75"/>
        <v/>
      </c>
      <c r="D998" s="5" t="str">
        <f>IFERROR(IF(F998&lt;&gt;"",F998,VLOOKUP(MAX(C$2:C998),A$2:F998,2,FALSE)),"")</f>
        <v/>
      </c>
      <c r="E998" s="5" t="str">
        <f t="shared" si="77"/>
        <v/>
      </c>
      <c r="K998" t="str">
        <f>IFERROR(IF(VLOOKUP(E:E,'Old Report'!E:J,6,FALSE)="","",VLOOKUP(E:E,'Old Report'!E:J,6,FALSE)),"")</f>
        <v/>
      </c>
      <c r="L998" t="str">
        <f>IFERROR(IF(VLOOKUP(E:E,'Old Report'!E:L,8,FALSE)="","",VLOOKUP(E:E,'Old Report'!E:L,8,FALSE)),"")</f>
        <v/>
      </c>
      <c r="M998" s="5" t="str">
        <f t="shared" si="78"/>
        <v/>
      </c>
      <c r="N998" s="5" t="str">
        <f t="shared" si="79"/>
        <v/>
      </c>
    </row>
    <row r="999" spans="1:14" x14ac:dyDescent="0.25">
      <c r="A999" s="5">
        <v>998</v>
      </c>
      <c r="B999" s="5">
        <f t="shared" si="76"/>
        <v>0</v>
      </c>
      <c r="C999" s="5" t="str">
        <f t="shared" si="75"/>
        <v/>
      </c>
      <c r="D999" s="5" t="str">
        <f>IFERROR(IF(F999&lt;&gt;"",F999,VLOOKUP(MAX(C$2:C999),A$2:F999,2,FALSE)),"")</f>
        <v/>
      </c>
      <c r="E999" s="5" t="str">
        <f t="shared" si="77"/>
        <v/>
      </c>
      <c r="K999" t="str">
        <f>IFERROR(IF(VLOOKUP(E:E,'Old Report'!E:J,6,FALSE)="","",VLOOKUP(E:E,'Old Report'!E:J,6,FALSE)),"")</f>
        <v/>
      </c>
      <c r="L999" t="str">
        <f>IFERROR(IF(VLOOKUP(E:E,'Old Report'!E:L,8,FALSE)="","",VLOOKUP(E:E,'Old Report'!E:L,8,FALSE)),"")</f>
        <v/>
      </c>
      <c r="M999" s="5" t="str">
        <f t="shared" si="78"/>
        <v/>
      </c>
      <c r="N999" s="5" t="str">
        <f t="shared" si="79"/>
        <v/>
      </c>
    </row>
    <row r="1000" spans="1:14" x14ac:dyDescent="0.25">
      <c r="A1000" s="5">
        <v>999</v>
      </c>
      <c r="B1000" s="5">
        <f t="shared" si="76"/>
        <v>0</v>
      </c>
      <c r="C1000" s="5" t="str">
        <f t="shared" si="75"/>
        <v/>
      </c>
      <c r="D1000" s="5" t="str">
        <f>IFERROR(IF(F1000&lt;&gt;"",F1000,VLOOKUP(MAX(C$2:C1000),A$2:F1000,2,FALSE)),"")</f>
        <v/>
      </c>
      <c r="E1000" s="5" t="str">
        <f t="shared" si="77"/>
        <v/>
      </c>
      <c r="K1000" t="str">
        <f>IFERROR(IF(VLOOKUP(E:E,'Old Report'!E:J,6,FALSE)="","",VLOOKUP(E:E,'Old Report'!E:J,6,FALSE)),"")</f>
        <v/>
      </c>
      <c r="L1000" t="str">
        <f>IFERROR(IF(VLOOKUP(E:E,'Old Report'!E:L,8,FALSE)="","",VLOOKUP(E:E,'Old Report'!E:L,8,FALSE)),"")</f>
        <v/>
      </c>
      <c r="M1000" s="5" t="str">
        <f t="shared" si="78"/>
        <v/>
      </c>
      <c r="N1000" s="5" t="str">
        <f t="shared" si="79"/>
        <v/>
      </c>
    </row>
    <row r="1001" spans="1:14" x14ac:dyDescent="0.25">
      <c r="A1001" s="5">
        <v>1000</v>
      </c>
      <c r="B1001" s="5">
        <f t="shared" si="76"/>
        <v>0</v>
      </c>
      <c r="C1001" s="5" t="str">
        <f t="shared" si="75"/>
        <v/>
      </c>
      <c r="D1001" s="5" t="str">
        <f>IFERROR(IF(F1001&lt;&gt;"",F1001,VLOOKUP(MAX(C$2:C1001),A$2:F1001,2,FALSE)),"")</f>
        <v/>
      </c>
      <c r="E1001" s="5" t="str">
        <f t="shared" si="77"/>
        <v/>
      </c>
      <c r="K1001" t="str">
        <f>IFERROR(IF(VLOOKUP(E:E,'Old Report'!E:J,6,FALSE)="","",VLOOKUP(E:E,'Old Report'!E:J,6,FALSE)),"")</f>
        <v/>
      </c>
      <c r="L1001" t="str">
        <f>IFERROR(IF(VLOOKUP(E:E,'Old Report'!E:L,8,FALSE)="","",VLOOKUP(E:E,'Old Report'!E:L,8,FALSE)),"")</f>
        <v/>
      </c>
      <c r="M1001" s="5" t="str">
        <f t="shared" si="78"/>
        <v/>
      </c>
      <c r="N1001" s="5" t="str">
        <f t="shared" si="79"/>
        <v/>
      </c>
    </row>
    <row r="1002" spans="1:14" x14ac:dyDescent="0.25">
      <c r="A1002" s="5">
        <v>1001</v>
      </c>
      <c r="B1002" s="5">
        <f t="shared" si="76"/>
        <v>0</v>
      </c>
      <c r="C1002" s="5" t="str">
        <f t="shared" si="75"/>
        <v/>
      </c>
      <c r="D1002" s="5" t="str">
        <f>IFERROR(IF(F1002&lt;&gt;"",F1002,VLOOKUP(MAX(C$2:C1002),A$2:F1002,2,FALSE)),"")</f>
        <v/>
      </c>
      <c r="E1002" s="5" t="str">
        <f t="shared" si="77"/>
        <v/>
      </c>
      <c r="K1002" t="str">
        <f>IFERROR(IF(VLOOKUP(E:E,'Old Report'!E:J,6,FALSE)="","",VLOOKUP(E:E,'Old Report'!E:J,6,FALSE)),"")</f>
        <v/>
      </c>
      <c r="L1002" t="str">
        <f>IFERROR(IF(VLOOKUP(E:E,'Old Report'!E:L,8,FALSE)="","",VLOOKUP(E:E,'Old Report'!E:L,8,FALSE)),"")</f>
        <v/>
      </c>
      <c r="M1002" s="5" t="str">
        <f t="shared" si="78"/>
        <v/>
      </c>
      <c r="N1002" s="5" t="str">
        <f t="shared" si="79"/>
        <v/>
      </c>
    </row>
    <row r="1003" spans="1:14" x14ac:dyDescent="0.25">
      <c r="A1003" s="5">
        <v>1002</v>
      </c>
      <c r="B1003" s="5">
        <f t="shared" si="76"/>
        <v>0</v>
      </c>
      <c r="C1003" s="5" t="str">
        <f t="shared" si="75"/>
        <v/>
      </c>
      <c r="D1003" s="5" t="str">
        <f>IFERROR(IF(F1003&lt;&gt;"",F1003,VLOOKUP(MAX(C$2:C1003),A$2:F1003,2,FALSE)),"")</f>
        <v/>
      </c>
      <c r="E1003" s="5" t="str">
        <f t="shared" si="77"/>
        <v/>
      </c>
      <c r="K1003" t="str">
        <f>IFERROR(IF(VLOOKUP(E:E,'Old Report'!E:J,6,FALSE)="","",VLOOKUP(E:E,'Old Report'!E:J,6,FALSE)),"")</f>
        <v/>
      </c>
      <c r="L1003" t="str">
        <f>IFERROR(IF(VLOOKUP(E:E,'Old Report'!E:L,8,FALSE)="","",VLOOKUP(E:E,'Old Report'!E:L,8,FALSE)),"")</f>
        <v/>
      </c>
      <c r="M1003" s="5" t="str">
        <f t="shared" si="78"/>
        <v/>
      </c>
      <c r="N1003" s="5" t="str">
        <f t="shared" si="79"/>
        <v/>
      </c>
    </row>
    <row r="1004" spans="1:14" x14ac:dyDescent="0.25">
      <c r="A1004" s="5">
        <v>1003</v>
      </c>
      <c r="B1004" s="5">
        <f t="shared" si="76"/>
        <v>0</v>
      </c>
      <c r="C1004" s="5" t="str">
        <f t="shared" si="75"/>
        <v/>
      </c>
      <c r="D1004" s="5" t="str">
        <f>IFERROR(IF(F1004&lt;&gt;"",F1004,VLOOKUP(MAX(C$2:C1004),A$2:F1004,2,FALSE)),"")</f>
        <v/>
      </c>
      <c r="E1004" s="5" t="str">
        <f t="shared" si="77"/>
        <v/>
      </c>
      <c r="K1004" t="str">
        <f>IFERROR(IF(VLOOKUP(E:E,'Old Report'!E:J,6,FALSE)="","",VLOOKUP(E:E,'Old Report'!E:J,6,FALSE)),"")</f>
        <v/>
      </c>
      <c r="L1004" t="str">
        <f>IFERROR(IF(VLOOKUP(E:E,'Old Report'!E:L,8,FALSE)="","",VLOOKUP(E:E,'Old Report'!E:L,8,FALSE)),"")</f>
        <v/>
      </c>
      <c r="M1004" s="5" t="str">
        <f t="shared" si="78"/>
        <v/>
      </c>
      <c r="N1004" s="5" t="str">
        <f t="shared" si="79"/>
        <v/>
      </c>
    </row>
    <row r="1005" spans="1:14" x14ac:dyDescent="0.25">
      <c r="A1005" s="5">
        <v>1004</v>
      </c>
      <c r="B1005" s="5">
        <f t="shared" si="76"/>
        <v>0</v>
      </c>
      <c r="C1005" s="5" t="str">
        <f t="shared" si="75"/>
        <v/>
      </c>
      <c r="D1005" s="5" t="str">
        <f>IFERROR(IF(F1005&lt;&gt;"",F1005,VLOOKUP(MAX(C$2:C1005),A$2:F1005,2,FALSE)),"")</f>
        <v/>
      </c>
      <c r="E1005" s="5" t="str">
        <f t="shared" si="77"/>
        <v/>
      </c>
      <c r="K1005" t="str">
        <f>IFERROR(IF(VLOOKUP(E:E,'Old Report'!E:J,6,FALSE)="","",VLOOKUP(E:E,'Old Report'!E:J,6,FALSE)),"")</f>
        <v/>
      </c>
      <c r="L1005" t="str">
        <f>IFERROR(IF(VLOOKUP(E:E,'Old Report'!E:L,8,FALSE)="","",VLOOKUP(E:E,'Old Report'!E:L,8,FALSE)),"")</f>
        <v/>
      </c>
      <c r="M1005" s="5" t="str">
        <f t="shared" si="78"/>
        <v/>
      </c>
      <c r="N1005" s="5" t="str">
        <f t="shared" si="79"/>
        <v/>
      </c>
    </row>
    <row r="1006" spans="1:14" x14ac:dyDescent="0.25">
      <c r="A1006" s="5">
        <v>1005</v>
      </c>
      <c r="B1006" s="5">
        <f t="shared" si="76"/>
        <v>0</v>
      </c>
      <c r="C1006" s="5" t="str">
        <f t="shared" si="75"/>
        <v/>
      </c>
      <c r="D1006" s="5" t="str">
        <f>IFERROR(IF(F1006&lt;&gt;"",F1006,VLOOKUP(MAX(C$2:C1006),A$2:F1006,2,FALSE)),"")</f>
        <v/>
      </c>
      <c r="E1006" s="5" t="str">
        <f t="shared" si="77"/>
        <v/>
      </c>
      <c r="K1006" t="str">
        <f>IFERROR(IF(VLOOKUP(E:E,'Old Report'!E:J,6,FALSE)="","",VLOOKUP(E:E,'Old Report'!E:J,6,FALSE)),"")</f>
        <v/>
      </c>
      <c r="L1006" t="str">
        <f>IFERROR(IF(VLOOKUP(E:E,'Old Report'!E:L,8,FALSE)="","",VLOOKUP(E:E,'Old Report'!E:L,8,FALSE)),"")</f>
        <v/>
      </c>
      <c r="M1006" s="5" t="str">
        <f t="shared" si="78"/>
        <v/>
      </c>
      <c r="N1006" s="5" t="str">
        <f t="shared" si="79"/>
        <v/>
      </c>
    </row>
    <row r="1007" spans="1:14" x14ac:dyDescent="0.25">
      <c r="A1007" s="5">
        <v>1006</v>
      </c>
      <c r="B1007" s="5">
        <f t="shared" si="76"/>
        <v>0</v>
      </c>
      <c r="C1007" s="5" t="str">
        <f t="shared" si="75"/>
        <v/>
      </c>
      <c r="D1007" s="5" t="str">
        <f>IFERROR(IF(F1007&lt;&gt;"",F1007,VLOOKUP(MAX(C$2:C1007),A$2:F1007,2,FALSE)),"")</f>
        <v/>
      </c>
      <c r="E1007" s="5" t="str">
        <f t="shared" si="77"/>
        <v/>
      </c>
      <c r="K1007" t="str">
        <f>IFERROR(IF(VLOOKUP(E:E,'Old Report'!E:J,6,FALSE)="","",VLOOKUP(E:E,'Old Report'!E:J,6,FALSE)),"")</f>
        <v/>
      </c>
      <c r="L1007" t="str">
        <f>IFERROR(IF(VLOOKUP(E:E,'Old Report'!E:L,8,FALSE)="","",VLOOKUP(E:E,'Old Report'!E:L,8,FALSE)),"")</f>
        <v/>
      </c>
      <c r="M1007" s="5" t="str">
        <f t="shared" si="78"/>
        <v/>
      </c>
      <c r="N1007" s="5" t="str">
        <f t="shared" si="79"/>
        <v/>
      </c>
    </row>
    <row r="1008" spans="1:14" x14ac:dyDescent="0.25">
      <c r="A1008" s="5">
        <v>1007</v>
      </c>
      <c r="B1008" s="5">
        <f t="shared" si="76"/>
        <v>0</v>
      </c>
      <c r="C1008" s="5" t="str">
        <f t="shared" si="75"/>
        <v/>
      </c>
      <c r="D1008" s="5" t="str">
        <f>IFERROR(IF(F1008&lt;&gt;"",F1008,VLOOKUP(MAX(C$2:C1008),A$2:F1008,2,FALSE)),"")</f>
        <v/>
      </c>
      <c r="E1008" s="5" t="str">
        <f t="shared" si="77"/>
        <v/>
      </c>
      <c r="K1008" t="str">
        <f>IFERROR(IF(VLOOKUP(E:E,'Old Report'!E:J,6,FALSE)="","",VLOOKUP(E:E,'Old Report'!E:J,6,FALSE)),"")</f>
        <v/>
      </c>
      <c r="L1008" t="str">
        <f>IFERROR(IF(VLOOKUP(E:E,'Old Report'!E:L,8,FALSE)="","",VLOOKUP(E:E,'Old Report'!E:L,8,FALSE)),"")</f>
        <v/>
      </c>
      <c r="M1008" s="5" t="str">
        <f t="shared" si="78"/>
        <v/>
      </c>
      <c r="N1008" s="5" t="str">
        <f t="shared" si="79"/>
        <v/>
      </c>
    </row>
    <row r="1009" spans="1:14" x14ac:dyDescent="0.25">
      <c r="A1009" s="5">
        <v>1008</v>
      </c>
      <c r="B1009" s="5">
        <f t="shared" si="76"/>
        <v>0</v>
      </c>
      <c r="C1009" s="5" t="str">
        <f t="shared" si="75"/>
        <v/>
      </c>
      <c r="D1009" s="5" t="str">
        <f>IFERROR(IF(F1009&lt;&gt;"",F1009,VLOOKUP(MAX(C$2:C1009),A$2:F1009,2,FALSE)),"")</f>
        <v/>
      </c>
      <c r="E1009" s="5" t="str">
        <f t="shared" si="77"/>
        <v/>
      </c>
      <c r="K1009" t="str">
        <f>IFERROR(IF(VLOOKUP(E:E,'Old Report'!E:J,6,FALSE)="","",VLOOKUP(E:E,'Old Report'!E:J,6,FALSE)),"")</f>
        <v/>
      </c>
      <c r="L1009" t="str">
        <f>IFERROR(IF(VLOOKUP(E:E,'Old Report'!E:L,8,FALSE)="","",VLOOKUP(E:E,'Old Report'!E:L,8,FALSE)),"")</f>
        <v/>
      </c>
      <c r="M1009" s="5" t="str">
        <f t="shared" si="78"/>
        <v/>
      </c>
      <c r="N1009" s="5" t="str">
        <f t="shared" si="79"/>
        <v/>
      </c>
    </row>
    <row r="1010" spans="1:14" x14ac:dyDescent="0.25">
      <c r="A1010" s="5">
        <v>1009</v>
      </c>
      <c r="B1010" s="5">
        <f t="shared" si="76"/>
        <v>0</v>
      </c>
      <c r="C1010" s="5" t="str">
        <f t="shared" si="75"/>
        <v/>
      </c>
      <c r="D1010" s="5" t="str">
        <f>IFERROR(IF(F1010&lt;&gt;"",F1010,VLOOKUP(MAX(C$2:C1010),A$2:F1010,2,FALSE)),"")</f>
        <v/>
      </c>
      <c r="E1010" s="5" t="str">
        <f t="shared" si="77"/>
        <v/>
      </c>
      <c r="K1010" t="str">
        <f>IFERROR(IF(VLOOKUP(E:E,'Old Report'!E:J,6,FALSE)="","",VLOOKUP(E:E,'Old Report'!E:J,6,FALSE)),"")</f>
        <v/>
      </c>
      <c r="L1010" t="str">
        <f>IFERROR(IF(VLOOKUP(E:E,'Old Report'!E:L,8,FALSE)="","",VLOOKUP(E:E,'Old Report'!E:L,8,FALSE)),"")</f>
        <v/>
      </c>
      <c r="M1010" s="5" t="str">
        <f t="shared" si="78"/>
        <v/>
      </c>
      <c r="N1010" s="5" t="str">
        <f t="shared" si="79"/>
        <v/>
      </c>
    </row>
    <row r="1011" spans="1:14" x14ac:dyDescent="0.25">
      <c r="A1011" s="5">
        <v>1010</v>
      </c>
      <c r="B1011" s="5">
        <f t="shared" si="76"/>
        <v>0</v>
      </c>
      <c r="C1011" s="5" t="str">
        <f t="shared" si="75"/>
        <v/>
      </c>
      <c r="D1011" s="5" t="str">
        <f>IFERROR(IF(F1011&lt;&gt;"",F1011,VLOOKUP(MAX(C$2:C1011),A$2:F1011,2,FALSE)),"")</f>
        <v/>
      </c>
      <c r="E1011" s="5" t="str">
        <f t="shared" si="77"/>
        <v/>
      </c>
      <c r="K1011" t="str">
        <f>IFERROR(IF(VLOOKUP(E:E,'Old Report'!E:J,6,FALSE)="","",VLOOKUP(E:E,'Old Report'!E:J,6,FALSE)),"")</f>
        <v/>
      </c>
      <c r="L1011" t="str">
        <f>IFERROR(IF(VLOOKUP(E:E,'Old Report'!E:L,8,FALSE)="","",VLOOKUP(E:E,'Old Report'!E:L,8,FALSE)),"")</f>
        <v/>
      </c>
      <c r="M1011" s="5" t="str">
        <f t="shared" si="78"/>
        <v/>
      </c>
      <c r="N1011" s="5" t="str">
        <f t="shared" si="79"/>
        <v/>
      </c>
    </row>
    <row r="1012" spans="1:14" x14ac:dyDescent="0.25">
      <c r="A1012" s="5">
        <v>1011</v>
      </c>
      <c r="B1012" s="5">
        <f t="shared" si="76"/>
        <v>0</v>
      </c>
      <c r="C1012" s="5" t="str">
        <f t="shared" si="75"/>
        <v/>
      </c>
      <c r="D1012" s="5" t="str">
        <f>IFERROR(IF(F1012&lt;&gt;"",F1012,VLOOKUP(MAX(C$2:C1012),A$2:F1012,2,FALSE)),"")</f>
        <v/>
      </c>
      <c r="E1012" s="5" t="str">
        <f t="shared" si="77"/>
        <v/>
      </c>
      <c r="K1012" t="str">
        <f>IFERROR(IF(VLOOKUP(E:E,'Old Report'!E:J,6,FALSE)="","",VLOOKUP(E:E,'Old Report'!E:J,6,FALSE)),"")</f>
        <v/>
      </c>
      <c r="L1012" t="str">
        <f>IFERROR(IF(VLOOKUP(E:E,'Old Report'!E:L,8,FALSE)="","",VLOOKUP(E:E,'Old Report'!E:L,8,FALSE)),"")</f>
        <v/>
      </c>
      <c r="M1012" s="5" t="str">
        <f t="shared" si="78"/>
        <v/>
      </c>
      <c r="N1012" s="5" t="str">
        <f t="shared" si="79"/>
        <v/>
      </c>
    </row>
    <row r="1013" spans="1:14" x14ac:dyDescent="0.25">
      <c r="A1013" s="5">
        <v>1012</v>
      </c>
      <c r="B1013" s="5">
        <f t="shared" si="76"/>
        <v>0</v>
      </c>
      <c r="C1013" s="5" t="str">
        <f t="shared" si="75"/>
        <v/>
      </c>
      <c r="D1013" s="5" t="str">
        <f>IFERROR(IF(F1013&lt;&gt;"",F1013,VLOOKUP(MAX(C$2:C1013),A$2:F1013,2,FALSE)),"")</f>
        <v/>
      </c>
      <c r="E1013" s="5" t="str">
        <f t="shared" si="77"/>
        <v/>
      </c>
      <c r="K1013" t="str">
        <f>IFERROR(IF(VLOOKUP(E:E,'Old Report'!E:J,6,FALSE)="","",VLOOKUP(E:E,'Old Report'!E:J,6,FALSE)),"")</f>
        <v/>
      </c>
      <c r="L1013" t="str">
        <f>IFERROR(IF(VLOOKUP(E:E,'Old Report'!E:L,8,FALSE)="","",VLOOKUP(E:E,'Old Report'!E:L,8,FALSE)),"")</f>
        <v/>
      </c>
      <c r="M1013" s="5" t="str">
        <f t="shared" si="78"/>
        <v/>
      </c>
      <c r="N1013" s="5" t="str">
        <f t="shared" si="79"/>
        <v/>
      </c>
    </row>
    <row r="1014" spans="1:14" x14ac:dyDescent="0.25">
      <c r="A1014" s="5">
        <v>1013</v>
      </c>
      <c r="B1014" s="5">
        <f t="shared" si="76"/>
        <v>0</v>
      </c>
      <c r="C1014" s="5" t="str">
        <f t="shared" si="75"/>
        <v/>
      </c>
      <c r="D1014" s="5" t="str">
        <f>IFERROR(IF(F1014&lt;&gt;"",F1014,VLOOKUP(MAX(C$2:C1014),A$2:F1014,2,FALSE)),"")</f>
        <v/>
      </c>
      <c r="E1014" s="5" t="str">
        <f t="shared" si="77"/>
        <v/>
      </c>
      <c r="K1014" t="str">
        <f>IFERROR(IF(VLOOKUP(E:E,'Old Report'!E:J,6,FALSE)="","",VLOOKUP(E:E,'Old Report'!E:J,6,FALSE)),"")</f>
        <v/>
      </c>
      <c r="L1014" t="str">
        <f>IFERROR(IF(VLOOKUP(E:E,'Old Report'!E:L,8,FALSE)="","",VLOOKUP(E:E,'Old Report'!E:L,8,FALSE)),"")</f>
        <v/>
      </c>
      <c r="M1014" s="5" t="str">
        <f t="shared" si="78"/>
        <v/>
      </c>
      <c r="N1014" s="5" t="str">
        <f t="shared" si="79"/>
        <v/>
      </c>
    </row>
    <row r="1015" spans="1:14" x14ac:dyDescent="0.25">
      <c r="A1015" s="5">
        <v>1014</v>
      </c>
      <c r="B1015" s="5">
        <f t="shared" si="76"/>
        <v>0</v>
      </c>
      <c r="C1015" s="5" t="str">
        <f t="shared" si="75"/>
        <v/>
      </c>
      <c r="D1015" s="5" t="str">
        <f>IFERROR(IF(F1015&lt;&gt;"",F1015,VLOOKUP(MAX(C$2:C1015),A$2:F1015,2,FALSE)),"")</f>
        <v/>
      </c>
      <c r="E1015" s="5" t="str">
        <f t="shared" si="77"/>
        <v/>
      </c>
      <c r="K1015" t="str">
        <f>IFERROR(IF(VLOOKUP(E:E,'Old Report'!E:J,6,FALSE)="","",VLOOKUP(E:E,'Old Report'!E:J,6,FALSE)),"")</f>
        <v/>
      </c>
      <c r="L1015" t="str">
        <f>IFERROR(IF(VLOOKUP(E:E,'Old Report'!E:L,8,FALSE)="","",VLOOKUP(E:E,'Old Report'!E:L,8,FALSE)),"")</f>
        <v/>
      </c>
      <c r="M1015" s="5" t="str">
        <f t="shared" si="78"/>
        <v/>
      </c>
      <c r="N1015" s="5" t="str">
        <f t="shared" si="79"/>
        <v/>
      </c>
    </row>
    <row r="1016" spans="1:14" x14ac:dyDescent="0.25">
      <c r="A1016" s="5">
        <v>1015</v>
      </c>
      <c r="B1016" s="5">
        <f t="shared" si="76"/>
        <v>0</v>
      </c>
      <c r="C1016" s="5" t="str">
        <f t="shared" si="75"/>
        <v/>
      </c>
      <c r="D1016" s="5" t="str">
        <f>IFERROR(IF(F1016&lt;&gt;"",F1016,VLOOKUP(MAX(C$2:C1016),A$2:F1016,2,FALSE)),"")</f>
        <v/>
      </c>
      <c r="E1016" s="5" t="str">
        <f t="shared" si="77"/>
        <v/>
      </c>
      <c r="K1016" t="str">
        <f>IFERROR(IF(VLOOKUP(E:E,'Old Report'!E:J,6,FALSE)="","",VLOOKUP(E:E,'Old Report'!E:J,6,FALSE)),"")</f>
        <v/>
      </c>
      <c r="L1016" t="str">
        <f>IFERROR(IF(VLOOKUP(E:E,'Old Report'!E:L,8,FALSE)="","",VLOOKUP(E:E,'Old Report'!E:L,8,FALSE)),"")</f>
        <v/>
      </c>
      <c r="M1016" s="5" t="str">
        <f t="shared" si="78"/>
        <v/>
      </c>
      <c r="N1016" s="5" t="str">
        <f t="shared" si="79"/>
        <v/>
      </c>
    </row>
    <row r="1017" spans="1:14" x14ac:dyDescent="0.25">
      <c r="A1017" s="5">
        <v>1016</v>
      </c>
      <c r="B1017" s="5">
        <f t="shared" si="76"/>
        <v>0</v>
      </c>
      <c r="C1017" s="5" t="str">
        <f t="shared" si="75"/>
        <v/>
      </c>
      <c r="D1017" s="5" t="str">
        <f>IFERROR(IF(F1017&lt;&gt;"",F1017,VLOOKUP(MAX(C$2:C1017),A$2:F1017,2,FALSE)),"")</f>
        <v/>
      </c>
      <c r="E1017" s="5" t="str">
        <f t="shared" si="77"/>
        <v/>
      </c>
      <c r="K1017" t="str">
        <f>IFERROR(IF(VLOOKUP(E:E,'Old Report'!E:J,6,FALSE)="","",VLOOKUP(E:E,'Old Report'!E:J,6,FALSE)),"")</f>
        <v/>
      </c>
      <c r="L1017" t="str">
        <f>IFERROR(IF(VLOOKUP(E:E,'Old Report'!E:L,8,FALSE)="","",VLOOKUP(E:E,'Old Report'!E:L,8,FALSE)),"")</f>
        <v/>
      </c>
      <c r="M1017" s="5" t="str">
        <f t="shared" si="78"/>
        <v/>
      </c>
      <c r="N1017" s="5" t="str">
        <f t="shared" si="79"/>
        <v/>
      </c>
    </row>
    <row r="1018" spans="1:14" x14ac:dyDescent="0.25">
      <c r="A1018" s="5">
        <v>1017</v>
      </c>
      <c r="B1018" s="5">
        <f t="shared" si="76"/>
        <v>0</v>
      </c>
      <c r="C1018" s="5" t="str">
        <f t="shared" si="75"/>
        <v/>
      </c>
      <c r="D1018" s="5" t="str">
        <f>IFERROR(IF(F1018&lt;&gt;"",F1018,VLOOKUP(MAX(C$2:C1018),A$2:F1018,2,FALSE)),"")</f>
        <v/>
      </c>
      <c r="E1018" s="5" t="str">
        <f t="shared" si="77"/>
        <v/>
      </c>
      <c r="K1018" t="str">
        <f>IFERROR(IF(VLOOKUP(E:E,'Old Report'!E:J,6,FALSE)="","",VLOOKUP(E:E,'Old Report'!E:J,6,FALSE)),"")</f>
        <v/>
      </c>
      <c r="L1018" t="str">
        <f>IFERROR(IF(VLOOKUP(E:E,'Old Report'!E:L,8,FALSE)="","",VLOOKUP(E:E,'Old Report'!E:L,8,FALSE)),"")</f>
        <v/>
      </c>
      <c r="M1018" s="5" t="str">
        <f t="shared" si="78"/>
        <v/>
      </c>
      <c r="N1018" s="5" t="str">
        <f t="shared" si="79"/>
        <v/>
      </c>
    </row>
    <row r="1019" spans="1:14" x14ac:dyDescent="0.25">
      <c r="A1019" s="5">
        <v>1018</v>
      </c>
      <c r="B1019" s="5">
        <f t="shared" si="76"/>
        <v>0</v>
      </c>
      <c r="C1019" s="5" t="str">
        <f t="shared" si="75"/>
        <v/>
      </c>
      <c r="D1019" s="5" t="str">
        <f>IFERROR(IF(F1019&lt;&gt;"",F1019,VLOOKUP(MAX(C$2:C1019),A$2:F1019,2,FALSE)),"")</f>
        <v/>
      </c>
      <c r="E1019" s="5" t="str">
        <f t="shared" si="77"/>
        <v/>
      </c>
      <c r="K1019" t="str">
        <f>IFERROR(IF(VLOOKUP(E:E,'Old Report'!E:J,6,FALSE)="","",VLOOKUP(E:E,'Old Report'!E:J,6,FALSE)),"")</f>
        <v/>
      </c>
      <c r="L1019" t="str">
        <f>IFERROR(IF(VLOOKUP(E:E,'Old Report'!E:L,8,FALSE)="","",VLOOKUP(E:E,'Old Report'!E:L,8,FALSE)),"")</f>
        <v/>
      </c>
      <c r="M1019" s="5" t="str">
        <f t="shared" si="78"/>
        <v/>
      </c>
      <c r="N1019" s="5" t="str">
        <f t="shared" si="79"/>
        <v/>
      </c>
    </row>
    <row r="1020" spans="1:14" x14ac:dyDescent="0.25">
      <c r="A1020" s="5">
        <v>1019</v>
      </c>
      <c r="B1020" s="5">
        <f t="shared" si="76"/>
        <v>0</v>
      </c>
      <c r="C1020" s="5" t="str">
        <f t="shared" si="75"/>
        <v/>
      </c>
      <c r="D1020" s="5" t="str">
        <f>IFERROR(IF(F1020&lt;&gt;"",F1020,VLOOKUP(MAX(C$2:C1020),A$2:F1020,2,FALSE)),"")</f>
        <v/>
      </c>
      <c r="E1020" s="5" t="str">
        <f t="shared" si="77"/>
        <v/>
      </c>
      <c r="K1020" t="str">
        <f>IFERROR(IF(VLOOKUP(E:E,'Old Report'!E:J,6,FALSE)="","",VLOOKUP(E:E,'Old Report'!E:J,6,FALSE)),"")</f>
        <v/>
      </c>
      <c r="L1020" t="str">
        <f>IFERROR(IF(VLOOKUP(E:E,'Old Report'!E:L,8,FALSE)="","",VLOOKUP(E:E,'Old Report'!E:L,8,FALSE)),"")</f>
        <v/>
      </c>
      <c r="M1020" s="5" t="str">
        <f t="shared" si="78"/>
        <v/>
      </c>
      <c r="N1020" s="5" t="str">
        <f t="shared" si="79"/>
        <v/>
      </c>
    </row>
    <row r="1021" spans="1:14" x14ac:dyDescent="0.25">
      <c r="A1021" s="5">
        <v>1020</v>
      </c>
      <c r="B1021" s="5">
        <f t="shared" si="76"/>
        <v>0</v>
      </c>
      <c r="C1021" s="5" t="str">
        <f t="shared" si="75"/>
        <v/>
      </c>
      <c r="D1021" s="5" t="str">
        <f>IFERROR(IF(F1021&lt;&gt;"",F1021,VLOOKUP(MAX(C$2:C1021),A$2:F1021,2,FALSE)),"")</f>
        <v/>
      </c>
      <c r="E1021" s="5" t="str">
        <f t="shared" si="77"/>
        <v/>
      </c>
      <c r="K1021" t="str">
        <f>IFERROR(IF(VLOOKUP(E:E,'Old Report'!E:J,6,FALSE)="","",VLOOKUP(E:E,'Old Report'!E:J,6,FALSE)),"")</f>
        <v/>
      </c>
      <c r="L1021" t="str">
        <f>IFERROR(IF(VLOOKUP(E:E,'Old Report'!E:L,8,FALSE)="","",VLOOKUP(E:E,'Old Report'!E:L,8,FALSE)),"")</f>
        <v/>
      </c>
      <c r="M1021" s="5" t="str">
        <f t="shared" si="78"/>
        <v/>
      </c>
      <c r="N1021" s="5" t="str">
        <f t="shared" si="79"/>
        <v/>
      </c>
    </row>
    <row r="1022" spans="1:14" x14ac:dyDescent="0.25">
      <c r="A1022" s="5">
        <v>1021</v>
      </c>
      <c r="B1022" s="5">
        <f t="shared" si="76"/>
        <v>0</v>
      </c>
      <c r="C1022" s="5" t="str">
        <f t="shared" si="75"/>
        <v/>
      </c>
      <c r="D1022" s="5" t="str">
        <f>IFERROR(IF(F1022&lt;&gt;"",F1022,VLOOKUP(MAX(C$2:C1022),A$2:F1022,2,FALSE)),"")</f>
        <v/>
      </c>
      <c r="E1022" s="5" t="str">
        <f t="shared" si="77"/>
        <v/>
      </c>
      <c r="K1022" t="str">
        <f>IFERROR(IF(VLOOKUP(E:E,'Old Report'!E:J,6,FALSE)="","",VLOOKUP(E:E,'Old Report'!E:J,6,FALSE)),"")</f>
        <v/>
      </c>
      <c r="L1022" t="str">
        <f>IFERROR(IF(VLOOKUP(E:E,'Old Report'!E:L,8,FALSE)="","",VLOOKUP(E:E,'Old Report'!E:L,8,FALSE)),"")</f>
        <v/>
      </c>
      <c r="M1022" s="5" t="str">
        <f t="shared" si="78"/>
        <v/>
      </c>
      <c r="N1022" s="5" t="str">
        <f t="shared" si="79"/>
        <v/>
      </c>
    </row>
    <row r="1023" spans="1:14" x14ac:dyDescent="0.25">
      <c r="A1023" s="5">
        <v>1022</v>
      </c>
      <c r="B1023" s="5">
        <f t="shared" si="76"/>
        <v>0</v>
      </c>
      <c r="C1023" s="5" t="str">
        <f t="shared" si="75"/>
        <v/>
      </c>
      <c r="D1023" s="5" t="str">
        <f>IFERROR(IF(F1023&lt;&gt;"",F1023,VLOOKUP(MAX(C$2:C1023),A$2:F1023,2,FALSE)),"")</f>
        <v/>
      </c>
      <c r="E1023" s="5" t="str">
        <f t="shared" si="77"/>
        <v/>
      </c>
      <c r="K1023" t="str">
        <f>IFERROR(IF(VLOOKUP(E:E,'Old Report'!E:J,6,FALSE)="","",VLOOKUP(E:E,'Old Report'!E:J,6,FALSE)),"")</f>
        <v/>
      </c>
      <c r="L1023" t="str">
        <f>IFERROR(IF(VLOOKUP(E:E,'Old Report'!E:L,8,FALSE)="","",VLOOKUP(E:E,'Old Report'!E:L,8,FALSE)),"")</f>
        <v/>
      </c>
      <c r="M1023" s="5" t="str">
        <f t="shared" si="78"/>
        <v/>
      </c>
      <c r="N1023" s="5" t="str">
        <f t="shared" si="79"/>
        <v/>
      </c>
    </row>
    <row r="1024" spans="1:14" x14ac:dyDescent="0.25">
      <c r="A1024" s="5">
        <v>1023</v>
      </c>
      <c r="B1024" s="5">
        <f t="shared" si="76"/>
        <v>0</v>
      </c>
      <c r="C1024" s="5" t="str">
        <f t="shared" si="75"/>
        <v/>
      </c>
      <c r="D1024" s="5" t="str">
        <f>IFERROR(IF(F1024&lt;&gt;"",F1024,VLOOKUP(MAX(C$2:C1024),A$2:F1024,2,FALSE)),"")</f>
        <v/>
      </c>
      <c r="E1024" s="5" t="str">
        <f t="shared" si="77"/>
        <v/>
      </c>
      <c r="K1024" t="str">
        <f>IFERROR(IF(VLOOKUP(E:E,'Old Report'!E:J,6,FALSE)="","",VLOOKUP(E:E,'Old Report'!E:J,6,FALSE)),"")</f>
        <v/>
      </c>
      <c r="L1024" t="str">
        <f>IFERROR(IF(VLOOKUP(E:E,'Old Report'!E:L,8,FALSE)="","",VLOOKUP(E:E,'Old Report'!E:L,8,FALSE)),"")</f>
        <v/>
      </c>
      <c r="M1024" s="5" t="str">
        <f t="shared" si="78"/>
        <v/>
      </c>
      <c r="N1024" s="5" t="str">
        <f t="shared" si="79"/>
        <v/>
      </c>
    </row>
    <row r="1025" spans="1:14" x14ac:dyDescent="0.25">
      <c r="A1025" s="5">
        <v>1024</v>
      </c>
      <c r="B1025" s="5">
        <f t="shared" si="76"/>
        <v>0</v>
      </c>
      <c r="C1025" s="5" t="str">
        <f t="shared" si="75"/>
        <v/>
      </c>
      <c r="D1025" s="5" t="str">
        <f>IFERROR(IF(F1025&lt;&gt;"",F1025,VLOOKUP(MAX(C$2:C1025),A$2:F1025,2,FALSE)),"")</f>
        <v/>
      </c>
      <c r="E1025" s="5" t="str">
        <f t="shared" si="77"/>
        <v/>
      </c>
      <c r="K1025" t="str">
        <f>IFERROR(IF(VLOOKUP(E:E,'Old Report'!E:J,6,FALSE)="","",VLOOKUP(E:E,'Old Report'!E:J,6,FALSE)),"")</f>
        <v/>
      </c>
      <c r="L1025" t="str">
        <f>IFERROR(IF(VLOOKUP(E:E,'Old Report'!E:L,8,FALSE)="","",VLOOKUP(E:E,'Old Report'!E:L,8,FALSE)),"")</f>
        <v/>
      </c>
      <c r="M1025" s="5" t="str">
        <f t="shared" si="78"/>
        <v/>
      </c>
      <c r="N1025" s="5" t="str">
        <f t="shared" si="79"/>
        <v/>
      </c>
    </row>
    <row r="1026" spans="1:14" x14ac:dyDescent="0.25">
      <c r="A1026" s="5">
        <v>1025</v>
      </c>
      <c r="B1026" s="5">
        <f t="shared" si="76"/>
        <v>0</v>
      </c>
      <c r="C1026" s="5" t="str">
        <f t="shared" ref="C1026:C1089" si="80">IF(F1026&lt;&gt;"",A1026,"")</f>
        <v/>
      </c>
      <c r="D1026" s="5" t="str">
        <f>IFERROR(IF(F1026&lt;&gt;"",F1026,VLOOKUP(MAX(C$2:C1026),A$2:F1026,2,FALSE)),"")</f>
        <v/>
      </c>
      <c r="E1026" s="5" t="str">
        <f t="shared" si="77"/>
        <v/>
      </c>
      <c r="K1026" t="str">
        <f>IFERROR(IF(VLOOKUP(E:E,'Old Report'!E:J,6,FALSE)="","",VLOOKUP(E:E,'Old Report'!E:J,6,FALSE)),"")</f>
        <v/>
      </c>
      <c r="L1026" t="str">
        <f>IFERROR(IF(VLOOKUP(E:E,'Old Report'!E:L,8,FALSE)="","",VLOOKUP(E:E,'Old Report'!E:L,8,FALSE)),"")</f>
        <v/>
      </c>
      <c r="M1026" s="5" t="str">
        <f t="shared" si="78"/>
        <v/>
      </c>
      <c r="N1026" s="5" t="str">
        <f t="shared" si="79"/>
        <v/>
      </c>
    </row>
    <row r="1027" spans="1:14" x14ac:dyDescent="0.25">
      <c r="A1027" s="5">
        <v>1026</v>
      </c>
      <c r="B1027" s="5">
        <f t="shared" ref="B1027:B1090" si="81">IF(F1028&lt;&gt;"",F1028,F1027)</f>
        <v>0</v>
      </c>
      <c r="C1027" s="5" t="str">
        <f t="shared" si="80"/>
        <v/>
      </c>
      <c r="D1027" s="5" t="str">
        <f>IFERROR(IF(F1027&lt;&gt;"",F1027,VLOOKUP(MAX(C$2:C1027),A$2:F1027,2,FALSE)),"")</f>
        <v/>
      </c>
      <c r="E1027" s="5" t="str">
        <f t="shared" ref="E1027:E1090" si="82">IF(H1027&lt;&gt;"",CONCATENATE(D1027,".",H1027),"")</f>
        <v/>
      </c>
      <c r="K1027" t="str">
        <f>IFERROR(IF(VLOOKUP(E:E,'Old Report'!E:J,6,FALSE)="","",VLOOKUP(E:E,'Old Report'!E:J,6,FALSE)),"")</f>
        <v/>
      </c>
      <c r="L1027" t="str">
        <f>IFERROR(IF(VLOOKUP(E:E,'Old Report'!E:L,8,FALSE)="","",VLOOKUP(E:E,'Old Report'!E:L,8,FALSE)),"")</f>
        <v/>
      </c>
      <c r="M1027" s="5" t="str">
        <f t="shared" si="78"/>
        <v/>
      </c>
      <c r="N1027" s="5" t="str">
        <f t="shared" si="79"/>
        <v/>
      </c>
    </row>
    <row r="1028" spans="1:14" x14ac:dyDescent="0.25">
      <c r="A1028" s="5">
        <v>1027</v>
      </c>
      <c r="B1028" s="5">
        <f t="shared" si="81"/>
        <v>0</v>
      </c>
      <c r="C1028" s="5" t="str">
        <f t="shared" si="80"/>
        <v/>
      </c>
      <c r="D1028" s="5" t="str">
        <f>IFERROR(IF(F1028&lt;&gt;"",F1028,VLOOKUP(MAX(C$2:C1028),A$2:F1028,2,FALSE)),"")</f>
        <v/>
      </c>
      <c r="E1028" s="5" t="str">
        <f t="shared" si="82"/>
        <v/>
      </c>
      <c r="K1028" t="str">
        <f>IFERROR(IF(VLOOKUP(E:E,'Old Report'!E:J,6,FALSE)="","",VLOOKUP(E:E,'Old Report'!E:J,6,FALSE)),"")</f>
        <v/>
      </c>
      <c r="L1028" t="str">
        <f>IFERROR(IF(VLOOKUP(E:E,'Old Report'!E:L,8,FALSE)="","",VLOOKUP(E:E,'Old Report'!E:L,8,FALSE)),"")</f>
        <v/>
      </c>
      <c r="M1028" s="5" t="str">
        <f t="shared" ref="M1028:M1091" si="83">IFERROR(L1028,"")</f>
        <v/>
      </c>
      <c r="N1028" s="5" t="str">
        <f t="shared" ref="N1028:N1091" si="84">IFERROR( IF(J1028&lt;&gt;"",IF(K1028 &lt;&gt; "",IF(J1028 = K1028,"No Change",IF(J1028 &lt; K1028,CONCATENATE("Issues reduced from ",K1028," to ",J1028),IF(J1028&gt;K1028,CONCATENATE("Issues increased from ",K1028," to ",J1028),""))),"New issue - needs to be checked"),""),"")</f>
        <v/>
      </c>
    </row>
    <row r="1029" spans="1:14" x14ac:dyDescent="0.25">
      <c r="A1029" s="5">
        <v>1028</v>
      </c>
      <c r="B1029" s="5">
        <f t="shared" si="81"/>
        <v>0</v>
      </c>
      <c r="C1029" s="5" t="str">
        <f t="shared" si="80"/>
        <v/>
      </c>
      <c r="D1029" s="5" t="str">
        <f>IFERROR(IF(F1029&lt;&gt;"",F1029,VLOOKUP(MAX(C$2:C1029),A$2:F1029,2,FALSE)),"")</f>
        <v/>
      </c>
      <c r="E1029" s="5" t="str">
        <f t="shared" si="82"/>
        <v/>
      </c>
      <c r="K1029" t="str">
        <f>IFERROR(IF(VLOOKUP(E:E,'Old Report'!E:J,6,FALSE)="","",VLOOKUP(E:E,'Old Report'!E:J,6,FALSE)),"")</f>
        <v/>
      </c>
      <c r="L1029" t="str">
        <f>IFERROR(IF(VLOOKUP(E:E,'Old Report'!E:L,8,FALSE)="","",VLOOKUP(E:E,'Old Report'!E:L,8,FALSE)),"")</f>
        <v/>
      </c>
      <c r="M1029" s="5" t="str">
        <f t="shared" si="83"/>
        <v/>
      </c>
      <c r="N1029" s="5" t="str">
        <f t="shared" si="84"/>
        <v/>
      </c>
    </row>
    <row r="1030" spans="1:14" x14ac:dyDescent="0.25">
      <c r="A1030" s="5">
        <v>1029</v>
      </c>
      <c r="B1030" s="5">
        <f t="shared" si="81"/>
        <v>0</v>
      </c>
      <c r="C1030" s="5" t="str">
        <f t="shared" si="80"/>
        <v/>
      </c>
      <c r="D1030" s="5" t="str">
        <f>IFERROR(IF(F1030&lt;&gt;"",F1030,VLOOKUP(MAX(C$2:C1030),A$2:F1030,2,FALSE)),"")</f>
        <v/>
      </c>
      <c r="E1030" s="5" t="str">
        <f t="shared" si="82"/>
        <v/>
      </c>
      <c r="K1030" t="str">
        <f>IFERROR(IF(VLOOKUP(E:E,'Old Report'!E:J,6,FALSE)="","",VLOOKUP(E:E,'Old Report'!E:J,6,FALSE)),"")</f>
        <v/>
      </c>
      <c r="L1030" t="str">
        <f>IFERROR(IF(VLOOKUP(E:E,'Old Report'!E:L,8,FALSE)="","",VLOOKUP(E:E,'Old Report'!E:L,8,FALSE)),"")</f>
        <v/>
      </c>
      <c r="M1030" s="5" t="str">
        <f t="shared" si="83"/>
        <v/>
      </c>
      <c r="N1030" s="5" t="str">
        <f t="shared" si="84"/>
        <v/>
      </c>
    </row>
    <row r="1031" spans="1:14" x14ac:dyDescent="0.25">
      <c r="A1031" s="5">
        <v>1030</v>
      </c>
      <c r="B1031" s="5">
        <f t="shared" si="81"/>
        <v>0</v>
      </c>
      <c r="C1031" s="5" t="str">
        <f t="shared" si="80"/>
        <v/>
      </c>
      <c r="D1031" s="5" t="str">
        <f>IFERROR(IF(F1031&lt;&gt;"",F1031,VLOOKUP(MAX(C$2:C1031),A$2:F1031,2,FALSE)),"")</f>
        <v/>
      </c>
      <c r="E1031" s="5" t="str">
        <f t="shared" si="82"/>
        <v/>
      </c>
      <c r="K1031" t="str">
        <f>IFERROR(IF(VLOOKUP(E:E,'Old Report'!E:J,6,FALSE)="","",VLOOKUP(E:E,'Old Report'!E:J,6,FALSE)),"")</f>
        <v/>
      </c>
      <c r="L1031" t="str">
        <f>IFERROR(IF(VLOOKUP(E:E,'Old Report'!E:L,8,FALSE)="","",VLOOKUP(E:E,'Old Report'!E:L,8,FALSE)),"")</f>
        <v/>
      </c>
      <c r="M1031" s="5" t="str">
        <f t="shared" si="83"/>
        <v/>
      </c>
      <c r="N1031" s="5" t="str">
        <f t="shared" si="84"/>
        <v/>
      </c>
    </row>
    <row r="1032" spans="1:14" x14ac:dyDescent="0.25">
      <c r="A1032" s="5">
        <v>1031</v>
      </c>
      <c r="B1032" s="5">
        <f t="shared" si="81"/>
        <v>0</v>
      </c>
      <c r="C1032" s="5" t="str">
        <f t="shared" si="80"/>
        <v/>
      </c>
      <c r="D1032" s="5" t="str">
        <f>IFERROR(IF(F1032&lt;&gt;"",F1032,VLOOKUP(MAX(C$2:C1032),A$2:F1032,2,FALSE)),"")</f>
        <v/>
      </c>
      <c r="E1032" s="5" t="str">
        <f t="shared" si="82"/>
        <v/>
      </c>
      <c r="K1032" t="str">
        <f>IFERROR(IF(VLOOKUP(E:E,'Old Report'!E:J,6,FALSE)="","",VLOOKUP(E:E,'Old Report'!E:J,6,FALSE)),"")</f>
        <v/>
      </c>
      <c r="L1032" t="str">
        <f>IFERROR(IF(VLOOKUP(E:E,'Old Report'!E:L,8,FALSE)="","",VLOOKUP(E:E,'Old Report'!E:L,8,FALSE)),"")</f>
        <v/>
      </c>
      <c r="M1032" s="5" t="str">
        <f t="shared" si="83"/>
        <v/>
      </c>
      <c r="N1032" s="5" t="str">
        <f t="shared" si="84"/>
        <v/>
      </c>
    </row>
    <row r="1033" spans="1:14" x14ac:dyDescent="0.25">
      <c r="A1033" s="5">
        <v>1032</v>
      </c>
      <c r="B1033" s="5">
        <f t="shared" si="81"/>
        <v>0</v>
      </c>
      <c r="C1033" s="5" t="str">
        <f t="shared" si="80"/>
        <v/>
      </c>
      <c r="D1033" s="5" t="str">
        <f>IFERROR(IF(F1033&lt;&gt;"",F1033,VLOOKUP(MAX(C$2:C1033),A$2:F1033,2,FALSE)),"")</f>
        <v/>
      </c>
      <c r="E1033" s="5" t="str">
        <f t="shared" si="82"/>
        <v/>
      </c>
      <c r="K1033" t="str">
        <f>IFERROR(IF(VLOOKUP(E:E,'Old Report'!E:J,6,FALSE)="","",VLOOKUP(E:E,'Old Report'!E:J,6,FALSE)),"")</f>
        <v/>
      </c>
      <c r="L1033" t="str">
        <f>IFERROR(IF(VLOOKUP(E:E,'Old Report'!E:L,8,FALSE)="","",VLOOKUP(E:E,'Old Report'!E:L,8,FALSE)),"")</f>
        <v/>
      </c>
      <c r="M1033" s="5" t="str">
        <f t="shared" si="83"/>
        <v/>
      </c>
      <c r="N1033" s="5" t="str">
        <f t="shared" si="84"/>
        <v/>
      </c>
    </row>
    <row r="1034" spans="1:14" x14ac:dyDescent="0.25">
      <c r="A1034" s="5">
        <v>1033</v>
      </c>
      <c r="B1034" s="5">
        <f t="shared" si="81"/>
        <v>0</v>
      </c>
      <c r="C1034" s="5" t="str">
        <f t="shared" si="80"/>
        <v/>
      </c>
      <c r="D1034" s="5" t="str">
        <f>IFERROR(IF(F1034&lt;&gt;"",F1034,VLOOKUP(MAX(C$2:C1034),A$2:F1034,2,FALSE)),"")</f>
        <v/>
      </c>
      <c r="E1034" s="5" t="str">
        <f t="shared" si="82"/>
        <v/>
      </c>
      <c r="K1034" t="str">
        <f>IFERROR(IF(VLOOKUP(E:E,'Old Report'!E:J,6,FALSE)="","",VLOOKUP(E:E,'Old Report'!E:J,6,FALSE)),"")</f>
        <v/>
      </c>
      <c r="L1034" t="str">
        <f>IFERROR(IF(VLOOKUP(E:E,'Old Report'!E:L,8,FALSE)="","",VLOOKUP(E:E,'Old Report'!E:L,8,FALSE)),"")</f>
        <v/>
      </c>
      <c r="M1034" s="5" t="str">
        <f t="shared" si="83"/>
        <v/>
      </c>
      <c r="N1034" s="5" t="str">
        <f t="shared" si="84"/>
        <v/>
      </c>
    </row>
    <row r="1035" spans="1:14" x14ac:dyDescent="0.25">
      <c r="A1035" s="5">
        <v>1034</v>
      </c>
      <c r="B1035" s="5">
        <f t="shared" si="81"/>
        <v>0</v>
      </c>
      <c r="C1035" s="5" t="str">
        <f t="shared" si="80"/>
        <v/>
      </c>
      <c r="D1035" s="5" t="str">
        <f>IFERROR(IF(F1035&lt;&gt;"",F1035,VLOOKUP(MAX(C$2:C1035),A$2:F1035,2,FALSE)),"")</f>
        <v/>
      </c>
      <c r="E1035" s="5" t="str">
        <f t="shared" si="82"/>
        <v/>
      </c>
      <c r="K1035" t="str">
        <f>IFERROR(IF(VLOOKUP(E:E,'Old Report'!E:J,6,FALSE)="","",VLOOKUP(E:E,'Old Report'!E:J,6,FALSE)),"")</f>
        <v/>
      </c>
      <c r="L1035" t="str">
        <f>IFERROR(IF(VLOOKUP(E:E,'Old Report'!E:L,8,FALSE)="","",VLOOKUP(E:E,'Old Report'!E:L,8,FALSE)),"")</f>
        <v/>
      </c>
      <c r="M1035" s="5" t="str">
        <f t="shared" si="83"/>
        <v/>
      </c>
      <c r="N1035" s="5" t="str">
        <f t="shared" si="84"/>
        <v/>
      </c>
    </row>
    <row r="1036" spans="1:14" x14ac:dyDescent="0.25">
      <c r="A1036" s="5">
        <v>1035</v>
      </c>
      <c r="B1036" s="5">
        <f t="shared" si="81"/>
        <v>0</v>
      </c>
      <c r="C1036" s="5" t="str">
        <f t="shared" si="80"/>
        <v/>
      </c>
      <c r="D1036" s="5" t="str">
        <f>IFERROR(IF(F1036&lt;&gt;"",F1036,VLOOKUP(MAX(C$2:C1036),A$2:F1036,2,FALSE)),"")</f>
        <v/>
      </c>
      <c r="E1036" s="5" t="str">
        <f t="shared" si="82"/>
        <v/>
      </c>
      <c r="K1036" t="str">
        <f>IFERROR(IF(VLOOKUP(E:E,'Old Report'!E:J,6,FALSE)="","",VLOOKUP(E:E,'Old Report'!E:J,6,FALSE)),"")</f>
        <v/>
      </c>
      <c r="L1036" t="str">
        <f>IFERROR(IF(VLOOKUP(E:E,'Old Report'!E:L,8,FALSE)="","",VLOOKUP(E:E,'Old Report'!E:L,8,FALSE)),"")</f>
        <v/>
      </c>
      <c r="M1036" s="5" t="str">
        <f t="shared" si="83"/>
        <v/>
      </c>
      <c r="N1036" s="5" t="str">
        <f t="shared" si="84"/>
        <v/>
      </c>
    </row>
    <row r="1037" spans="1:14" x14ac:dyDescent="0.25">
      <c r="A1037" s="5">
        <v>1036</v>
      </c>
      <c r="B1037" s="5">
        <f t="shared" si="81"/>
        <v>0</v>
      </c>
      <c r="C1037" s="5" t="str">
        <f t="shared" si="80"/>
        <v/>
      </c>
      <c r="D1037" s="5" t="str">
        <f>IFERROR(IF(F1037&lt;&gt;"",F1037,VLOOKUP(MAX(C$2:C1037),A$2:F1037,2,FALSE)),"")</f>
        <v/>
      </c>
      <c r="E1037" s="5" t="str">
        <f t="shared" si="82"/>
        <v/>
      </c>
      <c r="K1037" t="str">
        <f>IFERROR(IF(VLOOKUP(E:E,'Old Report'!E:J,6,FALSE)="","",VLOOKUP(E:E,'Old Report'!E:J,6,FALSE)),"")</f>
        <v/>
      </c>
      <c r="L1037" t="str">
        <f>IFERROR(IF(VLOOKUP(E:E,'Old Report'!E:L,8,FALSE)="","",VLOOKUP(E:E,'Old Report'!E:L,8,FALSE)),"")</f>
        <v/>
      </c>
      <c r="M1037" s="5" t="str">
        <f t="shared" si="83"/>
        <v/>
      </c>
      <c r="N1037" s="5" t="str">
        <f t="shared" si="84"/>
        <v/>
      </c>
    </row>
    <row r="1038" spans="1:14" x14ac:dyDescent="0.25">
      <c r="A1038" s="5">
        <v>1037</v>
      </c>
      <c r="B1038" s="5">
        <f t="shared" si="81"/>
        <v>0</v>
      </c>
      <c r="C1038" s="5" t="str">
        <f t="shared" si="80"/>
        <v/>
      </c>
      <c r="D1038" s="5" t="str">
        <f>IFERROR(IF(F1038&lt;&gt;"",F1038,VLOOKUP(MAX(C$2:C1038),A$2:F1038,2,FALSE)),"")</f>
        <v/>
      </c>
      <c r="E1038" s="5" t="str">
        <f t="shared" si="82"/>
        <v/>
      </c>
      <c r="K1038" t="str">
        <f>IFERROR(IF(VLOOKUP(E:E,'Old Report'!E:J,6,FALSE)="","",VLOOKUP(E:E,'Old Report'!E:J,6,FALSE)),"")</f>
        <v/>
      </c>
      <c r="L1038" t="str">
        <f>IFERROR(IF(VLOOKUP(E:E,'Old Report'!E:L,8,FALSE)="","",VLOOKUP(E:E,'Old Report'!E:L,8,FALSE)),"")</f>
        <v/>
      </c>
      <c r="M1038" s="5" t="str">
        <f t="shared" si="83"/>
        <v/>
      </c>
      <c r="N1038" s="5" t="str">
        <f t="shared" si="84"/>
        <v/>
      </c>
    </row>
    <row r="1039" spans="1:14" x14ac:dyDescent="0.25">
      <c r="A1039" s="5">
        <v>1038</v>
      </c>
      <c r="B1039" s="5">
        <f t="shared" si="81"/>
        <v>0</v>
      </c>
      <c r="C1039" s="5" t="str">
        <f t="shared" si="80"/>
        <v/>
      </c>
      <c r="D1039" s="5" t="str">
        <f>IFERROR(IF(F1039&lt;&gt;"",F1039,VLOOKUP(MAX(C$2:C1039),A$2:F1039,2,FALSE)),"")</f>
        <v/>
      </c>
      <c r="E1039" s="5" t="str">
        <f t="shared" si="82"/>
        <v/>
      </c>
      <c r="K1039" t="str">
        <f>IFERROR(IF(VLOOKUP(E:E,'Old Report'!E:J,6,FALSE)="","",VLOOKUP(E:E,'Old Report'!E:J,6,FALSE)),"")</f>
        <v/>
      </c>
      <c r="L1039" t="str">
        <f>IFERROR(IF(VLOOKUP(E:E,'Old Report'!E:L,8,FALSE)="","",VLOOKUP(E:E,'Old Report'!E:L,8,FALSE)),"")</f>
        <v/>
      </c>
      <c r="M1039" s="5" t="str">
        <f t="shared" si="83"/>
        <v/>
      </c>
      <c r="N1039" s="5" t="str">
        <f t="shared" si="84"/>
        <v/>
      </c>
    </row>
    <row r="1040" spans="1:14" x14ac:dyDescent="0.25">
      <c r="A1040" s="5">
        <v>1039</v>
      </c>
      <c r="B1040" s="5">
        <f t="shared" si="81"/>
        <v>0</v>
      </c>
      <c r="C1040" s="5" t="str">
        <f t="shared" si="80"/>
        <v/>
      </c>
      <c r="D1040" s="5" t="str">
        <f>IFERROR(IF(F1040&lt;&gt;"",F1040,VLOOKUP(MAX(C$2:C1040),A$2:F1040,2,FALSE)),"")</f>
        <v/>
      </c>
      <c r="E1040" s="5" t="str">
        <f t="shared" si="82"/>
        <v/>
      </c>
      <c r="K1040" t="str">
        <f>IFERROR(IF(VLOOKUP(E:E,'Old Report'!E:J,6,FALSE)="","",VLOOKUP(E:E,'Old Report'!E:J,6,FALSE)),"")</f>
        <v/>
      </c>
      <c r="L1040" t="str">
        <f>IFERROR(IF(VLOOKUP(E:E,'Old Report'!E:L,8,FALSE)="","",VLOOKUP(E:E,'Old Report'!E:L,8,FALSE)),"")</f>
        <v/>
      </c>
      <c r="M1040" s="5" t="str">
        <f t="shared" si="83"/>
        <v/>
      </c>
      <c r="N1040" s="5" t="str">
        <f t="shared" si="84"/>
        <v/>
      </c>
    </row>
    <row r="1041" spans="1:14" x14ac:dyDescent="0.25">
      <c r="A1041" s="5">
        <v>1040</v>
      </c>
      <c r="B1041" s="5">
        <f t="shared" si="81"/>
        <v>0</v>
      </c>
      <c r="C1041" s="5" t="str">
        <f t="shared" si="80"/>
        <v/>
      </c>
      <c r="D1041" s="5" t="str">
        <f>IFERROR(IF(F1041&lt;&gt;"",F1041,VLOOKUP(MAX(C$2:C1041),A$2:F1041,2,FALSE)),"")</f>
        <v/>
      </c>
      <c r="E1041" s="5" t="str">
        <f t="shared" si="82"/>
        <v/>
      </c>
      <c r="K1041" t="str">
        <f>IFERROR(IF(VLOOKUP(E:E,'Old Report'!E:J,6,FALSE)="","",VLOOKUP(E:E,'Old Report'!E:J,6,FALSE)),"")</f>
        <v/>
      </c>
      <c r="L1041" t="str">
        <f>IFERROR(IF(VLOOKUP(E:E,'Old Report'!E:L,8,FALSE)="","",VLOOKUP(E:E,'Old Report'!E:L,8,FALSE)),"")</f>
        <v/>
      </c>
      <c r="M1041" s="5" t="str">
        <f t="shared" si="83"/>
        <v/>
      </c>
      <c r="N1041" s="5" t="str">
        <f t="shared" si="84"/>
        <v/>
      </c>
    </row>
    <row r="1042" spans="1:14" x14ac:dyDescent="0.25">
      <c r="A1042" s="5">
        <v>1041</v>
      </c>
      <c r="B1042" s="5">
        <f t="shared" si="81"/>
        <v>0</v>
      </c>
      <c r="C1042" s="5" t="str">
        <f t="shared" si="80"/>
        <v/>
      </c>
      <c r="D1042" s="5" t="str">
        <f>IFERROR(IF(F1042&lt;&gt;"",F1042,VLOOKUP(MAX(C$2:C1042),A$2:F1042,2,FALSE)),"")</f>
        <v/>
      </c>
      <c r="E1042" s="5" t="str">
        <f t="shared" si="82"/>
        <v/>
      </c>
      <c r="K1042" t="str">
        <f>IFERROR(IF(VLOOKUP(E:E,'Old Report'!E:J,6,FALSE)="","",VLOOKUP(E:E,'Old Report'!E:J,6,FALSE)),"")</f>
        <v/>
      </c>
      <c r="L1042" t="str">
        <f>IFERROR(IF(VLOOKUP(E:E,'Old Report'!E:L,8,FALSE)="","",VLOOKUP(E:E,'Old Report'!E:L,8,FALSE)),"")</f>
        <v/>
      </c>
      <c r="M1042" s="5" t="str">
        <f t="shared" si="83"/>
        <v/>
      </c>
      <c r="N1042" s="5" t="str">
        <f t="shared" si="84"/>
        <v/>
      </c>
    </row>
    <row r="1043" spans="1:14" x14ac:dyDescent="0.25">
      <c r="A1043" s="5">
        <v>1042</v>
      </c>
      <c r="B1043" s="5">
        <f t="shared" si="81"/>
        <v>0</v>
      </c>
      <c r="C1043" s="5" t="str">
        <f t="shared" si="80"/>
        <v/>
      </c>
      <c r="D1043" s="5" t="str">
        <f>IFERROR(IF(F1043&lt;&gt;"",F1043,VLOOKUP(MAX(C$2:C1043),A$2:F1043,2,FALSE)),"")</f>
        <v/>
      </c>
      <c r="E1043" s="5" t="str">
        <f t="shared" si="82"/>
        <v/>
      </c>
      <c r="K1043" t="str">
        <f>IFERROR(IF(VLOOKUP(E:E,'Old Report'!E:J,6,FALSE)="","",VLOOKUP(E:E,'Old Report'!E:J,6,FALSE)),"")</f>
        <v/>
      </c>
      <c r="L1043" t="str">
        <f>IFERROR(IF(VLOOKUP(E:E,'Old Report'!E:L,8,FALSE)="","",VLOOKUP(E:E,'Old Report'!E:L,8,FALSE)),"")</f>
        <v/>
      </c>
      <c r="M1043" s="5" t="str">
        <f t="shared" si="83"/>
        <v/>
      </c>
      <c r="N1043" s="5" t="str">
        <f t="shared" si="84"/>
        <v/>
      </c>
    </row>
    <row r="1044" spans="1:14" x14ac:dyDescent="0.25">
      <c r="A1044" s="5">
        <v>1043</v>
      </c>
      <c r="B1044" s="5">
        <f t="shared" si="81"/>
        <v>0</v>
      </c>
      <c r="C1044" s="5" t="str">
        <f t="shared" si="80"/>
        <v/>
      </c>
      <c r="D1044" s="5" t="str">
        <f>IFERROR(IF(F1044&lt;&gt;"",F1044,VLOOKUP(MAX(C$2:C1044),A$2:F1044,2,FALSE)),"")</f>
        <v/>
      </c>
      <c r="E1044" s="5" t="str">
        <f t="shared" si="82"/>
        <v/>
      </c>
      <c r="K1044" t="str">
        <f>IFERROR(IF(VLOOKUP(E:E,'Old Report'!E:J,6,FALSE)="","",VLOOKUP(E:E,'Old Report'!E:J,6,FALSE)),"")</f>
        <v/>
      </c>
      <c r="L1044" t="str">
        <f>IFERROR(IF(VLOOKUP(E:E,'Old Report'!E:L,8,FALSE)="","",VLOOKUP(E:E,'Old Report'!E:L,8,FALSE)),"")</f>
        <v/>
      </c>
      <c r="M1044" s="5" t="str">
        <f t="shared" si="83"/>
        <v/>
      </c>
      <c r="N1044" s="5" t="str">
        <f t="shared" si="84"/>
        <v/>
      </c>
    </row>
    <row r="1045" spans="1:14" x14ac:dyDescent="0.25">
      <c r="A1045" s="5">
        <v>1044</v>
      </c>
      <c r="B1045" s="5">
        <f t="shared" si="81"/>
        <v>0</v>
      </c>
      <c r="C1045" s="5" t="str">
        <f t="shared" si="80"/>
        <v/>
      </c>
      <c r="D1045" s="5" t="str">
        <f>IFERROR(IF(F1045&lt;&gt;"",F1045,VLOOKUP(MAX(C$2:C1045),A$2:F1045,2,FALSE)),"")</f>
        <v/>
      </c>
      <c r="E1045" s="5" t="str">
        <f t="shared" si="82"/>
        <v/>
      </c>
      <c r="K1045" t="str">
        <f>IFERROR(IF(VLOOKUP(E:E,'Old Report'!E:J,6,FALSE)="","",VLOOKUP(E:E,'Old Report'!E:J,6,FALSE)),"")</f>
        <v/>
      </c>
      <c r="L1045" t="str">
        <f>IFERROR(IF(VLOOKUP(E:E,'Old Report'!E:L,8,FALSE)="","",VLOOKUP(E:E,'Old Report'!E:L,8,FALSE)),"")</f>
        <v/>
      </c>
      <c r="M1045" s="5" t="str">
        <f t="shared" si="83"/>
        <v/>
      </c>
      <c r="N1045" s="5" t="str">
        <f t="shared" si="84"/>
        <v/>
      </c>
    </row>
    <row r="1046" spans="1:14" x14ac:dyDescent="0.25">
      <c r="A1046" s="5">
        <v>1045</v>
      </c>
      <c r="B1046" s="5">
        <f t="shared" si="81"/>
        <v>0</v>
      </c>
      <c r="C1046" s="5" t="str">
        <f t="shared" si="80"/>
        <v/>
      </c>
      <c r="D1046" s="5" t="str">
        <f>IFERROR(IF(F1046&lt;&gt;"",F1046,VLOOKUP(MAX(C$2:C1046),A$2:F1046,2,FALSE)),"")</f>
        <v/>
      </c>
      <c r="E1046" s="5" t="str">
        <f t="shared" si="82"/>
        <v/>
      </c>
      <c r="K1046" t="str">
        <f>IFERROR(IF(VLOOKUP(E:E,'Old Report'!E:J,6,FALSE)="","",VLOOKUP(E:E,'Old Report'!E:J,6,FALSE)),"")</f>
        <v/>
      </c>
      <c r="L1046" t="str">
        <f>IFERROR(IF(VLOOKUP(E:E,'Old Report'!E:L,8,FALSE)="","",VLOOKUP(E:E,'Old Report'!E:L,8,FALSE)),"")</f>
        <v/>
      </c>
      <c r="M1046" s="5" t="str">
        <f t="shared" si="83"/>
        <v/>
      </c>
      <c r="N1046" s="5" t="str">
        <f t="shared" si="84"/>
        <v/>
      </c>
    </row>
    <row r="1047" spans="1:14" x14ac:dyDescent="0.25">
      <c r="A1047" s="5">
        <v>1046</v>
      </c>
      <c r="B1047" s="5">
        <f t="shared" si="81"/>
        <v>0</v>
      </c>
      <c r="C1047" s="5" t="str">
        <f t="shared" si="80"/>
        <v/>
      </c>
      <c r="D1047" s="5" t="str">
        <f>IFERROR(IF(F1047&lt;&gt;"",F1047,VLOOKUP(MAX(C$2:C1047),A$2:F1047,2,FALSE)),"")</f>
        <v/>
      </c>
      <c r="E1047" s="5" t="str">
        <f t="shared" si="82"/>
        <v/>
      </c>
      <c r="K1047" t="str">
        <f>IFERROR(IF(VLOOKUP(E:E,'Old Report'!E:J,6,FALSE)="","",VLOOKUP(E:E,'Old Report'!E:J,6,FALSE)),"")</f>
        <v/>
      </c>
      <c r="L1047" t="str">
        <f>IFERROR(IF(VLOOKUP(E:E,'Old Report'!E:L,8,FALSE)="","",VLOOKUP(E:E,'Old Report'!E:L,8,FALSE)),"")</f>
        <v/>
      </c>
      <c r="M1047" s="5" t="str">
        <f t="shared" si="83"/>
        <v/>
      </c>
      <c r="N1047" s="5" t="str">
        <f t="shared" si="84"/>
        <v/>
      </c>
    </row>
    <row r="1048" spans="1:14" x14ac:dyDescent="0.25">
      <c r="A1048" s="5">
        <v>1047</v>
      </c>
      <c r="B1048" s="5">
        <f t="shared" si="81"/>
        <v>0</v>
      </c>
      <c r="C1048" s="5" t="str">
        <f t="shared" si="80"/>
        <v/>
      </c>
      <c r="D1048" s="5" t="str">
        <f>IFERROR(IF(F1048&lt;&gt;"",F1048,VLOOKUP(MAX(C$2:C1048),A$2:F1048,2,FALSE)),"")</f>
        <v/>
      </c>
      <c r="E1048" s="5" t="str">
        <f t="shared" si="82"/>
        <v/>
      </c>
      <c r="K1048" t="str">
        <f>IFERROR(IF(VLOOKUP(E:E,'Old Report'!E:J,6,FALSE)="","",VLOOKUP(E:E,'Old Report'!E:J,6,FALSE)),"")</f>
        <v/>
      </c>
      <c r="L1048" t="str">
        <f>IFERROR(IF(VLOOKUP(E:E,'Old Report'!E:L,8,FALSE)="","",VLOOKUP(E:E,'Old Report'!E:L,8,FALSE)),"")</f>
        <v/>
      </c>
      <c r="M1048" s="5" t="str">
        <f t="shared" si="83"/>
        <v/>
      </c>
      <c r="N1048" s="5" t="str">
        <f t="shared" si="84"/>
        <v/>
      </c>
    </row>
    <row r="1049" spans="1:14" x14ac:dyDescent="0.25">
      <c r="A1049" s="5">
        <v>1048</v>
      </c>
      <c r="B1049" s="5">
        <f t="shared" si="81"/>
        <v>0</v>
      </c>
      <c r="C1049" s="5" t="str">
        <f t="shared" si="80"/>
        <v/>
      </c>
      <c r="D1049" s="5" t="str">
        <f>IFERROR(IF(F1049&lt;&gt;"",F1049,VLOOKUP(MAX(C$2:C1049),A$2:F1049,2,FALSE)),"")</f>
        <v/>
      </c>
      <c r="E1049" s="5" t="str">
        <f t="shared" si="82"/>
        <v/>
      </c>
      <c r="K1049" t="str">
        <f>IFERROR(IF(VLOOKUP(E:E,'Old Report'!E:J,6,FALSE)="","",VLOOKUP(E:E,'Old Report'!E:J,6,FALSE)),"")</f>
        <v/>
      </c>
      <c r="L1049" t="str">
        <f>IFERROR(IF(VLOOKUP(E:E,'Old Report'!E:L,8,FALSE)="","",VLOOKUP(E:E,'Old Report'!E:L,8,FALSE)),"")</f>
        <v/>
      </c>
      <c r="M1049" s="5" t="str">
        <f t="shared" si="83"/>
        <v/>
      </c>
      <c r="N1049" s="5" t="str">
        <f t="shared" si="84"/>
        <v/>
      </c>
    </row>
    <row r="1050" spans="1:14" x14ac:dyDescent="0.25">
      <c r="A1050" s="5">
        <v>1049</v>
      </c>
      <c r="B1050" s="5">
        <f t="shared" si="81"/>
        <v>0</v>
      </c>
      <c r="C1050" s="5" t="str">
        <f t="shared" si="80"/>
        <v/>
      </c>
      <c r="D1050" s="5" t="str">
        <f>IFERROR(IF(F1050&lt;&gt;"",F1050,VLOOKUP(MAX(C$2:C1050),A$2:F1050,2,FALSE)),"")</f>
        <v/>
      </c>
      <c r="E1050" s="5" t="str">
        <f t="shared" si="82"/>
        <v/>
      </c>
      <c r="K1050" t="str">
        <f>IFERROR(IF(VLOOKUP(E:E,'Old Report'!E:J,6,FALSE)="","",VLOOKUP(E:E,'Old Report'!E:J,6,FALSE)),"")</f>
        <v/>
      </c>
      <c r="L1050" t="str">
        <f>IFERROR(IF(VLOOKUP(E:E,'Old Report'!E:L,8,FALSE)="","",VLOOKUP(E:E,'Old Report'!E:L,8,FALSE)),"")</f>
        <v/>
      </c>
      <c r="M1050" s="5" t="str">
        <f t="shared" si="83"/>
        <v/>
      </c>
      <c r="N1050" s="5" t="str">
        <f t="shared" si="84"/>
        <v/>
      </c>
    </row>
    <row r="1051" spans="1:14" x14ac:dyDescent="0.25">
      <c r="A1051" s="5">
        <v>1050</v>
      </c>
      <c r="B1051" s="5">
        <f t="shared" si="81"/>
        <v>0</v>
      </c>
      <c r="C1051" s="5" t="str">
        <f t="shared" si="80"/>
        <v/>
      </c>
      <c r="D1051" s="5" t="str">
        <f>IFERROR(IF(F1051&lt;&gt;"",F1051,VLOOKUP(MAX(C$2:C1051),A$2:F1051,2,FALSE)),"")</f>
        <v/>
      </c>
      <c r="E1051" s="5" t="str">
        <f t="shared" si="82"/>
        <v/>
      </c>
      <c r="K1051" t="str">
        <f>IFERROR(IF(VLOOKUP(E:E,'Old Report'!E:J,6,FALSE)="","",VLOOKUP(E:E,'Old Report'!E:J,6,FALSE)),"")</f>
        <v/>
      </c>
      <c r="L1051" t="str">
        <f>IFERROR(IF(VLOOKUP(E:E,'Old Report'!E:L,8,FALSE)="","",VLOOKUP(E:E,'Old Report'!E:L,8,FALSE)),"")</f>
        <v/>
      </c>
      <c r="M1051" s="5" t="str">
        <f t="shared" si="83"/>
        <v/>
      </c>
      <c r="N1051" s="5" t="str">
        <f t="shared" si="84"/>
        <v/>
      </c>
    </row>
    <row r="1052" spans="1:14" x14ac:dyDescent="0.25">
      <c r="A1052" s="5">
        <v>1051</v>
      </c>
      <c r="B1052" s="5">
        <f t="shared" si="81"/>
        <v>0</v>
      </c>
      <c r="C1052" s="5" t="str">
        <f t="shared" si="80"/>
        <v/>
      </c>
      <c r="D1052" s="5" t="str">
        <f>IFERROR(IF(F1052&lt;&gt;"",F1052,VLOOKUP(MAX(C$2:C1052),A$2:F1052,2,FALSE)),"")</f>
        <v/>
      </c>
      <c r="E1052" s="5" t="str">
        <f t="shared" si="82"/>
        <v/>
      </c>
      <c r="K1052" t="str">
        <f>IFERROR(IF(VLOOKUP(E:E,'Old Report'!E:J,6,FALSE)="","",VLOOKUP(E:E,'Old Report'!E:J,6,FALSE)),"")</f>
        <v/>
      </c>
      <c r="L1052" t="str">
        <f>IFERROR(IF(VLOOKUP(E:E,'Old Report'!E:L,8,FALSE)="","",VLOOKUP(E:E,'Old Report'!E:L,8,FALSE)),"")</f>
        <v/>
      </c>
      <c r="M1052" s="5" t="str">
        <f t="shared" si="83"/>
        <v/>
      </c>
      <c r="N1052" s="5" t="str">
        <f t="shared" si="84"/>
        <v/>
      </c>
    </row>
    <row r="1053" spans="1:14" x14ac:dyDescent="0.25">
      <c r="A1053" s="5">
        <v>1052</v>
      </c>
      <c r="B1053" s="5">
        <f t="shared" si="81"/>
        <v>0</v>
      </c>
      <c r="C1053" s="5" t="str">
        <f t="shared" si="80"/>
        <v/>
      </c>
      <c r="D1053" s="5" t="str">
        <f>IFERROR(IF(F1053&lt;&gt;"",F1053,VLOOKUP(MAX(C$2:C1053),A$2:F1053,2,FALSE)),"")</f>
        <v/>
      </c>
      <c r="E1053" s="5" t="str">
        <f t="shared" si="82"/>
        <v/>
      </c>
      <c r="K1053" t="str">
        <f>IFERROR(IF(VLOOKUP(E:E,'Old Report'!E:J,6,FALSE)="","",VLOOKUP(E:E,'Old Report'!E:J,6,FALSE)),"")</f>
        <v/>
      </c>
      <c r="L1053" t="str">
        <f>IFERROR(IF(VLOOKUP(E:E,'Old Report'!E:L,8,FALSE)="","",VLOOKUP(E:E,'Old Report'!E:L,8,FALSE)),"")</f>
        <v/>
      </c>
      <c r="M1053" s="5" t="str">
        <f t="shared" si="83"/>
        <v/>
      </c>
      <c r="N1053" s="5" t="str">
        <f t="shared" si="84"/>
        <v/>
      </c>
    </row>
    <row r="1054" spans="1:14" x14ac:dyDescent="0.25">
      <c r="A1054" s="5">
        <v>1053</v>
      </c>
      <c r="B1054" s="5">
        <f t="shared" si="81"/>
        <v>0</v>
      </c>
      <c r="C1054" s="5" t="str">
        <f t="shared" si="80"/>
        <v/>
      </c>
      <c r="D1054" s="5" t="str">
        <f>IFERROR(IF(F1054&lt;&gt;"",F1054,VLOOKUP(MAX(C$2:C1054),A$2:F1054,2,FALSE)),"")</f>
        <v/>
      </c>
      <c r="E1054" s="5" t="str">
        <f t="shared" si="82"/>
        <v/>
      </c>
      <c r="K1054" t="str">
        <f>IFERROR(IF(VLOOKUP(E:E,'Old Report'!E:J,6,FALSE)="","",VLOOKUP(E:E,'Old Report'!E:J,6,FALSE)),"")</f>
        <v/>
      </c>
      <c r="L1054" t="str">
        <f>IFERROR(IF(VLOOKUP(E:E,'Old Report'!E:L,8,FALSE)="","",VLOOKUP(E:E,'Old Report'!E:L,8,FALSE)),"")</f>
        <v/>
      </c>
      <c r="M1054" s="5" t="str">
        <f t="shared" si="83"/>
        <v/>
      </c>
      <c r="N1054" s="5" t="str">
        <f t="shared" si="84"/>
        <v/>
      </c>
    </row>
    <row r="1055" spans="1:14" x14ac:dyDescent="0.25">
      <c r="A1055" s="5">
        <v>1054</v>
      </c>
      <c r="B1055" s="5">
        <f t="shared" si="81"/>
        <v>0</v>
      </c>
      <c r="C1055" s="5" t="str">
        <f t="shared" si="80"/>
        <v/>
      </c>
      <c r="D1055" s="5" t="str">
        <f>IFERROR(IF(F1055&lt;&gt;"",F1055,VLOOKUP(MAX(C$2:C1055),A$2:F1055,2,FALSE)),"")</f>
        <v/>
      </c>
      <c r="E1055" s="5" t="str">
        <f t="shared" si="82"/>
        <v/>
      </c>
      <c r="K1055" t="str">
        <f>IFERROR(IF(VLOOKUP(E:E,'Old Report'!E:J,6,FALSE)="","",VLOOKUP(E:E,'Old Report'!E:J,6,FALSE)),"")</f>
        <v/>
      </c>
      <c r="L1055" t="str">
        <f>IFERROR(IF(VLOOKUP(E:E,'Old Report'!E:L,8,FALSE)="","",VLOOKUP(E:E,'Old Report'!E:L,8,FALSE)),"")</f>
        <v/>
      </c>
      <c r="M1055" s="5" t="str">
        <f t="shared" si="83"/>
        <v/>
      </c>
      <c r="N1055" s="5" t="str">
        <f t="shared" si="84"/>
        <v/>
      </c>
    </row>
    <row r="1056" spans="1:14" x14ac:dyDescent="0.25">
      <c r="A1056" s="5">
        <v>1055</v>
      </c>
      <c r="B1056" s="5">
        <f t="shared" si="81"/>
        <v>0</v>
      </c>
      <c r="C1056" s="5" t="str">
        <f t="shared" si="80"/>
        <v/>
      </c>
      <c r="D1056" s="5" t="str">
        <f>IFERROR(IF(F1056&lt;&gt;"",F1056,VLOOKUP(MAX(C$2:C1056),A$2:F1056,2,FALSE)),"")</f>
        <v/>
      </c>
      <c r="E1056" s="5" t="str">
        <f t="shared" si="82"/>
        <v/>
      </c>
      <c r="K1056" t="str">
        <f>IFERROR(IF(VLOOKUP(E:E,'Old Report'!E:J,6,FALSE)="","",VLOOKUP(E:E,'Old Report'!E:J,6,FALSE)),"")</f>
        <v/>
      </c>
      <c r="L1056" t="str">
        <f>IFERROR(IF(VLOOKUP(E:E,'Old Report'!E:L,8,FALSE)="","",VLOOKUP(E:E,'Old Report'!E:L,8,FALSE)),"")</f>
        <v/>
      </c>
      <c r="M1056" s="5" t="str">
        <f t="shared" si="83"/>
        <v/>
      </c>
      <c r="N1056" s="5" t="str">
        <f t="shared" si="84"/>
        <v/>
      </c>
    </row>
    <row r="1057" spans="1:14" x14ac:dyDescent="0.25">
      <c r="A1057" s="5">
        <v>1056</v>
      </c>
      <c r="B1057" s="5">
        <f t="shared" si="81"/>
        <v>0</v>
      </c>
      <c r="C1057" s="5" t="str">
        <f t="shared" si="80"/>
        <v/>
      </c>
      <c r="D1057" s="5" t="str">
        <f>IFERROR(IF(F1057&lt;&gt;"",F1057,VLOOKUP(MAX(C$2:C1057),A$2:F1057,2,FALSE)),"")</f>
        <v/>
      </c>
      <c r="E1057" s="5" t="str">
        <f t="shared" si="82"/>
        <v/>
      </c>
      <c r="K1057" t="str">
        <f>IFERROR(IF(VLOOKUP(E:E,'Old Report'!E:J,6,FALSE)="","",VLOOKUP(E:E,'Old Report'!E:J,6,FALSE)),"")</f>
        <v/>
      </c>
      <c r="L1057" t="str">
        <f>IFERROR(IF(VLOOKUP(E:E,'Old Report'!E:L,8,FALSE)="","",VLOOKUP(E:E,'Old Report'!E:L,8,FALSE)),"")</f>
        <v/>
      </c>
      <c r="M1057" s="5" t="str">
        <f t="shared" si="83"/>
        <v/>
      </c>
      <c r="N1057" s="5" t="str">
        <f t="shared" si="84"/>
        <v/>
      </c>
    </row>
    <row r="1058" spans="1:14" x14ac:dyDescent="0.25">
      <c r="A1058" s="5">
        <v>1057</v>
      </c>
      <c r="B1058" s="5">
        <f t="shared" si="81"/>
        <v>0</v>
      </c>
      <c r="C1058" s="5" t="str">
        <f t="shared" si="80"/>
        <v/>
      </c>
      <c r="D1058" s="5" t="str">
        <f>IFERROR(IF(F1058&lt;&gt;"",F1058,VLOOKUP(MAX(C$2:C1058),A$2:F1058,2,FALSE)),"")</f>
        <v/>
      </c>
      <c r="E1058" s="5" t="str">
        <f t="shared" si="82"/>
        <v/>
      </c>
      <c r="K1058" t="str">
        <f>IFERROR(IF(VLOOKUP(E:E,'Old Report'!E:J,6,FALSE)="","",VLOOKUP(E:E,'Old Report'!E:J,6,FALSE)),"")</f>
        <v/>
      </c>
      <c r="L1058" t="str">
        <f>IFERROR(IF(VLOOKUP(E:E,'Old Report'!E:L,8,FALSE)="","",VLOOKUP(E:E,'Old Report'!E:L,8,FALSE)),"")</f>
        <v/>
      </c>
      <c r="M1058" s="5" t="str">
        <f t="shared" si="83"/>
        <v/>
      </c>
      <c r="N1058" s="5" t="str">
        <f t="shared" si="84"/>
        <v/>
      </c>
    </row>
    <row r="1059" spans="1:14" x14ac:dyDescent="0.25">
      <c r="A1059" s="5">
        <v>1058</v>
      </c>
      <c r="B1059" s="5">
        <f t="shared" si="81"/>
        <v>0</v>
      </c>
      <c r="C1059" s="5" t="str">
        <f t="shared" si="80"/>
        <v/>
      </c>
      <c r="D1059" s="5" t="str">
        <f>IFERROR(IF(F1059&lt;&gt;"",F1059,VLOOKUP(MAX(C$2:C1059),A$2:F1059,2,FALSE)),"")</f>
        <v/>
      </c>
      <c r="E1059" s="5" t="str">
        <f t="shared" si="82"/>
        <v/>
      </c>
      <c r="K1059" t="str">
        <f>IFERROR(IF(VLOOKUP(E:E,'Old Report'!E:J,6,FALSE)="","",VLOOKUP(E:E,'Old Report'!E:J,6,FALSE)),"")</f>
        <v/>
      </c>
      <c r="L1059" t="str">
        <f>IFERROR(IF(VLOOKUP(E:E,'Old Report'!E:L,8,FALSE)="","",VLOOKUP(E:E,'Old Report'!E:L,8,FALSE)),"")</f>
        <v/>
      </c>
      <c r="M1059" s="5" t="str">
        <f t="shared" si="83"/>
        <v/>
      </c>
      <c r="N1059" s="5" t="str">
        <f t="shared" si="84"/>
        <v/>
      </c>
    </row>
    <row r="1060" spans="1:14" x14ac:dyDescent="0.25">
      <c r="A1060" s="5">
        <v>1059</v>
      </c>
      <c r="B1060" s="5">
        <f t="shared" si="81"/>
        <v>0</v>
      </c>
      <c r="C1060" s="5" t="str">
        <f t="shared" si="80"/>
        <v/>
      </c>
      <c r="D1060" s="5" t="str">
        <f>IFERROR(IF(F1060&lt;&gt;"",F1060,VLOOKUP(MAX(C$2:C1060),A$2:F1060,2,FALSE)),"")</f>
        <v/>
      </c>
      <c r="E1060" s="5" t="str">
        <f t="shared" si="82"/>
        <v/>
      </c>
      <c r="K1060" t="str">
        <f>IFERROR(IF(VLOOKUP(E:E,'Old Report'!E:J,6,FALSE)="","",VLOOKUP(E:E,'Old Report'!E:J,6,FALSE)),"")</f>
        <v/>
      </c>
      <c r="L1060" t="str">
        <f>IFERROR(IF(VLOOKUP(E:E,'Old Report'!E:L,8,FALSE)="","",VLOOKUP(E:E,'Old Report'!E:L,8,FALSE)),"")</f>
        <v/>
      </c>
      <c r="M1060" s="5" t="str">
        <f t="shared" si="83"/>
        <v/>
      </c>
      <c r="N1060" s="5" t="str">
        <f t="shared" si="84"/>
        <v/>
      </c>
    </row>
    <row r="1061" spans="1:14" x14ac:dyDescent="0.25">
      <c r="A1061" s="5">
        <v>1060</v>
      </c>
      <c r="B1061" s="5">
        <f t="shared" si="81"/>
        <v>0</v>
      </c>
      <c r="C1061" s="5" t="str">
        <f t="shared" si="80"/>
        <v/>
      </c>
      <c r="D1061" s="5" t="str">
        <f>IFERROR(IF(F1061&lt;&gt;"",F1061,VLOOKUP(MAX(C$2:C1061),A$2:F1061,2,FALSE)),"")</f>
        <v/>
      </c>
      <c r="E1061" s="5" t="str">
        <f t="shared" si="82"/>
        <v/>
      </c>
      <c r="K1061" t="str">
        <f>IFERROR(IF(VLOOKUP(E:E,'Old Report'!E:J,6,FALSE)="","",VLOOKUP(E:E,'Old Report'!E:J,6,FALSE)),"")</f>
        <v/>
      </c>
      <c r="L1061" t="str">
        <f>IFERROR(IF(VLOOKUP(E:E,'Old Report'!E:L,8,FALSE)="","",VLOOKUP(E:E,'Old Report'!E:L,8,FALSE)),"")</f>
        <v/>
      </c>
      <c r="M1061" s="5" t="str">
        <f t="shared" si="83"/>
        <v/>
      </c>
      <c r="N1061" s="5" t="str">
        <f t="shared" si="84"/>
        <v/>
      </c>
    </row>
    <row r="1062" spans="1:14" x14ac:dyDescent="0.25">
      <c r="A1062" s="5">
        <v>1061</v>
      </c>
      <c r="B1062" s="5">
        <f t="shared" si="81"/>
        <v>0</v>
      </c>
      <c r="C1062" s="5" t="str">
        <f t="shared" si="80"/>
        <v/>
      </c>
      <c r="D1062" s="5" t="str">
        <f>IFERROR(IF(F1062&lt;&gt;"",F1062,VLOOKUP(MAX(C$2:C1062),A$2:F1062,2,FALSE)),"")</f>
        <v/>
      </c>
      <c r="E1062" s="5" t="str">
        <f t="shared" si="82"/>
        <v/>
      </c>
      <c r="K1062" t="str">
        <f>IFERROR(IF(VLOOKUP(E:E,'Old Report'!E:J,6,FALSE)="","",VLOOKUP(E:E,'Old Report'!E:J,6,FALSE)),"")</f>
        <v/>
      </c>
      <c r="L1062" t="str">
        <f>IFERROR(IF(VLOOKUP(E:E,'Old Report'!E:L,8,FALSE)="","",VLOOKUP(E:E,'Old Report'!E:L,8,FALSE)),"")</f>
        <v/>
      </c>
      <c r="M1062" s="5" t="str">
        <f t="shared" si="83"/>
        <v/>
      </c>
      <c r="N1062" s="5" t="str">
        <f t="shared" si="84"/>
        <v/>
      </c>
    </row>
    <row r="1063" spans="1:14" x14ac:dyDescent="0.25">
      <c r="A1063" s="5">
        <v>1062</v>
      </c>
      <c r="B1063" s="5">
        <f t="shared" si="81"/>
        <v>0</v>
      </c>
      <c r="C1063" s="5" t="str">
        <f t="shared" si="80"/>
        <v/>
      </c>
      <c r="D1063" s="5" t="str">
        <f>IFERROR(IF(F1063&lt;&gt;"",F1063,VLOOKUP(MAX(C$2:C1063),A$2:F1063,2,FALSE)),"")</f>
        <v/>
      </c>
      <c r="E1063" s="5" t="str">
        <f t="shared" si="82"/>
        <v/>
      </c>
      <c r="K1063" t="str">
        <f>IFERROR(IF(VLOOKUP(E:E,'Old Report'!E:J,6,FALSE)="","",VLOOKUP(E:E,'Old Report'!E:J,6,FALSE)),"")</f>
        <v/>
      </c>
      <c r="L1063" t="str">
        <f>IFERROR(IF(VLOOKUP(E:E,'Old Report'!E:L,8,FALSE)="","",VLOOKUP(E:E,'Old Report'!E:L,8,FALSE)),"")</f>
        <v/>
      </c>
      <c r="M1063" s="5" t="str">
        <f t="shared" si="83"/>
        <v/>
      </c>
      <c r="N1063" s="5" t="str">
        <f t="shared" si="84"/>
        <v/>
      </c>
    </row>
    <row r="1064" spans="1:14" x14ac:dyDescent="0.25">
      <c r="A1064" s="5">
        <v>1063</v>
      </c>
      <c r="B1064" s="5">
        <f t="shared" si="81"/>
        <v>0</v>
      </c>
      <c r="C1064" s="5" t="str">
        <f t="shared" si="80"/>
        <v/>
      </c>
      <c r="D1064" s="5" t="str">
        <f>IFERROR(IF(F1064&lt;&gt;"",F1064,VLOOKUP(MAX(C$2:C1064),A$2:F1064,2,FALSE)),"")</f>
        <v/>
      </c>
      <c r="E1064" s="5" t="str">
        <f t="shared" si="82"/>
        <v/>
      </c>
      <c r="K1064" t="str">
        <f>IFERROR(IF(VLOOKUP(E:E,'Old Report'!E:J,6,FALSE)="","",VLOOKUP(E:E,'Old Report'!E:J,6,FALSE)),"")</f>
        <v/>
      </c>
      <c r="L1064" t="str">
        <f>IFERROR(IF(VLOOKUP(E:E,'Old Report'!E:L,8,FALSE)="","",VLOOKUP(E:E,'Old Report'!E:L,8,FALSE)),"")</f>
        <v/>
      </c>
      <c r="M1064" s="5" t="str">
        <f t="shared" si="83"/>
        <v/>
      </c>
      <c r="N1064" s="5" t="str">
        <f t="shared" si="84"/>
        <v/>
      </c>
    </row>
    <row r="1065" spans="1:14" x14ac:dyDescent="0.25">
      <c r="A1065" s="5">
        <v>1064</v>
      </c>
      <c r="B1065" s="5">
        <f t="shared" si="81"/>
        <v>0</v>
      </c>
      <c r="C1065" s="5" t="str">
        <f t="shared" si="80"/>
        <v/>
      </c>
      <c r="D1065" s="5" t="str">
        <f>IFERROR(IF(F1065&lt;&gt;"",F1065,VLOOKUP(MAX(C$2:C1065),A$2:F1065,2,FALSE)),"")</f>
        <v/>
      </c>
      <c r="E1065" s="5" t="str">
        <f t="shared" si="82"/>
        <v/>
      </c>
      <c r="K1065" t="str">
        <f>IFERROR(IF(VLOOKUP(E:E,'Old Report'!E:J,6,FALSE)="","",VLOOKUP(E:E,'Old Report'!E:J,6,FALSE)),"")</f>
        <v/>
      </c>
      <c r="L1065" t="str">
        <f>IFERROR(IF(VLOOKUP(E:E,'Old Report'!E:L,8,FALSE)="","",VLOOKUP(E:E,'Old Report'!E:L,8,FALSE)),"")</f>
        <v/>
      </c>
      <c r="M1065" s="5" t="str">
        <f t="shared" si="83"/>
        <v/>
      </c>
      <c r="N1065" s="5" t="str">
        <f t="shared" si="84"/>
        <v/>
      </c>
    </row>
    <row r="1066" spans="1:14" x14ac:dyDescent="0.25">
      <c r="A1066" s="5">
        <v>1065</v>
      </c>
      <c r="B1066" s="5">
        <f t="shared" si="81"/>
        <v>0</v>
      </c>
      <c r="C1066" s="5" t="str">
        <f t="shared" si="80"/>
        <v/>
      </c>
      <c r="D1066" s="5" t="str">
        <f>IFERROR(IF(F1066&lt;&gt;"",F1066,VLOOKUP(MAX(C$2:C1066),A$2:F1066,2,FALSE)),"")</f>
        <v/>
      </c>
      <c r="E1066" s="5" t="str">
        <f t="shared" si="82"/>
        <v/>
      </c>
      <c r="K1066" t="str">
        <f>IFERROR(IF(VLOOKUP(E:E,'Old Report'!E:J,6,FALSE)="","",VLOOKUP(E:E,'Old Report'!E:J,6,FALSE)),"")</f>
        <v/>
      </c>
      <c r="L1066" t="str">
        <f>IFERROR(IF(VLOOKUP(E:E,'Old Report'!E:L,8,FALSE)="","",VLOOKUP(E:E,'Old Report'!E:L,8,FALSE)),"")</f>
        <v/>
      </c>
      <c r="M1066" s="5" t="str">
        <f t="shared" si="83"/>
        <v/>
      </c>
      <c r="N1066" s="5" t="str">
        <f t="shared" si="84"/>
        <v/>
      </c>
    </row>
    <row r="1067" spans="1:14" x14ac:dyDescent="0.25">
      <c r="A1067" s="5">
        <v>1066</v>
      </c>
      <c r="B1067" s="5">
        <f t="shared" si="81"/>
        <v>0</v>
      </c>
      <c r="C1067" s="5" t="str">
        <f t="shared" si="80"/>
        <v/>
      </c>
      <c r="D1067" s="5" t="str">
        <f>IFERROR(IF(F1067&lt;&gt;"",F1067,VLOOKUP(MAX(C$2:C1067),A$2:F1067,2,FALSE)),"")</f>
        <v/>
      </c>
      <c r="E1067" s="5" t="str">
        <f t="shared" si="82"/>
        <v/>
      </c>
      <c r="K1067" t="str">
        <f>IFERROR(IF(VLOOKUP(E:E,'Old Report'!E:J,6,FALSE)="","",VLOOKUP(E:E,'Old Report'!E:J,6,FALSE)),"")</f>
        <v/>
      </c>
      <c r="L1067" t="str">
        <f>IFERROR(IF(VLOOKUP(E:E,'Old Report'!E:L,8,FALSE)="","",VLOOKUP(E:E,'Old Report'!E:L,8,FALSE)),"")</f>
        <v/>
      </c>
      <c r="M1067" s="5" t="str">
        <f t="shared" si="83"/>
        <v/>
      </c>
      <c r="N1067" s="5" t="str">
        <f t="shared" si="84"/>
        <v/>
      </c>
    </row>
    <row r="1068" spans="1:14" x14ac:dyDescent="0.25">
      <c r="A1068" s="5">
        <v>1067</v>
      </c>
      <c r="B1068" s="5">
        <f t="shared" si="81"/>
        <v>0</v>
      </c>
      <c r="C1068" s="5" t="str">
        <f t="shared" si="80"/>
        <v/>
      </c>
      <c r="D1068" s="5" t="str">
        <f>IFERROR(IF(F1068&lt;&gt;"",F1068,VLOOKUP(MAX(C$2:C1068),A$2:F1068,2,FALSE)),"")</f>
        <v/>
      </c>
      <c r="E1068" s="5" t="str">
        <f t="shared" si="82"/>
        <v/>
      </c>
      <c r="K1068" t="str">
        <f>IFERROR(IF(VLOOKUP(E:E,'Old Report'!E:J,6,FALSE)="","",VLOOKUP(E:E,'Old Report'!E:J,6,FALSE)),"")</f>
        <v/>
      </c>
      <c r="L1068" t="str">
        <f>IFERROR(IF(VLOOKUP(E:E,'Old Report'!E:L,8,FALSE)="","",VLOOKUP(E:E,'Old Report'!E:L,8,FALSE)),"")</f>
        <v/>
      </c>
      <c r="M1068" s="5" t="str">
        <f t="shared" si="83"/>
        <v/>
      </c>
      <c r="N1068" s="5" t="str">
        <f t="shared" si="84"/>
        <v/>
      </c>
    </row>
    <row r="1069" spans="1:14" x14ac:dyDescent="0.25">
      <c r="A1069" s="5">
        <v>1068</v>
      </c>
      <c r="B1069" s="5">
        <f t="shared" si="81"/>
        <v>0</v>
      </c>
      <c r="C1069" s="5" t="str">
        <f t="shared" si="80"/>
        <v/>
      </c>
      <c r="D1069" s="5" t="str">
        <f>IFERROR(IF(F1069&lt;&gt;"",F1069,VLOOKUP(MAX(C$2:C1069),A$2:F1069,2,FALSE)),"")</f>
        <v/>
      </c>
      <c r="E1069" s="5" t="str">
        <f t="shared" si="82"/>
        <v/>
      </c>
      <c r="K1069" t="str">
        <f>IFERROR(IF(VLOOKUP(E:E,'Old Report'!E:J,6,FALSE)="","",VLOOKUP(E:E,'Old Report'!E:J,6,FALSE)),"")</f>
        <v/>
      </c>
      <c r="L1069" t="str">
        <f>IFERROR(IF(VLOOKUP(E:E,'Old Report'!E:L,8,FALSE)="","",VLOOKUP(E:E,'Old Report'!E:L,8,FALSE)),"")</f>
        <v/>
      </c>
      <c r="M1069" s="5" t="str">
        <f t="shared" si="83"/>
        <v/>
      </c>
      <c r="N1069" s="5" t="str">
        <f t="shared" si="84"/>
        <v/>
      </c>
    </row>
    <row r="1070" spans="1:14" x14ac:dyDescent="0.25">
      <c r="A1070" s="5">
        <v>1069</v>
      </c>
      <c r="B1070" s="5">
        <f t="shared" si="81"/>
        <v>0</v>
      </c>
      <c r="C1070" s="5" t="str">
        <f t="shared" si="80"/>
        <v/>
      </c>
      <c r="D1070" s="5" t="str">
        <f>IFERROR(IF(F1070&lt;&gt;"",F1070,VLOOKUP(MAX(C$2:C1070),A$2:F1070,2,FALSE)),"")</f>
        <v/>
      </c>
      <c r="E1070" s="5" t="str">
        <f t="shared" si="82"/>
        <v/>
      </c>
      <c r="K1070" t="str">
        <f>IFERROR(IF(VLOOKUP(E:E,'Old Report'!E:J,6,FALSE)="","",VLOOKUP(E:E,'Old Report'!E:J,6,FALSE)),"")</f>
        <v/>
      </c>
      <c r="L1070" t="str">
        <f>IFERROR(IF(VLOOKUP(E:E,'Old Report'!E:L,8,FALSE)="","",VLOOKUP(E:E,'Old Report'!E:L,8,FALSE)),"")</f>
        <v/>
      </c>
      <c r="M1070" s="5" t="str">
        <f t="shared" si="83"/>
        <v/>
      </c>
      <c r="N1070" s="5" t="str">
        <f t="shared" si="84"/>
        <v/>
      </c>
    </row>
    <row r="1071" spans="1:14" x14ac:dyDescent="0.25">
      <c r="A1071" s="5">
        <v>1070</v>
      </c>
      <c r="B1071" s="5">
        <f t="shared" si="81"/>
        <v>0</v>
      </c>
      <c r="C1071" s="5" t="str">
        <f t="shared" si="80"/>
        <v/>
      </c>
      <c r="D1071" s="5" t="str">
        <f>IFERROR(IF(F1071&lt;&gt;"",F1071,VLOOKUP(MAX(C$2:C1071),A$2:F1071,2,FALSE)),"")</f>
        <v/>
      </c>
      <c r="E1071" s="5" t="str">
        <f t="shared" si="82"/>
        <v/>
      </c>
      <c r="K1071" t="str">
        <f>IFERROR(IF(VLOOKUP(E:E,'Old Report'!E:J,6,FALSE)="","",VLOOKUP(E:E,'Old Report'!E:J,6,FALSE)),"")</f>
        <v/>
      </c>
      <c r="L1071" t="str">
        <f>IFERROR(IF(VLOOKUP(E:E,'Old Report'!E:L,8,FALSE)="","",VLOOKUP(E:E,'Old Report'!E:L,8,FALSE)),"")</f>
        <v/>
      </c>
      <c r="M1071" s="5" t="str">
        <f t="shared" si="83"/>
        <v/>
      </c>
      <c r="N1071" s="5" t="str">
        <f t="shared" si="84"/>
        <v/>
      </c>
    </row>
    <row r="1072" spans="1:14" x14ac:dyDescent="0.25">
      <c r="A1072" s="5">
        <v>1071</v>
      </c>
      <c r="B1072" s="5">
        <f t="shared" si="81"/>
        <v>0</v>
      </c>
      <c r="C1072" s="5" t="str">
        <f t="shared" si="80"/>
        <v/>
      </c>
      <c r="D1072" s="5" t="str">
        <f>IFERROR(IF(F1072&lt;&gt;"",F1072,VLOOKUP(MAX(C$2:C1072),A$2:F1072,2,FALSE)),"")</f>
        <v/>
      </c>
      <c r="E1072" s="5" t="str">
        <f t="shared" si="82"/>
        <v/>
      </c>
      <c r="K1072" t="str">
        <f>IFERROR(IF(VLOOKUP(E:E,'Old Report'!E:J,6,FALSE)="","",VLOOKUP(E:E,'Old Report'!E:J,6,FALSE)),"")</f>
        <v/>
      </c>
      <c r="L1072" t="str">
        <f>IFERROR(IF(VLOOKUP(E:E,'Old Report'!E:L,8,FALSE)="","",VLOOKUP(E:E,'Old Report'!E:L,8,FALSE)),"")</f>
        <v/>
      </c>
      <c r="M1072" s="5" t="str">
        <f t="shared" si="83"/>
        <v/>
      </c>
      <c r="N1072" s="5" t="str">
        <f t="shared" si="84"/>
        <v/>
      </c>
    </row>
    <row r="1073" spans="1:14" x14ac:dyDescent="0.25">
      <c r="A1073" s="5">
        <v>1072</v>
      </c>
      <c r="B1073" s="5">
        <f t="shared" si="81"/>
        <v>0</v>
      </c>
      <c r="C1073" s="5" t="str">
        <f t="shared" si="80"/>
        <v/>
      </c>
      <c r="D1073" s="5" t="str">
        <f>IFERROR(IF(F1073&lt;&gt;"",F1073,VLOOKUP(MAX(C$2:C1073),A$2:F1073,2,FALSE)),"")</f>
        <v/>
      </c>
      <c r="E1073" s="5" t="str">
        <f t="shared" si="82"/>
        <v/>
      </c>
      <c r="K1073" t="str">
        <f>IFERROR(IF(VLOOKUP(E:E,'Old Report'!E:J,6,FALSE)="","",VLOOKUP(E:E,'Old Report'!E:J,6,FALSE)),"")</f>
        <v/>
      </c>
      <c r="L1073" t="str">
        <f>IFERROR(IF(VLOOKUP(E:E,'Old Report'!E:L,8,FALSE)="","",VLOOKUP(E:E,'Old Report'!E:L,8,FALSE)),"")</f>
        <v/>
      </c>
      <c r="M1073" s="5" t="str">
        <f t="shared" si="83"/>
        <v/>
      </c>
      <c r="N1073" s="5" t="str">
        <f t="shared" si="84"/>
        <v/>
      </c>
    </row>
    <row r="1074" spans="1:14" x14ac:dyDescent="0.25">
      <c r="A1074" s="5">
        <v>1073</v>
      </c>
      <c r="B1074" s="5">
        <f t="shared" si="81"/>
        <v>0</v>
      </c>
      <c r="C1074" s="5" t="str">
        <f t="shared" si="80"/>
        <v/>
      </c>
      <c r="D1074" s="5" t="str">
        <f>IFERROR(IF(F1074&lt;&gt;"",F1074,VLOOKUP(MAX(C$2:C1074),A$2:F1074,2,FALSE)),"")</f>
        <v/>
      </c>
      <c r="E1074" s="5" t="str">
        <f t="shared" si="82"/>
        <v/>
      </c>
      <c r="K1074" t="str">
        <f>IFERROR(IF(VLOOKUP(E:E,'Old Report'!E:J,6,FALSE)="","",VLOOKUP(E:E,'Old Report'!E:J,6,FALSE)),"")</f>
        <v/>
      </c>
      <c r="L1074" t="str">
        <f>IFERROR(IF(VLOOKUP(E:E,'Old Report'!E:L,8,FALSE)="","",VLOOKUP(E:E,'Old Report'!E:L,8,FALSE)),"")</f>
        <v/>
      </c>
      <c r="M1074" s="5" t="str">
        <f t="shared" si="83"/>
        <v/>
      </c>
      <c r="N1074" s="5" t="str">
        <f t="shared" si="84"/>
        <v/>
      </c>
    </row>
    <row r="1075" spans="1:14" x14ac:dyDescent="0.25">
      <c r="A1075" s="5">
        <v>1074</v>
      </c>
      <c r="B1075" s="5">
        <f t="shared" si="81"/>
        <v>0</v>
      </c>
      <c r="C1075" s="5" t="str">
        <f t="shared" si="80"/>
        <v/>
      </c>
      <c r="D1075" s="5" t="str">
        <f>IFERROR(IF(F1075&lt;&gt;"",F1075,VLOOKUP(MAX(C$2:C1075),A$2:F1075,2,FALSE)),"")</f>
        <v/>
      </c>
      <c r="E1075" s="5" t="str">
        <f t="shared" si="82"/>
        <v/>
      </c>
      <c r="K1075" t="str">
        <f>IFERROR(IF(VLOOKUP(E:E,'Old Report'!E:J,6,FALSE)="","",VLOOKUP(E:E,'Old Report'!E:J,6,FALSE)),"")</f>
        <v/>
      </c>
      <c r="L1075" t="str">
        <f>IFERROR(IF(VLOOKUP(E:E,'Old Report'!E:L,8,FALSE)="","",VLOOKUP(E:E,'Old Report'!E:L,8,FALSE)),"")</f>
        <v/>
      </c>
      <c r="M1075" s="5" t="str">
        <f t="shared" si="83"/>
        <v/>
      </c>
      <c r="N1075" s="5" t="str">
        <f t="shared" si="84"/>
        <v/>
      </c>
    </row>
    <row r="1076" spans="1:14" x14ac:dyDescent="0.25">
      <c r="A1076" s="5">
        <v>1075</v>
      </c>
      <c r="B1076" s="5">
        <f t="shared" si="81"/>
        <v>0</v>
      </c>
      <c r="C1076" s="5" t="str">
        <f t="shared" si="80"/>
        <v/>
      </c>
      <c r="D1076" s="5" t="str">
        <f>IFERROR(IF(F1076&lt;&gt;"",F1076,VLOOKUP(MAX(C$2:C1076),A$2:F1076,2,FALSE)),"")</f>
        <v/>
      </c>
      <c r="E1076" s="5" t="str">
        <f t="shared" si="82"/>
        <v/>
      </c>
      <c r="K1076" t="str">
        <f>IFERROR(IF(VLOOKUP(E:E,'Old Report'!E:J,6,FALSE)="","",VLOOKUP(E:E,'Old Report'!E:J,6,FALSE)),"")</f>
        <v/>
      </c>
      <c r="L1076" t="str">
        <f>IFERROR(IF(VLOOKUP(E:E,'Old Report'!E:L,8,FALSE)="","",VLOOKUP(E:E,'Old Report'!E:L,8,FALSE)),"")</f>
        <v/>
      </c>
      <c r="M1076" s="5" t="str">
        <f t="shared" si="83"/>
        <v/>
      </c>
      <c r="N1076" s="5" t="str">
        <f t="shared" si="84"/>
        <v/>
      </c>
    </row>
    <row r="1077" spans="1:14" x14ac:dyDescent="0.25">
      <c r="A1077" s="5">
        <v>1076</v>
      </c>
      <c r="B1077" s="5">
        <f t="shared" si="81"/>
        <v>0</v>
      </c>
      <c r="C1077" s="5" t="str">
        <f t="shared" si="80"/>
        <v/>
      </c>
      <c r="D1077" s="5" t="str">
        <f>IFERROR(IF(F1077&lt;&gt;"",F1077,VLOOKUP(MAX(C$2:C1077),A$2:F1077,2,FALSE)),"")</f>
        <v/>
      </c>
      <c r="E1077" s="5" t="str">
        <f t="shared" si="82"/>
        <v/>
      </c>
      <c r="K1077" t="str">
        <f>IFERROR(IF(VLOOKUP(E:E,'Old Report'!E:J,6,FALSE)="","",VLOOKUP(E:E,'Old Report'!E:J,6,FALSE)),"")</f>
        <v/>
      </c>
      <c r="L1077" t="str">
        <f>IFERROR(IF(VLOOKUP(E:E,'Old Report'!E:L,8,FALSE)="","",VLOOKUP(E:E,'Old Report'!E:L,8,FALSE)),"")</f>
        <v/>
      </c>
      <c r="M1077" s="5" t="str">
        <f t="shared" si="83"/>
        <v/>
      </c>
      <c r="N1077" s="5" t="str">
        <f t="shared" si="84"/>
        <v/>
      </c>
    </row>
    <row r="1078" spans="1:14" x14ac:dyDescent="0.25">
      <c r="A1078" s="5">
        <v>1077</v>
      </c>
      <c r="B1078" s="5">
        <f t="shared" si="81"/>
        <v>0</v>
      </c>
      <c r="C1078" s="5" t="str">
        <f t="shared" si="80"/>
        <v/>
      </c>
      <c r="D1078" s="5" t="str">
        <f>IFERROR(IF(F1078&lt;&gt;"",F1078,VLOOKUP(MAX(C$2:C1078),A$2:F1078,2,FALSE)),"")</f>
        <v/>
      </c>
      <c r="E1078" s="5" t="str">
        <f t="shared" si="82"/>
        <v/>
      </c>
      <c r="K1078" t="str">
        <f>IFERROR(IF(VLOOKUP(E:E,'Old Report'!E:J,6,FALSE)="","",VLOOKUP(E:E,'Old Report'!E:J,6,FALSE)),"")</f>
        <v/>
      </c>
      <c r="L1078" t="str">
        <f>IFERROR(IF(VLOOKUP(E:E,'Old Report'!E:L,8,FALSE)="","",VLOOKUP(E:E,'Old Report'!E:L,8,FALSE)),"")</f>
        <v/>
      </c>
      <c r="M1078" s="5" t="str">
        <f t="shared" si="83"/>
        <v/>
      </c>
      <c r="N1078" s="5" t="str">
        <f t="shared" si="84"/>
        <v/>
      </c>
    </row>
    <row r="1079" spans="1:14" x14ac:dyDescent="0.25">
      <c r="A1079" s="5">
        <v>1078</v>
      </c>
      <c r="B1079" s="5">
        <f t="shared" si="81"/>
        <v>0</v>
      </c>
      <c r="C1079" s="5" t="str">
        <f t="shared" si="80"/>
        <v/>
      </c>
      <c r="D1079" s="5" t="str">
        <f>IFERROR(IF(F1079&lt;&gt;"",F1079,VLOOKUP(MAX(C$2:C1079),A$2:F1079,2,FALSE)),"")</f>
        <v/>
      </c>
      <c r="E1079" s="5" t="str">
        <f t="shared" si="82"/>
        <v/>
      </c>
      <c r="K1079" t="str">
        <f>IFERROR(IF(VLOOKUP(E:E,'Old Report'!E:J,6,FALSE)="","",VLOOKUP(E:E,'Old Report'!E:J,6,FALSE)),"")</f>
        <v/>
      </c>
      <c r="L1079" t="str">
        <f>IFERROR(IF(VLOOKUP(E:E,'Old Report'!E:L,8,FALSE)="","",VLOOKUP(E:E,'Old Report'!E:L,8,FALSE)),"")</f>
        <v/>
      </c>
      <c r="M1079" s="5" t="str">
        <f t="shared" si="83"/>
        <v/>
      </c>
      <c r="N1079" s="5" t="str">
        <f t="shared" si="84"/>
        <v/>
      </c>
    </row>
    <row r="1080" spans="1:14" x14ac:dyDescent="0.25">
      <c r="A1080" s="5">
        <v>1079</v>
      </c>
      <c r="B1080" s="5">
        <f t="shared" si="81"/>
        <v>0</v>
      </c>
      <c r="C1080" s="5" t="str">
        <f t="shared" si="80"/>
        <v/>
      </c>
      <c r="D1080" s="5" t="str">
        <f>IFERROR(IF(F1080&lt;&gt;"",F1080,VLOOKUP(MAX(C$2:C1080),A$2:F1080,2,FALSE)),"")</f>
        <v/>
      </c>
      <c r="E1080" s="5" t="str">
        <f t="shared" si="82"/>
        <v/>
      </c>
      <c r="K1080" t="str">
        <f>IFERROR(IF(VLOOKUP(E:E,'Old Report'!E:J,6,FALSE)="","",VLOOKUP(E:E,'Old Report'!E:J,6,FALSE)),"")</f>
        <v/>
      </c>
      <c r="L1080" t="str">
        <f>IFERROR(IF(VLOOKUP(E:E,'Old Report'!E:L,8,FALSE)="","",VLOOKUP(E:E,'Old Report'!E:L,8,FALSE)),"")</f>
        <v/>
      </c>
      <c r="M1080" s="5" t="str">
        <f t="shared" si="83"/>
        <v/>
      </c>
      <c r="N1080" s="5" t="str">
        <f t="shared" si="84"/>
        <v/>
      </c>
    </row>
    <row r="1081" spans="1:14" x14ac:dyDescent="0.25">
      <c r="A1081" s="5">
        <v>1080</v>
      </c>
      <c r="B1081" s="5">
        <f t="shared" si="81"/>
        <v>0</v>
      </c>
      <c r="C1081" s="5" t="str">
        <f t="shared" si="80"/>
        <v/>
      </c>
      <c r="D1081" s="5" t="str">
        <f>IFERROR(IF(F1081&lt;&gt;"",F1081,VLOOKUP(MAX(C$2:C1081),A$2:F1081,2,FALSE)),"")</f>
        <v/>
      </c>
      <c r="E1081" s="5" t="str">
        <f t="shared" si="82"/>
        <v/>
      </c>
      <c r="K1081" t="str">
        <f>IFERROR(IF(VLOOKUP(E:E,'Old Report'!E:J,6,FALSE)="","",VLOOKUP(E:E,'Old Report'!E:J,6,FALSE)),"")</f>
        <v/>
      </c>
      <c r="L1081" t="str">
        <f>IFERROR(IF(VLOOKUP(E:E,'Old Report'!E:L,8,FALSE)="","",VLOOKUP(E:E,'Old Report'!E:L,8,FALSE)),"")</f>
        <v/>
      </c>
      <c r="M1081" s="5" t="str">
        <f t="shared" si="83"/>
        <v/>
      </c>
      <c r="N1081" s="5" t="str">
        <f t="shared" si="84"/>
        <v/>
      </c>
    </row>
    <row r="1082" spans="1:14" x14ac:dyDescent="0.25">
      <c r="A1082" s="5">
        <v>1081</v>
      </c>
      <c r="B1082" s="5">
        <f t="shared" si="81"/>
        <v>0</v>
      </c>
      <c r="C1082" s="5" t="str">
        <f t="shared" si="80"/>
        <v/>
      </c>
      <c r="D1082" s="5" t="str">
        <f>IFERROR(IF(F1082&lt;&gt;"",F1082,VLOOKUP(MAX(C$2:C1082),A$2:F1082,2,FALSE)),"")</f>
        <v/>
      </c>
      <c r="E1082" s="5" t="str">
        <f t="shared" si="82"/>
        <v/>
      </c>
      <c r="K1082" t="str">
        <f>IFERROR(IF(VLOOKUP(E:E,'Old Report'!E:J,6,FALSE)="","",VLOOKUP(E:E,'Old Report'!E:J,6,FALSE)),"")</f>
        <v/>
      </c>
      <c r="L1082" t="str">
        <f>IFERROR(IF(VLOOKUP(E:E,'Old Report'!E:L,8,FALSE)="","",VLOOKUP(E:E,'Old Report'!E:L,8,FALSE)),"")</f>
        <v/>
      </c>
      <c r="M1082" s="5" t="str">
        <f t="shared" si="83"/>
        <v/>
      </c>
      <c r="N1082" s="5" t="str">
        <f t="shared" si="84"/>
        <v/>
      </c>
    </row>
    <row r="1083" spans="1:14" x14ac:dyDescent="0.25">
      <c r="A1083" s="5">
        <v>1082</v>
      </c>
      <c r="B1083" s="5">
        <f t="shared" si="81"/>
        <v>0</v>
      </c>
      <c r="C1083" s="5" t="str">
        <f t="shared" si="80"/>
        <v/>
      </c>
      <c r="D1083" s="5" t="str">
        <f>IFERROR(IF(F1083&lt;&gt;"",F1083,VLOOKUP(MAX(C$2:C1083),A$2:F1083,2,FALSE)),"")</f>
        <v/>
      </c>
      <c r="E1083" s="5" t="str">
        <f t="shared" si="82"/>
        <v/>
      </c>
      <c r="K1083" t="str">
        <f>IFERROR(IF(VLOOKUP(E:E,'Old Report'!E:J,6,FALSE)="","",VLOOKUP(E:E,'Old Report'!E:J,6,FALSE)),"")</f>
        <v/>
      </c>
      <c r="L1083" t="str">
        <f>IFERROR(IF(VLOOKUP(E:E,'Old Report'!E:L,8,FALSE)="","",VLOOKUP(E:E,'Old Report'!E:L,8,FALSE)),"")</f>
        <v/>
      </c>
      <c r="M1083" s="5" t="str">
        <f t="shared" si="83"/>
        <v/>
      </c>
      <c r="N1083" s="5" t="str">
        <f t="shared" si="84"/>
        <v/>
      </c>
    </row>
    <row r="1084" spans="1:14" x14ac:dyDescent="0.25">
      <c r="A1084" s="5">
        <v>1083</v>
      </c>
      <c r="B1084" s="5">
        <f t="shared" si="81"/>
        <v>0</v>
      </c>
      <c r="C1084" s="5" t="str">
        <f t="shared" si="80"/>
        <v/>
      </c>
      <c r="D1084" s="5" t="str">
        <f>IFERROR(IF(F1084&lt;&gt;"",F1084,VLOOKUP(MAX(C$2:C1084),A$2:F1084,2,FALSE)),"")</f>
        <v/>
      </c>
      <c r="E1084" s="5" t="str">
        <f t="shared" si="82"/>
        <v/>
      </c>
      <c r="K1084" t="str">
        <f>IFERROR(IF(VLOOKUP(E:E,'Old Report'!E:J,6,FALSE)="","",VLOOKUP(E:E,'Old Report'!E:J,6,FALSE)),"")</f>
        <v/>
      </c>
      <c r="L1084" t="str">
        <f>IFERROR(IF(VLOOKUP(E:E,'Old Report'!E:L,8,FALSE)="","",VLOOKUP(E:E,'Old Report'!E:L,8,FALSE)),"")</f>
        <v/>
      </c>
      <c r="M1084" s="5" t="str">
        <f t="shared" si="83"/>
        <v/>
      </c>
      <c r="N1084" s="5" t="str">
        <f t="shared" si="84"/>
        <v/>
      </c>
    </row>
    <row r="1085" spans="1:14" x14ac:dyDescent="0.25">
      <c r="A1085" s="5">
        <v>1084</v>
      </c>
      <c r="B1085" s="5">
        <f t="shared" si="81"/>
        <v>0</v>
      </c>
      <c r="C1085" s="5" t="str">
        <f t="shared" si="80"/>
        <v/>
      </c>
      <c r="D1085" s="5" t="str">
        <f>IFERROR(IF(F1085&lt;&gt;"",F1085,VLOOKUP(MAX(C$2:C1085),A$2:F1085,2,FALSE)),"")</f>
        <v/>
      </c>
      <c r="E1085" s="5" t="str">
        <f t="shared" si="82"/>
        <v/>
      </c>
      <c r="K1085" t="str">
        <f>IFERROR(IF(VLOOKUP(E:E,'Old Report'!E:J,6,FALSE)="","",VLOOKUP(E:E,'Old Report'!E:J,6,FALSE)),"")</f>
        <v/>
      </c>
      <c r="L1085" t="str">
        <f>IFERROR(IF(VLOOKUP(E:E,'Old Report'!E:L,8,FALSE)="","",VLOOKUP(E:E,'Old Report'!E:L,8,FALSE)),"")</f>
        <v/>
      </c>
      <c r="M1085" s="5" t="str">
        <f t="shared" si="83"/>
        <v/>
      </c>
      <c r="N1085" s="5" t="str">
        <f t="shared" si="84"/>
        <v/>
      </c>
    </row>
    <row r="1086" spans="1:14" x14ac:dyDescent="0.25">
      <c r="A1086" s="5">
        <v>1085</v>
      </c>
      <c r="B1086" s="5">
        <f t="shared" si="81"/>
        <v>0</v>
      </c>
      <c r="C1086" s="5" t="str">
        <f t="shared" si="80"/>
        <v/>
      </c>
      <c r="D1086" s="5" t="str">
        <f>IFERROR(IF(F1086&lt;&gt;"",F1086,VLOOKUP(MAX(C$2:C1086),A$2:F1086,2,FALSE)),"")</f>
        <v/>
      </c>
      <c r="E1086" s="5" t="str">
        <f t="shared" si="82"/>
        <v/>
      </c>
      <c r="K1086" t="str">
        <f>IFERROR(IF(VLOOKUP(E:E,'Old Report'!E:J,6,FALSE)="","",VLOOKUP(E:E,'Old Report'!E:J,6,FALSE)),"")</f>
        <v/>
      </c>
      <c r="L1086" t="str">
        <f>IFERROR(IF(VLOOKUP(E:E,'Old Report'!E:L,8,FALSE)="","",VLOOKUP(E:E,'Old Report'!E:L,8,FALSE)),"")</f>
        <v/>
      </c>
      <c r="M1086" s="5" t="str">
        <f t="shared" si="83"/>
        <v/>
      </c>
      <c r="N1086" s="5" t="str">
        <f t="shared" si="84"/>
        <v/>
      </c>
    </row>
    <row r="1087" spans="1:14" x14ac:dyDescent="0.25">
      <c r="A1087" s="5">
        <v>1086</v>
      </c>
      <c r="B1087" s="5">
        <f t="shared" si="81"/>
        <v>0</v>
      </c>
      <c r="C1087" s="5" t="str">
        <f t="shared" si="80"/>
        <v/>
      </c>
      <c r="D1087" s="5" t="str">
        <f>IFERROR(IF(F1087&lt;&gt;"",F1087,VLOOKUP(MAX(C$2:C1087),A$2:F1087,2,FALSE)),"")</f>
        <v/>
      </c>
      <c r="E1087" s="5" t="str">
        <f t="shared" si="82"/>
        <v/>
      </c>
      <c r="K1087" t="str">
        <f>IFERROR(IF(VLOOKUP(E:E,'Old Report'!E:J,6,FALSE)="","",VLOOKUP(E:E,'Old Report'!E:J,6,FALSE)),"")</f>
        <v/>
      </c>
      <c r="L1087" t="str">
        <f>IFERROR(IF(VLOOKUP(E:E,'Old Report'!E:L,8,FALSE)="","",VLOOKUP(E:E,'Old Report'!E:L,8,FALSE)),"")</f>
        <v/>
      </c>
      <c r="M1087" s="5" t="str">
        <f t="shared" si="83"/>
        <v/>
      </c>
      <c r="N1087" s="5" t="str">
        <f t="shared" si="84"/>
        <v/>
      </c>
    </row>
    <row r="1088" spans="1:14" x14ac:dyDescent="0.25">
      <c r="A1088" s="5">
        <v>1087</v>
      </c>
      <c r="B1088" s="5">
        <f t="shared" si="81"/>
        <v>0</v>
      </c>
      <c r="C1088" s="5" t="str">
        <f t="shared" si="80"/>
        <v/>
      </c>
      <c r="D1088" s="5" t="str">
        <f>IFERROR(IF(F1088&lt;&gt;"",F1088,VLOOKUP(MAX(C$2:C1088),A$2:F1088,2,FALSE)),"")</f>
        <v/>
      </c>
      <c r="E1088" s="5" t="str">
        <f t="shared" si="82"/>
        <v/>
      </c>
      <c r="K1088" t="str">
        <f>IFERROR(IF(VLOOKUP(E:E,'Old Report'!E:J,6,FALSE)="","",VLOOKUP(E:E,'Old Report'!E:J,6,FALSE)),"")</f>
        <v/>
      </c>
      <c r="L1088" t="str">
        <f>IFERROR(IF(VLOOKUP(E:E,'Old Report'!E:L,8,FALSE)="","",VLOOKUP(E:E,'Old Report'!E:L,8,FALSE)),"")</f>
        <v/>
      </c>
      <c r="M1088" s="5" t="str">
        <f t="shared" si="83"/>
        <v/>
      </c>
      <c r="N1088" s="5" t="str">
        <f t="shared" si="84"/>
        <v/>
      </c>
    </row>
    <row r="1089" spans="1:14" x14ac:dyDescent="0.25">
      <c r="A1089" s="5">
        <v>1088</v>
      </c>
      <c r="B1089" s="5">
        <f t="shared" si="81"/>
        <v>0</v>
      </c>
      <c r="C1089" s="5" t="str">
        <f t="shared" si="80"/>
        <v/>
      </c>
      <c r="D1089" s="5" t="str">
        <f>IFERROR(IF(F1089&lt;&gt;"",F1089,VLOOKUP(MAX(C$2:C1089),A$2:F1089,2,FALSE)),"")</f>
        <v/>
      </c>
      <c r="E1089" s="5" t="str">
        <f t="shared" si="82"/>
        <v/>
      </c>
      <c r="K1089" t="str">
        <f>IFERROR(IF(VLOOKUP(E:E,'Old Report'!E:J,6,FALSE)="","",VLOOKUP(E:E,'Old Report'!E:J,6,FALSE)),"")</f>
        <v/>
      </c>
      <c r="L1089" t="str">
        <f>IFERROR(IF(VLOOKUP(E:E,'Old Report'!E:L,8,FALSE)="","",VLOOKUP(E:E,'Old Report'!E:L,8,FALSE)),"")</f>
        <v/>
      </c>
      <c r="M1089" s="5" t="str">
        <f t="shared" si="83"/>
        <v/>
      </c>
      <c r="N1089" s="5" t="str">
        <f t="shared" si="84"/>
        <v/>
      </c>
    </row>
    <row r="1090" spans="1:14" x14ac:dyDescent="0.25">
      <c r="A1090" s="5">
        <v>1089</v>
      </c>
      <c r="B1090" s="5">
        <f t="shared" si="81"/>
        <v>0</v>
      </c>
      <c r="C1090" s="5" t="str">
        <f t="shared" ref="C1090:C1153" si="85">IF(F1090&lt;&gt;"",A1090,"")</f>
        <v/>
      </c>
      <c r="D1090" s="5" t="str">
        <f>IFERROR(IF(F1090&lt;&gt;"",F1090,VLOOKUP(MAX(C$2:C1090),A$2:F1090,2,FALSE)),"")</f>
        <v/>
      </c>
      <c r="E1090" s="5" t="str">
        <f t="shared" si="82"/>
        <v/>
      </c>
      <c r="K1090" t="str">
        <f>IFERROR(IF(VLOOKUP(E:E,'Old Report'!E:J,6,FALSE)="","",VLOOKUP(E:E,'Old Report'!E:J,6,FALSE)),"")</f>
        <v/>
      </c>
      <c r="L1090" t="str">
        <f>IFERROR(IF(VLOOKUP(E:E,'Old Report'!E:L,8,FALSE)="","",VLOOKUP(E:E,'Old Report'!E:L,8,FALSE)),"")</f>
        <v/>
      </c>
      <c r="M1090" s="5" t="str">
        <f t="shared" si="83"/>
        <v/>
      </c>
      <c r="N1090" s="5" t="str">
        <f t="shared" si="84"/>
        <v/>
      </c>
    </row>
    <row r="1091" spans="1:14" x14ac:dyDescent="0.25">
      <c r="A1091" s="5">
        <v>1090</v>
      </c>
      <c r="B1091" s="5">
        <f t="shared" ref="B1091:B1154" si="86">IF(F1092&lt;&gt;"",F1092,F1091)</f>
        <v>0</v>
      </c>
      <c r="C1091" s="5" t="str">
        <f t="shared" si="85"/>
        <v/>
      </c>
      <c r="D1091" s="5" t="str">
        <f>IFERROR(IF(F1091&lt;&gt;"",F1091,VLOOKUP(MAX(C$2:C1091),A$2:F1091,2,FALSE)),"")</f>
        <v/>
      </c>
      <c r="E1091" s="5" t="str">
        <f t="shared" ref="E1091:E1154" si="87">IF(H1091&lt;&gt;"",CONCATENATE(D1091,".",H1091),"")</f>
        <v/>
      </c>
      <c r="K1091" t="str">
        <f>IFERROR(IF(VLOOKUP(E:E,'Old Report'!E:J,6,FALSE)="","",VLOOKUP(E:E,'Old Report'!E:J,6,FALSE)),"")</f>
        <v/>
      </c>
      <c r="L1091" t="str">
        <f>IFERROR(IF(VLOOKUP(E:E,'Old Report'!E:L,8,FALSE)="","",VLOOKUP(E:E,'Old Report'!E:L,8,FALSE)),"")</f>
        <v/>
      </c>
      <c r="M1091" s="5" t="str">
        <f t="shared" si="83"/>
        <v/>
      </c>
      <c r="N1091" s="5" t="str">
        <f t="shared" si="84"/>
        <v/>
      </c>
    </row>
    <row r="1092" spans="1:14" x14ac:dyDescent="0.25">
      <c r="A1092" s="5">
        <v>1091</v>
      </c>
      <c r="B1092" s="5">
        <f t="shared" si="86"/>
        <v>0</v>
      </c>
      <c r="C1092" s="5" t="str">
        <f t="shared" si="85"/>
        <v/>
      </c>
      <c r="D1092" s="5" t="str">
        <f>IFERROR(IF(F1092&lt;&gt;"",F1092,VLOOKUP(MAX(C$2:C1092),A$2:F1092,2,FALSE)),"")</f>
        <v/>
      </c>
      <c r="E1092" s="5" t="str">
        <f t="shared" si="87"/>
        <v/>
      </c>
      <c r="K1092" t="str">
        <f>IFERROR(IF(VLOOKUP(E:E,'Old Report'!E:J,6,FALSE)="","",VLOOKUP(E:E,'Old Report'!E:J,6,FALSE)),"")</f>
        <v/>
      </c>
      <c r="L1092" t="str">
        <f>IFERROR(IF(VLOOKUP(E:E,'Old Report'!E:L,8,FALSE)="","",VLOOKUP(E:E,'Old Report'!E:L,8,FALSE)),"")</f>
        <v/>
      </c>
      <c r="M1092" s="5" t="str">
        <f t="shared" ref="M1092:M1155" si="88">IFERROR(L1092,"")</f>
        <v/>
      </c>
      <c r="N1092" s="5" t="str">
        <f t="shared" ref="N1092:N1155" si="89">IFERROR( IF(J1092&lt;&gt;"",IF(K1092 &lt;&gt; "",IF(J1092 = K1092,"No Change",IF(J1092 &lt; K1092,CONCATENATE("Issues reduced from ",K1092," to ",J1092),IF(J1092&gt;K1092,CONCATENATE("Issues increased from ",K1092," to ",J1092),""))),"New issue - needs to be checked"),""),"")</f>
        <v/>
      </c>
    </row>
    <row r="1093" spans="1:14" x14ac:dyDescent="0.25">
      <c r="A1093" s="5">
        <v>1092</v>
      </c>
      <c r="B1093" s="5">
        <f t="shared" si="86"/>
        <v>0</v>
      </c>
      <c r="C1093" s="5" t="str">
        <f t="shared" si="85"/>
        <v/>
      </c>
      <c r="D1093" s="5" t="str">
        <f>IFERROR(IF(F1093&lt;&gt;"",F1093,VLOOKUP(MAX(C$2:C1093),A$2:F1093,2,FALSE)),"")</f>
        <v/>
      </c>
      <c r="E1093" s="5" t="str">
        <f t="shared" si="87"/>
        <v/>
      </c>
      <c r="K1093" t="str">
        <f>IFERROR(IF(VLOOKUP(E:E,'Old Report'!E:J,6,FALSE)="","",VLOOKUP(E:E,'Old Report'!E:J,6,FALSE)),"")</f>
        <v/>
      </c>
      <c r="L1093" t="str">
        <f>IFERROR(IF(VLOOKUP(E:E,'Old Report'!E:L,8,FALSE)="","",VLOOKUP(E:E,'Old Report'!E:L,8,FALSE)),"")</f>
        <v/>
      </c>
      <c r="M1093" s="5" t="str">
        <f t="shared" si="88"/>
        <v/>
      </c>
      <c r="N1093" s="5" t="str">
        <f t="shared" si="89"/>
        <v/>
      </c>
    </row>
    <row r="1094" spans="1:14" x14ac:dyDescent="0.25">
      <c r="A1094" s="5">
        <v>1093</v>
      </c>
      <c r="B1094" s="5">
        <f t="shared" si="86"/>
        <v>0</v>
      </c>
      <c r="C1094" s="5" t="str">
        <f t="shared" si="85"/>
        <v/>
      </c>
      <c r="D1094" s="5" t="str">
        <f>IFERROR(IF(F1094&lt;&gt;"",F1094,VLOOKUP(MAX(C$2:C1094),A$2:F1094,2,FALSE)),"")</f>
        <v/>
      </c>
      <c r="E1094" s="5" t="str">
        <f t="shared" si="87"/>
        <v/>
      </c>
      <c r="K1094" t="str">
        <f>IFERROR(IF(VLOOKUP(E:E,'Old Report'!E:J,6,FALSE)="","",VLOOKUP(E:E,'Old Report'!E:J,6,FALSE)),"")</f>
        <v/>
      </c>
      <c r="L1094" t="str">
        <f>IFERROR(IF(VLOOKUP(E:E,'Old Report'!E:L,8,FALSE)="","",VLOOKUP(E:E,'Old Report'!E:L,8,FALSE)),"")</f>
        <v/>
      </c>
      <c r="M1094" s="5" t="str">
        <f t="shared" si="88"/>
        <v/>
      </c>
      <c r="N1094" s="5" t="str">
        <f t="shared" si="89"/>
        <v/>
      </c>
    </row>
    <row r="1095" spans="1:14" x14ac:dyDescent="0.25">
      <c r="A1095" s="5">
        <v>1094</v>
      </c>
      <c r="B1095" s="5">
        <f t="shared" si="86"/>
        <v>0</v>
      </c>
      <c r="C1095" s="5" t="str">
        <f t="shared" si="85"/>
        <v/>
      </c>
      <c r="D1095" s="5" t="str">
        <f>IFERROR(IF(F1095&lt;&gt;"",F1095,VLOOKUP(MAX(C$2:C1095),A$2:F1095,2,FALSE)),"")</f>
        <v/>
      </c>
      <c r="E1095" s="5" t="str">
        <f t="shared" si="87"/>
        <v/>
      </c>
      <c r="K1095" t="str">
        <f>IFERROR(IF(VLOOKUP(E:E,'Old Report'!E:J,6,FALSE)="","",VLOOKUP(E:E,'Old Report'!E:J,6,FALSE)),"")</f>
        <v/>
      </c>
      <c r="L1095" t="str">
        <f>IFERROR(IF(VLOOKUP(E:E,'Old Report'!E:L,8,FALSE)="","",VLOOKUP(E:E,'Old Report'!E:L,8,FALSE)),"")</f>
        <v/>
      </c>
      <c r="M1095" s="5" t="str">
        <f t="shared" si="88"/>
        <v/>
      </c>
      <c r="N1095" s="5" t="str">
        <f t="shared" si="89"/>
        <v/>
      </c>
    </row>
    <row r="1096" spans="1:14" x14ac:dyDescent="0.25">
      <c r="A1096" s="5">
        <v>1095</v>
      </c>
      <c r="B1096" s="5">
        <f t="shared" si="86"/>
        <v>0</v>
      </c>
      <c r="C1096" s="5" t="str">
        <f t="shared" si="85"/>
        <v/>
      </c>
      <c r="D1096" s="5" t="str">
        <f>IFERROR(IF(F1096&lt;&gt;"",F1096,VLOOKUP(MAX(C$2:C1096),A$2:F1096,2,FALSE)),"")</f>
        <v/>
      </c>
      <c r="E1096" s="5" t="str">
        <f t="shared" si="87"/>
        <v/>
      </c>
      <c r="K1096" t="str">
        <f>IFERROR(IF(VLOOKUP(E:E,'Old Report'!E:J,6,FALSE)="","",VLOOKUP(E:E,'Old Report'!E:J,6,FALSE)),"")</f>
        <v/>
      </c>
      <c r="L1096" t="str">
        <f>IFERROR(IF(VLOOKUP(E:E,'Old Report'!E:L,8,FALSE)="","",VLOOKUP(E:E,'Old Report'!E:L,8,FALSE)),"")</f>
        <v/>
      </c>
      <c r="M1096" s="5" t="str">
        <f t="shared" si="88"/>
        <v/>
      </c>
      <c r="N1096" s="5" t="str">
        <f t="shared" si="89"/>
        <v/>
      </c>
    </row>
    <row r="1097" spans="1:14" x14ac:dyDescent="0.25">
      <c r="A1097" s="5">
        <v>1096</v>
      </c>
      <c r="B1097" s="5">
        <f t="shared" si="86"/>
        <v>0</v>
      </c>
      <c r="C1097" s="5" t="str">
        <f t="shared" si="85"/>
        <v/>
      </c>
      <c r="D1097" s="5" t="str">
        <f>IFERROR(IF(F1097&lt;&gt;"",F1097,VLOOKUP(MAX(C$2:C1097),A$2:F1097,2,FALSE)),"")</f>
        <v/>
      </c>
      <c r="E1097" s="5" t="str">
        <f t="shared" si="87"/>
        <v/>
      </c>
      <c r="K1097" t="str">
        <f>IFERROR(IF(VLOOKUP(E:E,'Old Report'!E:J,6,FALSE)="","",VLOOKUP(E:E,'Old Report'!E:J,6,FALSE)),"")</f>
        <v/>
      </c>
      <c r="L1097" t="str">
        <f>IFERROR(IF(VLOOKUP(E:E,'Old Report'!E:L,8,FALSE)="","",VLOOKUP(E:E,'Old Report'!E:L,8,FALSE)),"")</f>
        <v/>
      </c>
      <c r="M1097" s="5" t="str">
        <f t="shared" si="88"/>
        <v/>
      </c>
      <c r="N1097" s="5" t="str">
        <f t="shared" si="89"/>
        <v/>
      </c>
    </row>
    <row r="1098" spans="1:14" x14ac:dyDescent="0.25">
      <c r="A1098" s="5">
        <v>1097</v>
      </c>
      <c r="B1098" s="5">
        <f t="shared" si="86"/>
        <v>0</v>
      </c>
      <c r="C1098" s="5" t="str">
        <f t="shared" si="85"/>
        <v/>
      </c>
      <c r="D1098" s="5" t="str">
        <f>IFERROR(IF(F1098&lt;&gt;"",F1098,VLOOKUP(MAX(C$2:C1098),A$2:F1098,2,FALSE)),"")</f>
        <v/>
      </c>
      <c r="E1098" s="5" t="str">
        <f t="shared" si="87"/>
        <v/>
      </c>
      <c r="K1098" t="str">
        <f>IFERROR(IF(VLOOKUP(E:E,'Old Report'!E:J,6,FALSE)="","",VLOOKUP(E:E,'Old Report'!E:J,6,FALSE)),"")</f>
        <v/>
      </c>
      <c r="L1098" t="str">
        <f>IFERROR(IF(VLOOKUP(E:E,'Old Report'!E:L,8,FALSE)="","",VLOOKUP(E:E,'Old Report'!E:L,8,FALSE)),"")</f>
        <v/>
      </c>
      <c r="M1098" s="5" t="str">
        <f t="shared" si="88"/>
        <v/>
      </c>
      <c r="N1098" s="5" t="str">
        <f t="shared" si="89"/>
        <v/>
      </c>
    </row>
    <row r="1099" spans="1:14" x14ac:dyDescent="0.25">
      <c r="A1099" s="5">
        <v>1098</v>
      </c>
      <c r="B1099" s="5">
        <f t="shared" si="86"/>
        <v>0</v>
      </c>
      <c r="C1099" s="5" t="str">
        <f t="shared" si="85"/>
        <v/>
      </c>
      <c r="D1099" s="5" t="str">
        <f>IFERROR(IF(F1099&lt;&gt;"",F1099,VLOOKUP(MAX(C$2:C1099),A$2:F1099,2,FALSE)),"")</f>
        <v/>
      </c>
      <c r="E1099" s="5" t="str">
        <f t="shared" si="87"/>
        <v/>
      </c>
      <c r="K1099" t="str">
        <f>IFERROR(IF(VLOOKUP(E:E,'Old Report'!E:J,6,FALSE)="","",VLOOKUP(E:E,'Old Report'!E:J,6,FALSE)),"")</f>
        <v/>
      </c>
      <c r="L1099" t="str">
        <f>IFERROR(IF(VLOOKUP(E:E,'Old Report'!E:L,8,FALSE)="","",VLOOKUP(E:E,'Old Report'!E:L,8,FALSE)),"")</f>
        <v/>
      </c>
      <c r="M1099" s="5" t="str">
        <f t="shared" si="88"/>
        <v/>
      </c>
      <c r="N1099" s="5" t="str">
        <f t="shared" si="89"/>
        <v/>
      </c>
    </row>
    <row r="1100" spans="1:14" x14ac:dyDescent="0.25">
      <c r="A1100" s="5">
        <v>1099</v>
      </c>
      <c r="B1100" s="5">
        <f t="shared" si="86"/>
        <v>0</v>
      </c>
      <c r="C1100" s="5" t="str">
        <f t="shared" si="85"/>
        <v/>
      </c>
      <c r="D1100" s="5" t="str">
        <f>IFERROR(IF(F1100&lt;&gt;"",F1100,VLOOKUP(MAX(C$2:C1100),A$2:F1100,2,FALSE)),"")</f>
        <v/>
      </c>
      <c r="E1100" s="5" t="str">
        <f t="shared" si="87"/>
        <v/>
      </c>
      <c r="K1100" t="str">
        <f>IFERROR(IF(VLOOKUP(E:E,'Old Report'!E:J,6,FALSE)="","",VLOOKUP(E:E,'Old Report'!E:J,6,FALSE)),"")</f>
        <v/>
      </c>
      <c r="L1100" t="str">
        <f>IFERROR(IF(VLOOKUP(E:E,'Old Report'!E:L,8,FALSE)="","",VLOOKUP(E:E,'Old Report'!E:L,8,FALSE)),"")</f>
        <v/>
      </c>
      <c r="M1100" s="5" t="str">
        <f t="shared" si="88"/>
        <v/>
      </c>
      <c r="N1100" s="5" t="str">
        <f t="shared" si="89"/>
        <v/>
      </c>
    </row>
    <row r="1101" spans="1:14" x14ac:dyDescent="0.25">
      <c r="A1101" s="5">
        <v>1100</v>
      </c>
      <c r="B1101" s="5">
        <f t="shared" si="86"/>
        <v>0</v>
      </c>
      <c r="C1101" s="5" t="str">
        <f t="shared" si="85"/>
        <v/>
      </c>
      <c r="D1101" s="5" t="str">
        <f>IFERROR(IF(F1101&lt;&gt;"",F1101,VLOOKUP(MAX(C$2:C1101),A$2:F1101,2,FALSE)),"")</f>
        <v/>
      </c>
      <c r="E1101" s="5" t="str">
        <f t="shared" si="87"/>
        <v/>
      </c>
      <c r="K1101" t="str">
        <f>IFERROR(IF(VLOOKUP(E:E,'Old Report'!E:J,6,FALSE)="","",VLOOKUP(E:E,'Old Report'!E:J,6,FALSE)),"")</f>
        <v/>
      </c>
      <c r="L1101" t="str">
        <f>IFERROR(IF(VLOOKUP(E:E,'Old Report'!E:L,8,FALSE)="","",VLOOKUP(E:E,'Old Report'!E:L,8,FALSE)),"")</f>
        <v/>
      </c>
      <c r="M1101" s="5" t="str">
        <f t="shared" si="88"/>
        <v/>
      </c>
      <c r="N1101" s="5" t="str">
        <f t="shared" si="89"/>
        <v/>
      </c>
    </row>
    <row r="1102" spans="1:14" x14ac:dyDescent="0.25">
      <c r="A1102" s="5">
        <v>1101</v>
      </c>
      <c r="B1102" s="5">
        <f t="shared" si="86"/>
        <v>0</v>
      </c>
      <c r="C1102" s="5" t="str">
        <f t="shared" si="85"/>
        <v/>
      </c>
      <c r="D1102" s="5" t="str">
        <f>IFERROR(IF(F1102&lt;&gt;"",F1102,VLOOKUP(MAX(C$2:C1102),A$2:F1102,2,FALSE)),"")</f>
        <v/>
      </c>
      <c r="E1102" s="5" t="str">
        <f t="shared" si="87"/>
        <v/>
      </c>
      <c r="K1102" t="str">
        <f>IFERROR(IF(VLOOKUP(E:E,'Old Report'!E:J,6,FALSE)="","",VLOOKUP(E:E,'Old Report'!E:J,6,FALSE)),"")</f>
        <v/>
      </c>
      <c r="L1102" t="str">
        <f>IFERROR(IF(VLOOKUP(E:E,'Old Report'!E:L,8,FALSE)="","",VLOOKUP(E:E,'Old Report'!E:L,8,FALSE)),"")</f>
        <v/>
      </c>
      <c r="M1102" s="5" t="str">
        <f t="shared" si="88"/>
        <v/>
      </c>
      <c r="N1102" s="5" t="str">
        <f t="shared" si="89"/>
        <v/>
      </c>
    </row>
    <row r="1103" spans="1:14" x14ac:dyDescent="0.25">
      <c r="A1103" s="5">
        <v>1102</v>
      </c>
      <c r="B1103" s="5">
        <f t="shared" si="86"/>
        <v>0</v>
      </c>
      <c r="C1103" s="5" t="str">
        <f t="shared" si="85"/>
        <v/>
      </c>
      <c r="D1103" s="5" t="str">
        <f>IFERROR(IF(F1103&lt;&gt;"",F1103,VLOOKUP(MAX(C$2:C1103),A$2:F1103,2,FALSE)),"")</f>
        <v/>
      </c>
      <c r="E1103" s="5" t="str">
        <f t="shared" si="87"/>
        <v/>
      </c>
      <c r="K1103" t="str">
        <f>IFERROR(IF(VLOOKUP(E:E,'Old Report'!E:J,6,FALSE)="","",VLOOKUP(E:E,'Old Report'!E:J,6,FALSE)),"")</f>
        <v/>
      </c>
      <c r="L1103" t="str">
        <f>IFERROR(IF(VLOOKUP(E:E,'Old Report'!E:L,8,FALSE)="","",VLOOKUP(E:E,'Old Report'!E:L,8,FALSE)),"")</f>
        <v/>
      </c>
      <c r="M1103" s="5" t="str">
        <f t="shared" si="88"/>
        <v/>
      </c>
      <c r="N1103" s="5" t="str">
        <f t="shared" si="89"/>
        <v/>
      </c>
    </row>
    <row r="1104" spans="1:14" x14ac:dyDescent="0.25">
      <c r="A1104" s="5">
        <v>1103</v>
      </c>
      <c r="B1104" s="5">
        <f t="shared" si="86"/>
        <v>0</v>
      </c>
      <c r="C1104" s="5" t="str">
        <f t="shared" si="85"/>
        <v/>
      </c>
      <c r="D1104" s="5" t="str">
        <f>IFERROR(IF(F1104&lt;&gt;"",F1104,VLOOKUP(MAX(C$2:C1104),A$2:F1104,2,FALSE)),"")</f>
        <v/>
      </c>
      <c r="E1104" s="5" t="str">
        <f t="shared" si="87"/>
        <v/>
      </c>
      <c r="K1104" t="str">
        <f>IFERROR(IF(VLOOKUP(E:E,'Old Report'!E:J,6,FALSE)="","",VLOOKUP(E:E,'Old Report'!E:J,6,FALSE)),"")</f>
        <v/>
      </c>
      <c r="L1104" t="str">
        <f>IFERROR(IF(VLOOKUP(E:E,'Old Report'!E:L,8,FALSE)="","",VLOOKUP(E:E,'Old Report'!E:L,8,FALSE)),"")</f>
        <v/>
      </c>
      <c r="M1104" s="5" t="str">
        <f t="shared" si="88"/>
        <v/>
      </c>
      <c r="N1104" s="5" t="str">
        <f t="shared" si="89"/>
        <v/>
      </c>
    </row>
    <row r="1105" spans="1:14" x14ac:dyDescent="0.25">
      <c r="A1105" s="5">
        <v>1104</v>
      </c>
      <c r="B1105" s="5">
        <f t="shared" si="86"/>
        <v>0</v>
      </c>
      <c r="C1105" s="5" t="str">
        <f t="shared" si="85"/>
        <v/>
      </c>
      <c r="D1105" s="5" t="str">
        <f>IFERROR(IF(F1105&lt;&gt;"",F1105,VLOOKUP(MAX(C$2:C1105),A$2:F1105,2,FALSE)),"")</f>
        <v/>
      </c>
      <c r="E1105" s="5" t="str">
        <f t="shared" si="87"/>
        <v/>
      </c>
      <c r="K1105" t="str">
        <f>IFERROR(IF(VLOOKUP(E:E,'Old Report'!E:J,6,FALSE)="","",VLOOKUP(E:E,'Old Report'!E:J,6,FALSE)),"")</f>
        <v/>
      </c>
      <c r="L1105" t="str">
        <f>IFERROR(IF(VLOOKUP(E:E,'Old Report'!E:L,8,FALSE)="","",VLOOKUP(E:E,'Old Report'!E:L,8,FALSE)),"")</f>
        <v/>
      </c>
      <c r="M1105" s="5" t="str">
        <f t="shared" si="88"/>
        <v/>
      </c>
      <c r="N1105" s="5" t="str">
        <f t="shared" si="89"/>
        <v/>
      </c>
    </row>
    <row r="1106" spans="1:14" x14ac:dyDescent="0.25">
      <c r="A1106" s="5">
        <v>1105</v>
      </c>
      <c r="B1106" s="5">
        <f t="shared" si="86"/>
        <v>0</v>
      </c>
      <c r="C1106" s="5" t="str">
        <f t="shared" si="85"/>
        <v/>
      </c>
      <c r="D1106" s="5" t="str">
        <f>IFERROR(IF(F1106&lt;&gt;"",F1106,VLOOKUP(MAX(C$2:C1106),A$2:F1106,2,FALSE)),"")</f>
        <v/>
      </c>
      <c r="E1106" s="5" t="str">
        <f t="shared" si="87"/>
        <v/>
      </c>
      <c r="K1106" t="str">
        <f>IFERROR(IF(VLOOKUP(E:E,'Old Report'!E:J,6,FALSE)="","",VLOOKUP(E:E,'Old Report'!E:J,6,FALSE)),"")</f>
        <v/>
      </c>
      <c r="L1106" t="str">
        <f>IFERROR(IF(VLOOKUP(E:E,'Old Report'!E:L,8,FALSE)="","",VLOOKUP(E:E,'Old Report'!E:L,8,FALSE)),"")</f>
        <v/>
      </c>
      <c r="M1106" s="5" t="str">
        <f t="shared" si="88"/>
        <v/>
      </c>
      <c r="N1106" s="5" t="str">
        <f t="shared" si="89"/>
        <v/>
      </c>
    </row>
    <row r="1107" spans="1:14" x14ac:dyDescent="0.25">
      <c r="A1107" s="5">
        <v>1106</v>
      </c>
      <c r="B1107" s="5">
        <f t="shared" si="86"/>
        <v>0</v>
      </c>
      <c r="C1107" s="5" t="str">
        <f t="shared" si="85"/>
        <v/>
      </c>
      <c r="D1107" s="5" t="str">
        <f>IFERROR(IF(F1107&lt;&gt;"",F1107,VLOOKUP(MAX(C$2:C1107),A$2:F1107,2,FALSE)),"")</f>
        <v/>
      </c>
      <c r="E1107" s="5" t="str">
        <f t="shared" si="87"/>
        <v/>
      </c>
      <c r="K1107" t="str">
        <f>IFERROR(IF(VLOOKUP(E:E,'Old Report'!E:J,6,FALSE)="","",VLOOKUP(E:E,'Old Report'!E:J,6,FALSE)),"")</f>
        <v/>
      </c>
      <c r="L1107" t="str">
        <f>IFERROR(IF(VLOOKUP(E:E,'Old Report'!E:L,8,FALSE)="","",VLOOKUP(E:E,'Old Report'!E:L,8,FALSE)),"")</f>
        <v/>
      </c>
      <c r="M1107" s="5" t="str">
        <f t="shared" si="88"/>
        <v/>
      </c>
      <c r="N1107" s="5" t="str">
        <f t="shared" si="89"/>
        <v/>
      </c>
    </row>
    <row r="1108" spans="1:14" x14ac:dyDescent="0.25">
      <c r="A1108" s="5">
        <v>1107</v>
      </c>
      <c r="B1108" s="5">
        <f t="shared" si="86"/>
        <v>0</v>
      </c>
      <c r="C1108" s="5" t="str">
        <f t="shared" si="85"/>
        <v/>
      </c>
      <c r="D1108" s="5" t="str">
        <f>IFERROR(IF(F1108&lt;&gt;"",F1108,VLOOKUP(MAX(C$2:C1108),A$2:F1108,2,FALSE)),"")</f>
        <v/>
      </c>
      <c r="E1108" s="5" t="str">
        <f t="shared" si="87"/>
        <v/>
      </c>
      <c r="K1108" t="str">
        <f>IFERROR(IF(VLOOKUP(E:E,'Old Report'!E:J,6,FALSE)="","",VLOOKUP(E:E,'Old Report'!E:J,6,FALSE)),"")</f>
        <v/>
      </c>
      <c r="L1108" t="str">
        <f>IFERROR(IF(VLOOKUP(E:E,'Old Report'!E:L,8,FALSE)="","",VLOOKUP(E:E,'Old Report'!E:L,8,FALSE)),"")</f>
        <v/>
      </c>
      <c r="M1108" s="5" t="str">
        <f t="shared" si="88"/>
        <v/>
      </c>
      <c r="N1108" s="5" t="str">
        <f t="shared" si="89"/>
        <v/>
      </c>
    </row>
    <row r="1109" spans="1:14" x14ac:dyDescent="0.25">
      <c r="A1109" s="5">
        <v>1108</v>
      </c>
      <c r="B1109" s="5">
        <f t="shared" si="86"/>
        <v>0</v>
      </c>
      <c r="C1109" s="5" t="str">
        <f t="shared" si="85"/>
        <v/>
      </c>
      <c r="D1109" s="5" t="str">
        <f>IFERROR(IF(F1109&lt;&gt;"",F1109,VLOOKUP(MAX(C$2:C1109),A$2:F1109,2,FALSE)),"")</f>
        <v/>
      </c>
      <c r="E1109" s="5" t="str">
        <f t="shared" si="87"/>
        <v/>
      </c>
      <c r="K1109" t="str">
        <f>IFERROR(IF(VLOOKUP(E:E,'Old Report'!E:J,6,FALSE)="","",VLOOKUP(E:E,'Old Report'!E:J,6,FALSE)),"")</f>
        <v/>
      </c>
      <c r="L1109" t="str">
        <f>IFERROR(IF(VLOOKUP(E:E,'Old Report'!E:L,8,FALSE)="","",VLOOKUP(E:E,'Old Report'!E:L,8,FALSE)),"")</f>
        <v/>
      </c>
      <c r="M1109" s="5" t="str">
        <f t="shared" si="88"/>
        <v/>
      </c>
      <c r="N1109" s="5" t="str">
        <f t="shared" si="89"/>
        <v/>
      </c>
    </row>
    <row r="1110" spans="1:14" x14ac:dyDescent="0.25">
      <c r="A1110" s="5">
        <v>1109</v>
      </c>
      <c r="B1110" s="5">
        <f t="shared" si="86"/>
        <v>0</v>
      </c>
      <c r="C1110" s="5" t="str">
        <f t="shared" si="85"/>
        <v/>
      </c>
      <c r="D1110" s="5" t="str">
        <f>IFERROR(IF(F1110&lt;&gt;"",F1110,VLOOKUP(MAX(C$2:C1110),A$2:F1110,2,FALSE)),"")</f>
        <v/>
      </c>
      <c r="E1110" s="5" t="str">
        <f t="shared" si="87"/>
        <v/>
      </c>
      <c r="K1110" t="str">
        <f>IFERROR(IF(VLOOKUP(E:E,'Old Report'!E:J,6,FALSE)="","",VLOOKUP(E:E,'Old Report'!E:J,6,FALSE)),"")</f>
        <v/>
      </c>
      <c r="L1110" t="str">
        <f>IFERROR(IF(VLOOKUP(E:E,'Old Report'!E:L,8,FALSE)="","",VLOOKUP(E:E,'Old Report'!E:L,8,FALSE)),"")</f>
        <v/>
      </c>
      <c r="M1110" s="5" t="str">
        <f t="shared" si="88"/>
        <v/>
      </c>
      <c r="N1110" s="5" t="str">
        <f t="shared" si="89"/>
        <v/>
      </c>
    </row>
    <row r="1111" spans="1:14" x14ac:dyDescent="0.25">
      <c r="A1111" s="5">
        <v>1110</v>
      </c>
      <c r="B1111" s="5">
        <f t="shared" si="86"/>
        <v>0</v>
      </c>
      <c r="C1111" s="5" t="str">
        <f t="shared" si="85"/>
        <v/>
      </c>
      <c r="D1111" s="5" t="str">
        <f>IFERROR(IF(F1111&lt;&gt;"",F1111,VLOOKUP(MAX(C$2:C1111),A$2:F1111,2,FALSE)),"")</f>
        <v/>
      </c>
      <c r="E1111" s="5" t="str">
        <f t="shared" si="87"/>
        <v/>
      </c>
      <c r="K1111" t="str">
        <f>IFERROR(IF(VLOOKUP(E:E,'Old Report'!E:J,6,FALSE)="","",VLOOKUP(E:E,'Old Report'!E:J,6,FALSE)),"")</f>
        <v/>
      </c>
      <c r="L1111" t="str">
        <f>IFERROR(IF(VLOOKUP(E:E,'Old Report'!E:L,8,FALSE)="","",VLOOKUP(E:E,'Old Report'!E:L,8,FALSE)),"")</f>
        <v/>
      </c>
      <c r="M1111" s="5" t="str">
        <f t="shared" si="88"/>
        <v/>
      </c>
      <c r="N1111" s="5" t="str">
        <f t="shared" si="89"/>
        <v/>
      </c>
    </row>
    <row r="1112" spans="1:14" x14ac:dyDescent="0.25">
      <c r="A1112" s="5">
        <v>1111</v>
      </c>
      <c r="B1112" s="5">
        <f t="shared" si="86"/>
        <v>0</v>
      </c>
      <c r="C1112" s="5" t="str">
        <f t="shared" si="85"/>
        <v/>
      </c>
      <c r="D1112" s="5" t="str">
        <f>IFERROR(IF(F1112&lt;&gt;"",F1112,VLOOKUP(MAX(C$2:C1112),A$2:F1112,2,FALSE)),"")</f>
        <v/>
      </c>
      <c r="E1112" s="5" t="str">
        <f t="shared" si="87"/>
        <v/>
      </c>
      <c r="K1112" t="str">
        <f>IFERROR(IF(VLOOKUP(E:E,'Old Report'!E:J,6,FALSE)="","",VLOOKUP(E:E,'Old Report'!E:J,6,FALSE)),"")</f>
        <v/>
      </c>
      <c r="L1112" t="str">
        <f>IFERROR(IF(VLOOKUP(E:E,'Old Report'!E:L,8,FALSE)="","",VLOOKUP(E:E,'Old Report'!E:L,8,FALSE)),"")</f>
        <v/>
      </c>
      <c r="M1112" s="5" t="str">
        <f t="shared" si="88"/>
        <v/>
      </c>
      <c r="N1112" s="5" t="str">
        <f t="shared" si="89"/>
        <v/>
      </c>
    </row>
    <row r="1113" spans="1:14" x14ac:dyDescent="0.25">
      <c r="A1113" s="5">
        <v>1112</v>
      </c>
      <c r="B1113" s="5">
        <f t="shared" si="86"/>
        <v>0</v>
      </c>
      <c r="C1113" s="5" t="str">
        <f t="shared" si="85"/>
        <v/>
      </c>
      <c r="D1113" s="5" t="str">
        <f>IFERROR(IF(F1113&lt;&gt;"",F1113,VLOOKUP(MAX(C$2:C1113),A$2:F1113,2,FALSE)),"")</f>
        <v/>
      </c>
      <c r="E1113" s="5" t="str">
        <f t="shared" si="87"/>
        <v/>
      </c>
      <c r="K1113" t="str">
        <f>IFERROR(IF(VLOOKUP(E:E,'Old Report'!E:J,6,FALSE)="","",VLOOKUP(E:E,'Old Report'!E:J,6,FALSE)),"")</f>
        <v/>
      </c>
      <c r="L1113" t="str">
        <f>IFERROR(IF(VLOOKUP(E:E,'Old Report'!E:L,8,FALSE)="","",VLOOKUP(E:E,'Old Report'!E:L,8,FALSE)),"")</f>
        <v/>
      </c>
      <c r="M1113" s="5" t="str">
        <f t="shared" si="88"/>
        <v/>
      </c>
      <c r="N1113" s="5" t="str">
        <f t="shared" si="89"/>
        <v/>
      </c>
    </row>
    <row r="1114" spans="1:14" x14ac:dyDescent="0.25">
      <c r="A1114" s="5">
        <v>1113</v>
      </c>
      <c r="B1114" s="5">
        <f t="shared" si="86"/>
        <v>0</v>
      </c>
      <c r="C1114" s="5" t="str">
        <f t="shared" si="85"/>
        <v/>
      </c>
      <c r="D1114" s="5" t="str">
        <f>IFERROR(IF(F1114&lt;&gt;"",F1114,VLOOKUP(MAX(C$2:C1114),A$2:F1114,2,FALSE)),"")</f>
        <v/>
      </c>
      <c r="E1114" s="5" t="str">
        <f t="shared" si="87"/>
        <v/>
      </c>
      <c r="K1114" t="str">
        <f>IFERROR(IF(VLOOKUP(E:E,'Old Report'!E:J,6,FALSE)="","",VLOOKUP(E:E,'Old Report'!E:J,6,FALSE)),"")</f>
        <v/>
      </c>
      <c r="L1114" t="str">
        <f>IFERROR(IF(VLOOKUP(E:E,'Old Report'!E:L,8,FALSE)="","",VLOOKUP(E:E,'Old Report'!E:L,8,FALSE)),"")</f>
        <v/>
      </c>
      <c r="M1114" s="5" t="str">
        <f t="shared" si="88"/>
        <v/>
      </c>
      <c r="N1114" s="5" t="str">
        <f t="shared" si="89"/>
        <v/>
      </c>
    </row>
    <row r="1115" spans="1:14" x14ac:dyDescent="0.25">
      <c r="A1115" s="5">
        <v>1114</v>
      </c>
      <c r="B1115" s="5">
        <f t="shared" si="86"/>
        <v>0</v>
      </c>
      <c r="C1115" s="5" t="str">
        <f t="shared" si="85"/>
        <v/>
      </c>
      <c r="D1115" s="5" t="str">
        <f>IFERROR(IF(F1115&lt;&gt;"",F1115,VLOOKUP(MAX(C$2:C1115),A$2:F1115,2,FALSE)),"")</f>
        <v/>
      </c>
      <c r="E1115" s="5" t="str">
        <f t="shared" si="87"/>
        <v/>
      </c>
      <c r="K1115" t="str">
        <f>IFERROR(IF(VLOOKUP(E:E,'Old Report'!E:J,6,FALSE)="","",VLOOKUP(E:E,'Old Report'!E:J,6,FALSE)),"")</f>
        <v/>
      </c>
      <c r="L1115" t="str">
        <f>IFERROR(IF(VLOOKUP(E:E,'Old Report'!E:L,8,FALSE)="","",VLOOKUP(E:E,'Old Report'!E:L,8,FALSE)),"")</f>
        <v/>
      </c>
      <c r="M1115" s="5" t="str">
        <f t="shared" si="88"/>
        <v/>
      </c>
      <c r="N1115" s="5" t="str">
        <f t="shared" si="89"/>
        <v/>
      </c>
    </row>
    <row r="1116" spans="1:14" x14ac:dyDescent="0.25">
      <c r="A1116" s="5">
        <v>1115</v>
      </c>
      <c r="B1116" s="5">
        <f t="shared" si="86"/>
        <v>0</v>
      </c>
      <c r="C1116" s="5" t="str">
        <f t="shared" si="85"/>
        <v/>
      </c>
      <c r="D1116" s="5" t="str">
        <f>IFERROR(IF(F1116&lt;&gt;"",F1116,VLOOKUP(MAX(C$2:C1116),A$2:F1116,2,FALSE)),"")</f>
        <v/>
      </c>
      <c r="E1116" s="5" t="str">
        <f t="shared" si="87"/>
        <v/>
      </c>
      <c r="K1116" t="str">
        <f>IFERROR(IF(VLOOKUP(E:E,'Old Report'!E:J,6,FALSE)="","",VLOOKUP(E:E,'Old Report'!E:J,6,FALSE)),"")</f>
        <v/>
      </c>
      <c r="L1116" t="str">
        <f>IFERROR(IF(VLOOKUP(E:E,'Old Report'!E:L,8,FALSE)="","",VLOOKUP(E:E,'Old Report'!E:L,8,FALSE)),"")</f>
        <v/>
      </c>
      <c r="M1116" s="5" t="str">
        <f t="shared" si="88"/>
        <v/>
      </c>
      <c r="N1116" s="5" t="str">
        <f t="shared" si="89"/>
        <v/>
      </c>
    </row>
    <row r="1117" spans="1:14" x14ac:dyDescent="0.25">
      <c r="A1117" s="5">
        <v>1116</v>
      </c>
      <c r="B1117" s="5">
        <f t="shared" si="86"/>
        <v>0</v>
      </c>
      <c r="C1117" s="5" t="str">
        <f t="shared" si="85"/>
        <v/>
      </c>
      <c r="D1117" s="5" t="str">
        <f>IFERROR(IF(F1117&lt;&gt;"",F1117,VLOOKUP(MAX(C$2:C1117),A$2:F1117,2,FALSE)),"")</f>
        <v/>
      </c>
      <c r="E1117" s="5" t="str">
        <f t="shared" si="87"/>
        <v/>
      </c>
      <c r="K1117" t="str">
        <f>IFERROR(IF(VLOOKUP(E:E,'Old Report'!E:J,6,FALSE)="","",VLOOKUP(E:E,'Old Report'!E:J,6,FALSE)),"")</f>
        <v/>
      </c>
      <c r="L1117" t="str">
        <f>IFERROR(IF(VLOOKUP(E:E,'Old Report'!E:L,8,FALSE)="","",VLOOKUP(E:E,'Old Report'!E:L,8,FALSE)),"")</f>
        <v/>
      </c>
      <c r="M1117" s="5" t="str">
        <f t="shared" si="88"/>
        <v/>
      </c>
      <c r="N1117" s="5" t="str">
        <f t="shared" si="89"/>
        <v/>
      </c>
    </row>
    <row r="1118" spans="1:14" x14ac:dyDescent="0.25">
      <c r="A1118" s="5">
        <v>1117</v>
      </c>
      <c r="B1118" s="5">
        <f t="shared" si="86"/>
        <v>0</v>
      </c>
      <c r="C1118" s="5" t="str">
        <f t="shared" si="85"/>
        <v/>
      </c>
      <c r="D1118" s="5" t="str">
        <f>IFERROR(IF(F1118&lt;&gt;"",F1118,VLOOKUP(MAX(C$2:C1118),A$2:F1118,2,FALSE)),"")</f>
        <v/>
      </c>
      <c r="E1118" s="5" t="str">
        <f t="shared" si="87"/>
        <v/>
      </c>
      <c r="K1118" t="str">
        <f>IFERROR(IF(VLOOKUP(E:E,'Old Report'!E:J,6,FALSE)="","",VLOOKUP(E:E,'Old Report'!E:J,6,FALSE)),"")</f>
        <v/>
      </c>
      <c r="L1118" t="str">
        <f>IFERROR(IF(VLOOKUP(E:E,'Old Report'!E:L,8,FALSE)="","",VLOOKUP(E:E,'Old Report'!E:L,8,FALSE)),"")</f>
        <v/>
      </c>
      <c r="M1118" s="5" t="str">
        <f t="shared" si="88"/>
        <v/>
      </c>
      <c r="N1118" s="5" t="str">
        <f t="shared" si="89"/>
        <v/>
      </c>
    </row>
    <row r="1119" spans="1:14" x14ac:dyDescent="0.25">
      <c r="A1119" s="5">
        <v>1118</v>
      </c>
      <c r="B1119" s="5">
        <f t="shared" si="86"/>
        <v>0</v>
      </c>
      <c r="C1119" s="5" t="str">
        <f t="shared" si="85"/>
        <v/>
      </c>
      <c r="D1119" s="5" t="str">
        <f>IFERROR(IF(F1119&lt;&gt;"",F1119,VLOOKUP(MAX(C$2:C1119),A$2:F1119,2,FALSE)),"")</f>
        <v/>
      </c>
      <c r="E1119" s="5" t="str">
        <f t="shared" si="87"/>
        <v/>
      </c>
      <c r="K1119" t="str">
        <f>IFERROR(IF(VLOOKUP(E:E,'Old Report'!E:J,6,FALSE)="","",VLOOKUP(E:E,'Old Report'!E:J,6,FALSE)),"")</f>
        <v/>
      </c>
      <c r="L1119" t="str">
        <f>IFERROR(IF(VLOOKUP(E:E,'Old Report'!E:L,8,FALSE)="","",VLOOKUP(E:E,'Old Report'!E:L,8,FALSE)),"")</f>
        <v/>
      </c>
      <c r="M1119" s="5" t="str">
        <f t="shared" si="88"/>
        <v/>
      </c>
      <c r="N1119" s="5" t="str">
        <f t="shared" si="89"/>
        <v/>
      </c>
    </row>
    <row r="1120" spans="1:14" x14ac:dyDescent="0.25">
      <c r="A1120" s="5">
        <v>1119</v>
      </c>
      <c r="B1120" s="5">
        <f t="shared" si="86"/>
        <v>0</v>
      </c>
      <c r="C1120" s="5" t="str">
        <f t="shared" si="85"/>
        <v/>
      </c>
      <c r="D1120" s="5" t="str">
        <f>IFERROR(IF(F1120&lt;&gt;"",F1120,VLOOKUP(MAX(C$2:C1120),A$2:F1120,2,FALSE)),"")</f>
        <v/>
      </c>
      <c r="E1120" s="5" t="str">
        <f t="shared" si="87"/>
        <v/>
      </c>
      <c r="K1120" t="str">
        <f>IFERROR(IF(VLOOKUP(E:E,'Old Report'!E:J,6,FALSE)="","",VLOOKUP(E:E,'Old Report'!E:J,6,FALSE)),"")</f>
        <v/>
      </c>
      <c r="L1120" t="str">
        <f>IFERROR(IF(VLOOKUP(E:E,'Old Report'!E:L,8,FALSE)="","",VLOOKUP(E:E,'Old Report'!E:L,8,FALSE)),"")</f>
        <v/>
      </c>
      <c r="M1120" s="5" t="str">
        <f t="shared" si="88"/>
        <v/>
      </c>
      <c r="N1120" s="5" t="str">
        <f t="shared" si="89"/>
        <v/>
      </c>
    </row>
    <row r="1121" spans="1:14" x14ac:dyDescent="0.25">
      <c r="A1121" s="5">
        <v>1120</v>
      </c>
      <c r="B1121" s="5">
        <f t="shared" si="86"/>
        <v>0</v>
      </c>
      <c r="C1121" s="5" t="str">
        <f t="shared" si="85"/>
        <v/>
      </c>
      <c r="D1121" s="5" t="str">
        <f>IFERROR(IF(F1121&lt;&gt;"",F1121,VLOOKUP(MAX(C$2:C1121),A$2:F1121,2,FALSE)),"")</f>
        <v/>
      </c>
      <c r="E1121" s="5" t="str">
        <f t="shared" si="87"/>
        <v/>
      </c>
      <c r="K1121" t="str">
        <f>IFERROR(IF(VLOOKUP(E:E,'Old Report'!E:J,6,FALSE)="","",VLOOKUP(E:E,'Old Report'!E:J,6,FALSE)),"")</f>
        <v/>
      </c>
      <c r="L1121" t="str">
        <f>IFERROR(IF(VLOOKUP(E:E,'Old Report'!E:L,8,FALSE)="","",VLOOKUP(E:E,'Old Report'!E:L,8,FALSE)),"")</f>
        <v/>
      </c>
      <c r="M1121" s="5" t="str">
        <f t="shared" si="88"/>
        <v/>
      </c>
      <c r="N1121" s="5" t="str">
        <f t="shared" si="89"/>
        <v/>
      </c>
    </row>
    <row r="1122" spans="1:14" x14ac:dyDescent="0.25">
      <c r="A1122" s="5">
        <v>1121</v>
      </c>
      <c r="B1122" s="5">
        <f t="shared" si="86"/>
        <v>0</v>
      </c>
      <c r="C1122" s="5" t="str">
        <f t="shared" si="85"/>
        <v/>
      </c>
      <c r="D1122" s="5" t="str">
        <f>IFERROR(IF(F1122&lt;&gt;"",F1122,VLOOKUP(MAX(C$2:C1122),A$2:F1122,2,FALSE)),"")</f>
        <v/>
      </c>
      <c r="E1122" s="5" t="str">
        <f t="shared" si="87"/>
        <v/>
      </c>
      <c r="K1122" t="str">
        <f>IFERROR(IF(VLOOKUP(E:E,'Old Report'!E:J,6,FALSE)="","",VLOOKUP(E:E,'Old Report'!E:J,6,FALSE)),"")</f>
        <v/>
      </c>
      <c r="L1122" t="str">
        <f>IFERROR(IF(VLOOKUP(E:E,'Old Report'!E:L,8,FALSE)="","",VLOOKUP(E:E,'Old Report'!E:L,8,FALSE)),"")</f>
        <v/>
      </c>
      <c r="M1122" s="5" t="str">
        <f t="shared" si="88"/>
        <v/>
      </c>
      <c r="N1122" s="5" t="str">
        <f t="shared" si="89"/>
        <v/>
      </c>
    </row>
    <row r="1123" spans="1:14" x14ac:dyDescent="0.25">
      <c r="A1123" s="5">
        <v>1122</v>
      </c>
      <c r="B1123" s="5">
        <f t="shared" si="86"/>
        <v>0</v>
      </c>
      <c r="C1123" s="5" t="str">
        <f t="shared" si="85"/>
        <v/>
      </c>
      <c r="D1123" s="5" t="str">
        <f>IFERROR(IF(F1123&lt;&gt;"",F1123,VLOOKUP(MAX(C$2:C1123),A$2:F1123,2,FALSE)),"")</f>
        <v/>
      </c>
      <c r="E1123" s="5" t="str">
        <f t="shared" si="87"/>
        <v/>
      </c>
      <c r="K1123" t="str">
        <f>IFERROR(IF(VLOOKUP(E:E,'Old Report'!E:J,6,FALSE)="","",VLOOKUP(E:E,'Old Report'!E:J,6,FALSE)),"")</f>
        <v/>
      </c>
      <c r="L1123" t="str">
        <f>IFERROR(IF(VLOOKUP(E:E,'Old Report'!E:L,8,FALSE)="","",VLOOKUP(E:E,'Old Report'!E:L,8,FALSE)),"")</f>
        <v/>
      </c>
      <c r="M1123" s="5" t="str">
        <f t="shared" si="88"/>
        <v/>
      </c>
      <c r="N1123" s="5" t="str">
        <f t="shared" si="89"/>
        <v/>
      </c>
    </row>
    <row r="1124" spans="1:14" x14ac:dyDescent="0.25">
      <c r="A1124" s="5">
        <v>1123</v>
      </c>
      <c r="B1124" s="5">
        <f t="shared" si="86"/>
        <v>0</v>
      </c>
      <c r="C1124" s="5" t="str">
        <f t="shared" si="85"/>
        <v/>
      </c>
      <c r="D1124" s="5" t="str">
        <f>IFERROR(IF(F1124&lt;&gt;"",F1124,VLOOKUP(MAX(C$2:C1124),A$2:F1124,2,FALSE)),"")</f>
        <v/>
      </c>
      <c r="E1124" s="5" t="str">
        <f t="shared" si="87"/>
        <v/>
      </c>
      <c r="K1124" t="str">
        <f>IFERROR(IF(VLOOKUP(E:E,'Old Report'!E:J,6,FALSE)="","",VLOOKUP(E:E,'Old Report'!E:J,6,FALSE)),"")</f>
        <v/>
      </c>
      <c r="L1124" t="str">
        <f>IFERROR(IF(VLOOKUP(E:E,'Old Report'!E:L,8,FALSE)="","",VLOOKUP(E:E,'Old Report'!E:L,8,FALSE)),"")</f>
        <v/>
      </c>
      <c r="M1124" s="5" t="str">
        <f t="shared" si="88"/>
        <v/>
      </c>
      <c r="N1124" s="5" t="str">
        <f t="shared" si="89"/>
        <v/>
      </c>
    </row>
    <row r="1125" spans="1:14" x14ac:dyDescent="0.25">
      <c r="A1125" s="5">
        <v>1124</v>
      </c>
      <c r="B1125" s="5">
        <f t="shared" si="86"/>
        <v>0</v>
      </c>
      <c r="C1125" s="5" t="str">
        <f t="shared" si="85"/>
        <v/>
      </c>
      <c r="D1125" s="5" t="str">
        <f>IFERROR(IF(F1125&lt;&gt;"",F1125,VLOOKUP(MAX(C$2:C1125),A$2:F1125,2,FALSE)),"")</f>
        <v/>
      </c>
      <c r="E1125" s="5" t="str">
        <f t="shared" si="87"/>
        <v/>
      </c>
      <c r="K1125" t="str">
        <f>IFERROR(IF(VLOOKUP(E:E,'Old Report'!E:J,6,FALSE)="","",VLOOKUP(E:E,'Old Report'!E:J,6,FALSE)),"")</f>
        <v/>
      </c>
      <c r="L1125" t="str">
        <f>IFERROR(IF(VLOOKUP(E:E,'Old Report'!E:L,8,FALSE)="","",VLOOKUP(E:E,'Old Report'!E:L,8,FALSE)),"")</f>
        <v/>
      </c>
      <c r="M1125" s="5" t="str">
        <f t="shared" si="88"/>
        <v/>
      </c>
      <c r="N1125" s="5" t="str">
        <f t="shared" si="89"/>
        <v/>
      </c>
    </row>
    <row r="1126" spans="1:14" x14ac:dyDescent="0.25">
      <c r="A1126" s="5">
        <v>1125</v>
      </c>
      <c r="B1126" s="5">
        <f t="shared" si="86"/>
        <v>0</v>
      </c>
      <c r="C1126" s="5" t="str">
        <f t="shared" si="85"/>
        <v/>
      </c>
      <c r="D1126" s="5" t="str">
        <f>IFERROR(IF(F1126&lt;&gt;"",F1126,VLOOKUP(MAX(C$2:C1126),A$2:F1126,2,FALSE)),"")</f>
        <v/>
      </c>
      <c r="E1126" s="5" t="str">
        <f t="shared" si="87"/>
        <v/>
      </c>
      <c r="K1126" t="str">
        <f>IFERROR(IF(VLOOKUP(E:E,'Old Report'!E:J,6,FALSE)="","",VLOOKUP(E:E,'Old Report'!E:J,6,FALSE)),"")</f>
        <v/>
      </c>
      <c r="L1126" t="str">
        <f>IFERROR(IF(VLOOKUP(E:E,'Old Report'!E:L,8,FALSE)="","",VLOOKUP(E:E,'Old Report'!E:L,8,FALSE)),"")</f>
        <v/>
      </c>
      <c r="M1126" s="5" t="str">
        <f t="shared" si="88"/>
        <v/>
      </c>
      <c r="N1126" s="5" t="str">
        <f t="shared" si="89"/>
        <v/>
      </c>
    </row>
    <row r="1127" spans="1:14" x14ac:dyDescent="0.25">
      <c r="A1127" s="5">
        <v>1126</v>
      </c>
      <c r="B1127" s="5">
        <f t="shared" si="86"/>
        <v>0</v>
      </c>
      <c r="C1127" s="5" t="str">
        <f t="shared" si="85"/>
        <v/>
      </c>
      <c r="D1127" s="5" t="str">
        <f>IFERROR(IF(F1127&lt;&gt;"",F1127,VLOOKUP(MAX(C$2:C1127),A$2:F1127,2,FALSE)),"")</f>
        <v/>
      </c>
      <c r="E1127" s="5" t="str">
        <f t="shared" si="87"/>
        <v/>
      </c>
      <c r="K1127" t="str">
        <f>IFERROR(IF(VLOOKUP(E:E,'Old Report'!E:J,6,FALSE)="","",VLOOKUP(E:E,'Old Report'!E:J,6,FALSE)),"")</f>
        <v/>
      </c>
      <c r="L1127" t="str">
        <f>IFERROR(IF(VLOOKUP(E:E,'Old Report'!E:L,8,FALSE)="","",VLOOKUP(E:E,'Old Report'!E:L,8,FALSE)),"")</f>
        <v/>
      </c>
      <c r="M1127" s="5" t="str">
        <f t="shared" si="88"/>
        <v/>
      </c>
      <c r="N1127" s="5" t="str">
        <f t="shared" si="89"/>
        <v/>
      </c>
    </row>
    <row r="1128" spans="1:14" x14ac:dyDescent="0.25">
      <c r="A1128" s="5">
        <v>1127</v>
      </c>
      <c r="B1128" s="5">
        <f t="shared" si="86"/>
        <v>0</v>
      </c>
      <c r="C1128" s="5" t="str">
        <f t="shared" si="85"/>
        <v/>
      </c>
      <c r="D1128" s="5" t="str">
        <f>IFERROR(IF(F1128&lt;&gt;"",F1128,VLOOKUP(MAX(C$2:C1128),A$2:F1128,2,FALSE)),"")</f>
        <v/>
      </c>
      <c r="E1128" s="5" t="str">
        <f t="shared" si="87"/>
        <v/>
      </c>
      <c r="K1128" t="str">
        <f>IFERROR(IF(VLOOKUP(E:E,'Old Report'!E:J,6,FALSE)="","",VLOOKUP(E:E,'Old Report'!E:J,6,FALSE)),"")</f>
        <v/>
      </c>
      <c r="L1128" t="str">
        <f>IFERROR(IF(VLOOKUP(E:E,'Old Report'!E:L,8,FALSE)="","",VLOOKUP(E:E,'Old Report'!E:L,8,FALSE)),"")</f>
        <v/>
      </c>
      <c r="M1128" s="5" t="str">
        <f t="shared" si="88"/>
        <v/>
      </c>
      <c r="N1128" s="5" t="str">
        <f t="shared" si="89"/>
        <v/>
      </c>
    </row>
    <row r="1129" spans="1:14" x14ac:dyDescent="0.25">
      <c r="A1129" s="5">
        <v>1128</v>
      </c>
      <c r="B1129" s="5">
        <f t="shared" si="86"/>
        <v>0</v>
      </c>
      <c r="C1129" s="5" t="str">
        <f t="shared" si="85"/>
        <v/>
      </c>
      <c r="D1129" s="5" t="str">
        <f>IFERROR(IF(F1129&lt;&gt;"",F1129,VLOOKUP(MAX(C$2:C1129),A$2:F1129,2,FALSE)),"")</f>
        <v/>
      </c>
      <c r="E1129" s="5" t="str">
        <f t="shared" si="87"/>
        <v/>
      </c>
      <c r="K1129" t="str">
        <f>IFERROR(IF(VLOOKUP(E:E,'Old Report'!E:J,6,FALSE)="","",VLOOKUP(E:E,'Old Report'!E:J,6,FALSE)),"")</f>
        <v/>
      </c>
      <c r="L1129" t="str">
        <f>IFERROR(IF(VLOOKUP(E:E,'Old Report'!E:L,8,FALSE)="","",VLOOKUP(E:E,'Old Report'!E:L,8,FALSE)),"")</f>
        <v/>
      </c>
      <c r="M1129" s="5" t="str">
        <f t="shared" si="88"/>
        <v/>
      </c>
      <c r="N1129" s="5" t="str">
        <f t="shared" si="89"/>
        <v/>
      </c>
    </row>
    <row r="1130" spans="1:14" x14ac:dyDescent="0.25">
      <c r="A1130" s="5">
        <v>1129</v>
      </c>
      <c r="B1130" s="5">
        <f t="shared" si="86"/>
        <v>0</v>
      </c>
      <c r="C1130" s="5" t="str">
        <f t="shared" si="85"/>
        <v/>
      </c>
      <c r="D1130" s="5" t="str">
        <f>IFERROR(IF(F1130&lt;&gt;"",F1130,VLOOKUP(MAX(C$2:C1130),A$2:F1130,2,FALSE)),"")</f>
        <v/>
      </c>
      <c r="E1130" s="5" t="str">
        <f t="shared" si="87"/>
        <v/>
      </c>
      <c r="K1130" t="str">
        <f>IFERROR(IF(VLOOKUP(E:E,'Old Report'!E:J,6,FALSE)="","",VLOOKUP(E:E,'Old Report'!E:J,6,FALSE)),"")</f>
        <v/>
      </c>
      <c r="L1130" t="str">
        <f>IFERROR(IF(VLOOKUP(E:E,'Old Report'!E:L,8,FALSE)="","",VLOOKUP(E:E,'Old Report'!E:L,8,FALSE)),"")</f>
        <v/>
      </c>
      <c r="M1130" s="5" t="str">
        <f t="shared" si="88"/>
        <v/>
      </c>
      <c r="N1130" s="5" t="str">
        <f t="shared" si="89"/>
        <v/>
      </c>
    </row>
    <row r="1131" spans="1:14" x14ac:dyDescent="0.25">
      <c r="A1131" s="5">
        <v>1130</v>
      </c>
      <c r="B1131" s="5">
        <f t="shared" si="86"/>
        <v>0</v>
      </c>
      <c r="C1131" s="5" t="str">
        <f t="shared" si="85"/>
        <v/>
      </c>
      <c r="D1131" s="5" t="str">
        <f>IFERROR(IF(F1131&lt;&gt;"",F1131,VLOOKUP(MAX(C$2:C1131),A$2:F1131,2,FALSE)),"")</f>
        <v/>
      </c>
      <c r="E1131" s="5" t="str">
        <f t="shared" si="87"/>
        <v/>
      </c>
      <c r="K1131" t="str">
        <f>IFERROR(IF(VLOOKUP(E:E,'Old Report'!E:J,6,FALSE)="","",VLOOKUP(E:E,'Old Report'!E:J,6,FALSE)),"")</f>
        <v/>
      </c>
      <c r="L1131" t="str">
        <f>IFERROR(IF(VLOOKUP(E:E,'Old Report'!E:L,8,FALSE)="","",VLOOKUP(E:E,'Old Report'!E:L,8,FALSE)),"")</f>
        <v/>
      </c>
      <c r="M1131" s="5" t="str">
        <f t="shared" si="88"/>
        <v/>
      </c>
      <c r="N1131" s="5" t="str">
        <f t="shared" si="89"/>
        <v/>
      </c>
    </row>
    <row r="1132" spans="1:14" x14ac:dyDescent="0.25">
      <c r="A1132" s="5">
        <v>1131</v>
      </c>
      <c r="B1132" s="5">
        <f t="shared" si="86"/>
        <v>0</v>
      </c>
      <c r="C1132" s="5" t="str">
        <f t="shared" si="85"/>
        <v/>
      </c>
      <c r="D1132" s="5" t="str">
        <f>IFERROR(IF(F1132&lt;&gt;"",F1132,VLOOKUP(MAX(C$2:C1132),A$2:F1132,2,FALSE)),"")</f>
        <v/>
      </c>
      <c r="E1132" s="5" t="str">
        <f t="shared" si="87"/>
        <v/>
      </c>
      <c r="K1132" t="str">
        <f>IFERROR(IF(VLOOKUP(E:E,'Old Report'!E:J,6,FALSE)="","",VLOOKUP(E:E,'Old Report'!E:J,6,FALSE)),"")</f>
        <v/>
      </c>
      <c r="L1132" t="str">
        <f>IFERROR(IF(VLOOKUP(E:E,'Old Report'!E:L,8,FALSE)="","",VLOOKUP(E:E,'Old Report'!E:L,8,FALSE)),"")</f>
        <v/>
      </c>
      <c r="M1132" s="5" t="str">
        <f t="shared" si="88"/>
        <v/>
      </c>
      <c r="N1132" s="5" t="str">
        <f t="shared" si="89"/>
        <v/>
      </c>
    </row>
    <row r="1133" spans="1:14" x14ac:dyDescent="0.25">
      <c r="A1133" s="5">
        <v>1132</v>
      </c>
      <c r="B1133" s="5">
        <f t="shared" si="86"/>
        <v>0</v>
      </c>
      <c r="C1133" s="5" t="str">
        <f t="shared" si="85"/>
        <v/>
      </c>
      <c r="D1133" s="5" t="str">
        <f>IFERROR(IF(F1133&lt;&gt;"",F1133,VLOOKUP(MAX(C$2:C1133),A$2:F1133,2,FALSE)),"")</f>
        <v/>
      </c>
      <c r="E1133" s="5" t="str">
        <f t="shared" si="87"/>
        <v/>
      </c>
      <c r="K1133" t="str">
        <f>IFERROR(IF(VLOOKUP(E:E,'Old Report'!E:J,6,FALSE)="","",VLOOKUP(E:E,'Old Report'!E:J,6,FALSE)),"")</f>
        <v/>
      </c>
      <c r="L1133" t="str">
        <f>IFERROR(IF(VLOOKUP(E:E,'Old Report'!E:L,8,FALSE)="","",VLOOKUP(E:E,'Old Report'!E:L,8,FALSE)),"")</f>
        <v/>
      </c>
      <c r="M1133" s="5" t="str">
        <f t="shared" si="88"/>
        <v/>
      </c>
      <c r="N1133" s="5" t="str">
        <f t="shared" si="89"/>
        <v/>
      </c>
    </row>
    <row r="1134" spans="1:14" x14ac:dyDescent="0.25">
      <c r="A1134" s="5">
        <v>1133</v>
      </c>
      <c r="B1134" s="5">
        <f t="shared" si="86"/>
        <v>0</v>
      </c>
      <c r="C1134" s="5" t="str">
        <f t="shared" si="85"/>
        <v/>
      </c>
      <c r="D1134" s="5" t="str">
        <f>IFERROR(IF(F1134&lt;&gt;"",F1134,VLOOKUP(MAX(C$2:C1134),A$2:F1134,2,FALSE)),"")</f>
        <v/>
      </c>
      <c r="E1134" s="5" t="str">
        <f t="shared" si="87"/>
        <v/>
      </c>
      <c r="K1134" t="str">
        <f>IFERROR(IF(VLOOKUP(E:E,'Old Report'!E:J,6,FALSE)="","",VLOOKUP(E:E,'Old Report'!E:J,6,FALSE)),"")</f>
        <v/>
      </c>
      <c r="L1134" t="str">
        <f>IFERROR(IF(VLOOKUP(E:E,'Old Report'!E:L,8,FALSE)="","",VLOOKUP(E:E,'Old Report'!E:L,8,FALSE)),"")</f>
        <v/>
      </c>
      <c r="M1134" s="5" t="str">
        <f t="shared" si="88"/>
        <v/>
      </c>
      <c r="N1134" s="5" t="str">
        <f t="shared" si="89"/>
        <v/>
      </c>
    </row>
    <row r="1135" spans="1:14" x14ac:dyDescent="0.25">
      <c r="A1135" s="5">
        <v>1134</v>
      </c>
      <c r="B1135" s="5">
        <f t="shared" si="86"/>
        <v>0</v>
      </c>
      <c r="C1135" s="5" t="str">
        <f t="shared" si="85"/>
        <v/>
      </c>
      <c r="D1135" s="5" t="str">
        <f>IFERROR(IF(F1135&lt;&gt;"",F1135,VLOOKUP(MAX(C$2:C1135),A$2:F1135,2,FALSE)),"")</f>
        <v/>
      </c>
      <c r="E1135" s="5" t="str">
        <f t="shared" si="87"/>
        <v/>
      </c>
      <c r="K1135" t="str">
        <f>IFERROR(IF(VLOOKUP(E:E,'Old Report'!E:J,6,FALSE)="","",VLOOKUP(E:E,'Old Report'!E:J,6,FALSE)),"")</f>
        <v/>
      </c>
      <c r="L1135" t="str">
        <f>IFERROR(IF(VLOOKUP(E:E,'Old Report'!E:L,8,FALSE)="","",VLOOKUP(E:E,'Old Report'!E:L,8,FALSE)),"")</f>
        <v/>
      </c>
      <c r="M1135" s="5" t="str">
        <f t="shared" si="88"/>
        <v/>
      </c>
      <c r="N1135" s="5" t="str">
        <f t="shared" si="89"/>
        <v/>
      </c>
    </row>
    <row r="1136" spans="1:14" x14ac:dyDescent="0.25">
      <c r="A1136" s="5">
        <v>1135</v>
      </c>
      <c r="B1136" s="5">
        <f t="shared" si="86"/>
        <v>0</v>
      </c>
      <c r="C1136" s="5" t="str">
        <f t="shared" si="85"/>
        <v/>
      </c>
      <c r="D1136" s="5" t="str">
        <f>IFERROR(IF(F1136&lt;&gt;"",F1136,VLOOKUP(MAX(C$2:C1136),A$2:F1136,2,FALSE)),"")</f>
        <v/>
      </c>
      <c r="E1136" s="5" t="str">
        <f t="shared" si="87"/>
        <v/>
      </c>
      <c r="K1136" t="str">
        <f>IFERROR(IF(VLOOKUP(E:E,'Old Report'!E:J,6,FALSE)="","",VLOOKUP(E:E,'Old Report'!E:J,6,FALSE)),"")</f>
        <v/>
      </c>
      <c r="L1136" t="str">
        <f>IFERROR(IF(VLOOKUP(E:E,'Old Report'!E:L,8,FALSE)="","",VLOOKUP(E:E,'Old Report'!E:L,8,FALSE)),"")</f>
        <v/>
      </c>
      <c r="M1136" s="5" t="str">
        <f t="shared" si="88"/>
        <v/>
      </c>
      <c r="N1136" s="5" t="str">
        <f t="shared" si="89"/>
        <v/>
      </c>
    </row>
    <row r="1137" spans="1:14" x14ac:dyDescent="0.25">
      <c r="A1137" s="5">
        <v>1136</v>
      </c>
      <c r="B1137" s="5">
        <f t="shared" si="86"/>
        <v>0</v>
      </c>
      <c r="C1137" s="5" t="str">
        <f t="shared" si="85"/>
        <v/>
      </c>
      <c r="D1137" s="5" t="str">
        <f>IFERROR(IF(F1137&lt;&gt;"",F1137,VLOOKUP(MAX(C$2:C1137),A$2:F1137,2,FALSE)),"")</f>
        <v/>
      </c>
      <c r="E1137" s="5" t="str">
        <f t="shared" si="87"/>
        <v/>
      </c>
      <c r="K1137" t="str">
        <f>IFERROR(IF(VLOOKUP(E:E,'Old Report'!E:J,6,FALSE)="","",VLOOKUP(E:E,'Old Report'!E:J,6,FALSE)),"")</f>
        <v/>
      </c>
      <c r="L1137" t="str">
        <f>IFERROR(IF(VLOOKUP(E:E,'Old Report'!E:L,8,FALSE)="","",VLOOKUP(E:E,'Old Report'!E:L,8,FALSE)),"")</f>
        <v/>
      </c>
      <c r="M1137" s="5" t="str">
        <f t="shared" si="88"/>
        <v/>
      </c>
      <c r="N1137" s="5" t="str">
        <f t="shared" si="89"/>
        <v/>
      </c>
    </row>
    <row r="1138" spans="1:14" x14ac:dyDescent="0.25">
      <c r="A1138" s="5">
        <v>1137</v>
      </c>
      <c r="B1138" s="5">
        <f t="shared" si="86"/>
        <v>0</v>
      </c>
      <c r="C1138" s="5" t="str">
        <f t="shared" si="85"/>
        <v/>
      </c>
      <c r="D1138" s="5" t="str">
        <f>IFERROR(IF(F1138&lt;&gt;"",F1138,VLOOKUP(MAX(C$2:C1138),A$2:F1138,2,FALSE)),"")</f>
        <v/>
      </c>
      <c r="E1138" s="5" t="str">
        <f t="shared" si="87"/>
        <v/>
      </c>
      <c r="K1138" t="str">
        <f>IFERROR(IF(VLOOKUP(E:E,'Old Report'!E:J,6,FALSE)="","",VLOOKUP(E:E,'Old Report'!E:J,6,FALSE)),"")</f>
        <v/>
      </c>
      <c r="L1138" t="str">
        <f>IFERROR(IF(VLOOKUP(E:E,'Old Report'!E:L,8,FALSE)="","",VLOOKUP(E:E,'Old Report'!E:L,8,FALSE)),"")</f>
        <v/>
      </c>
      <c r="M1138" s="5" t="str">
        <f t="shared" si="88"/>
        <v/>
      </c>
      <c r="N1138" s="5" t="str">
        <f t="shared" si="89"/>
        <v/>
      </c>
    </row>
    <row r="1139" spans="1:14" x14ac:dyDescent="0.25">
      <c r="A1139" s="5">
        <v>1138</v>
      </c>
      <c r="B1139" s="5">
        <f t="shared" si="86"/>
        <v>0</v>
      </c>
      <c r="C1139" s="5" t="str">
        <f t="shared" si="85"/>
        <v/>
      </c>
      <c r="D1139" s="5" t="str">
        <f>IFERROR(IF(F1139&lt;&gt;"",F1139,VLOOKUP(MAX(C$2:C1139),A$2:F1139,2,FALSE)),"")</f>
        <v/>
      </c>
      <c r="E1139" s="5" t="str">
        <f t="shared" si="87"/>
        <v/>
      </c>
      <c r="K1139" t="str">
        <f>IFERROR(IF(VLOOKUP(E:E,'Old Report'!E:J,6,FALSE)="","",VLOOKUP(E:E,'Old Report'!E:J,6,FALSE)),"")</f>
        <v/>
      </c>
      <c r="L1139" t="str">
        <f>IFERROR(IF(VLOOKUP(E:E,'Old Report'!E:L,8,FALSE)="","",VLOOKUP(E:E,'Old Report'!E:L,8,FALSE)),"")</f>
        <v/>
      </c>
      <c r="M1139" s="5" t="str">
        <f t="shared" si="88"/>
        <v/>
      </c>
      <c r="N1139" s="5" t="str">
        <f t="shared" si="89"/>
        <v/>
      </c>
    </row>
    <row r="1140" spans="1:14" x14ac:dyDescent="0.25">
      <c r="A1140" s="5">
        <v>1139</v>
      </c>
      <c r="B1140" s="5">
        <f t="shared" si="86"/>
        <v>0</v>
      </c>
      <c r="C1140" s="5" t="str">
        <f t="shared" si="85"/>
        <v/>
      </c>
      <c r="D1140" s="5" t="str">
        <f>IFERROR(IF(F1140&lt;&gt;"",F1140,VLOOKUP(MAX(C$2:C1140),A$2:F1140,2,FALSE)),"")</f>
        <v/>
      </c>
      <c r="E1140" s="5" t="str">
        <f t="shared" si="87"/>
        <v/>
      </c>
      <c r="K1140" t="str">
        <f>IFERROR(IF(VLOOKUP(E:E,'Old Report'!E:J,6,FALSE)="","",VLOOKUP(E:E,'Old Report'!E:J,6,FALSE)),"")</f>
        <v/>
      </c>
      <c r="L1140" t="str">
        <f>IFERROR(IF(VLOOKUP(E:E,'Old Report'!E:L,8,FALSE)="","",VLOOKUP(E:E,'Old Report'!E:L,8,FALSE)),"")</f>
        <v/>
      </c>
      <c r="M1140" s="5" t="str">
        <f t="shared" si="88"/>
        <v/>
      </c>
      <c r="N1140" s="5" t="str">
        <f t="shared" si="89"/>
        <v/>
      </c>
    </row>
    <row r="1141" spans="1:14" x14ac:dyDescent="0.25">
      <c r="A1141" s="5">
        <v>1140</v>
      </c>
      <c r="B1141" s="5">
        <f t="shared" si="86"/>
        <v>0</v>
      </c>
      <c r="C1141" s="5" t="str">
        <f t="shared" si="85"/>
        <v/>
      </c>
      <c r="D1141" s="5" t="str">
        <f>IFERROR(IF(F1141&lt;&gt;"",F1141,VLOOKUP(MAX(C$2:C1141),A$2:F1141,2,FALSE)),"")</f>
        <v/>
      </c>
      <c r="E1141" s="5" t="str">
        <f t="shared" si="87"/>
        <v/>
      </c>
      <c r="K1141" t="str">
        <f>IFERROR(IF(VLOOKUP(E:E,'Old Report'!E:J,6,FALSE)="","",VLOOKUP(E:E,'Old Report'!E:J,6,FALSE)),"")</f>
        <v/>
      </c>
      <c r="L1141" t="str">
        <f>IFERROR(IF(VLOOKUP(E:E,'Old Report'!E:L,8,FALSE)="","",VLOOKUP(E:E,'Old Report'!E:L,8,FALSE)),"")</f>
        <v/>
      </c>
      <c r="M1141" s="5" t="str">
        <f t="shared" si="88"/>
        <v/>
      </c>
      <c r="N1141" s="5" t="str">
        <f t="shared" si="89"/>
        <v/>
      </c>
    </row>
    <row r="1142" spans="1:14" x14ac:dyDescent="0.25">
      <c r="A1142" s="5">
        <v>1141</v>
      </c>
      <c r="B1142" s="5">
        <f t="shared" si="86"/>
        <v>0</v>
      </c>
      <c r="C1142" s="5" t="str">
        <f t="shared" si="85"/>
        <v/>
      </c>
      <c r="D1142" s="5" t="str">
        <f>IFERROR(IF(F1142&lt;&gt;"",F1142,VLOOKUP(MAX(C$2:C1142),A$2:F1142,2,FALSE)),"")</f>
        <v/>
      </c>
      <c r="E1142" s="5" t="str">
        <f t="shared" si="87"/>
        <v/>
      </c>
      <c r="K1142" t="str">
        <f>IFERROR(IF(VLOOKUP(E:E,'Old Report'!E:J,6,FALSE)="","",VLOOKUP(E:E,'Old Report'!E:J,6,FALSE)),"")</f>
        <v/>
      </c>
      <c r="L1142" t="str">
        <f>IFERROR(IF(VLOOKUP(E:E,'Old Report'!E:L,8,FALSE)="","",VLOOKUP(E:E,'Old Report'!E:L,8,FALSE)),"")</f>
        <v/>
      </c>
      <c r="M1142" s="5" t="str">
        <f t="shared" si="88"/>
        <v/>
      </c>
      <c r="N1142" s="5" t="str">
        <f t="shared" si="89"/>
        <v/>
      </c>
    </row>
    <row r="1143" spans="1:14" x14ac:dyDescent="0.25">
      <c r="A1143" s="5">
        <v>1142</v>
      </c>
      <c r="B1143" s="5">
        <f t="shared" si="86"/>
        <v>0</v>
      </c>
      <c r="C1143" s="5" t="str">
        <f t="shared" si="85"/>
        <v/>
      </c>
      <c r="D1143" s="5" t="str">
        <f>IFERROR(IF(F1143&lt;&gt;"",F1143,VLOOKUP(MAX(C$2:C1143),A$2:F1143,2,FALSE)),"")</f>
        <v/>
      </c>
      <c r="E1143" s="5" t="str">
        <f t="shared" si="87"/>
        <v/>
      </c>
      <c r="K1143" t="str">
        <f>IFERROR(IF(VLOOKUP(E:E,'Old Report'!E:J,6,FALSE)="","",VLOOKUP(E:E,'Old Report'!E:J,6,FALSE)),"")</f>
        <v/>
      </c>
      <c r="L1143" t="str">
        <f>IFERROR(IF(VLOOKUP(E:E,'Old Report'!E:L,8,FALSE)="","",VLOOKUP(E:E,'Old Report'!E:L,8,FALSE)),"")</f>
        <v/>
      </c>
      <c r="M1143" s="5" t="str">
        <f t="shared" si="88"/>
        <v/>
      </c>
      <c r="N1143" s="5" t="str">
        <f t="shared" si="89"/>
        <v/>
      </c>
    </row>
    <row r="1144" spans="1:14" x14ac:dyDescent="0.25">
      <c r="A1144" s="5">
        <v>1143</v>
      </c>
      <c r="B1144" s="5">
        <f t="shared" si="86"/>
        <v>0</v>
      </c>
      <c r="C1144" s="5" t="str">
        <f t="shared" si="85"/>
        <v/>
      </c>
      <c r="D1144" s="5" t="str">
        <f>IFERROR(IF(F1144&lt;&gt;"",F1144,VLOOKUP(MAX(C$2:C1144),A$2:F1144,2,FALSE)),"")</f>
        <v/>
      </c>
      <c r="E1144" s="5" t="str">
        <f t="shared" si="87"/>
        <v/>
      </c>
      <c r="K1144" t="str">
        <f>IFERROR(IF(VLOOKUP(E:E,'Old Report'!E:J,6,FALSE)="","",VLOOKUP(E:E,'Old Report'!E:J,6,FALSE)),"")</f>
        <v/>
      </c>
      <c r="L1144" t="str">
        <f>IFERROR(IF(VLOOKUP(E:E,'Old Report'!E:L,8,FALSE)="","",VLOOKUP(E:E,'Old Report'!E:L,8,FALSE)),"")</f>
        <v/>
      </c>
      <c r="M1144" s="5" t="str">
        <f t="shared" si="88"/>
        <v/>
      </c>
      <c r="N1144" s="5" t="str">
        <f t="shared" si="89"/>
        <v/>
      </c>
    </row>
    <row r="1145" spans="1:14" x14ac:dyDescent="0.25">
      <c r="A1145" s="5">
        <v>1144</v>
      </c>
      <c r="B1145" s="5">
        <f t="shared" si="86"/>
        <v>0</v>
      </c>
      <c r="C1145" s="5" t="str">
        <f t="shared" si="85"/>
        <v/>
      </c>
      <c r="D1145" s="5" t="str">
        <f>IFERROR(IF(F1145&lt;&gt;"",F1145,VLOOKUP(MAX(C$2:C1145),A$2:F1145,2,FALSE)),"")</f>
        <v/>
      </c>
      <c r="E1145" s="5" t="str">
        <f t="shared" si="87"/>
        <v/>
      </c>
      <c r="K1145" t="str">
        <f>IFERROR(IF(VLOOKUP(E:E,'Old Report'!E:J,6,FALSE)="","",VLOOKUP(E:E,'Old Report'!E:J,6,FALSE)),"")</f>
        <v/>
      </c>
      <c r="L1145" t="str">
        <f>IFERROR(IF(VLOOKUP(E:E,'Old Report'!E:L,8,FALSE)="","",VLOOKUP(E:E,'Old Report'!E:L,8,FALSE)),"")</f>
        <v/>
      </c>
      <c r="M1145" s="5" t="str">
        <f t="shared" si="88"/>
        <v/>
      </c>
      <c r="N1145" s="5" t="str">
        <f t="shared" si="89"/>
        <v/>
      </c>
    </row>
    <row r="1146" spans="1:14" x14ac:dyDescent="0.25">
      <c r="A1146" s="5">
        <v>1145</v>
      </c>
      <c r="B1146" s="5">
        <f t="shared" si="86"/>
        <v>0</v>
      </c>
      <c r="C1146" s="5" t="str">
        <f t="shared" si="85"/>
        <v/>
      </c>
      <c r="D1146" s="5" t="str">
        <f>IFERROR(IF(F1146&lt;&gt;"",F1146,VLOOKUP(MAX(C$2:C1146),A$2:F1146,2,FALSE)),"")</f>
        <v/>
      </c>
      <c r="E1146" s="5" t="str">
        <f t="shared" si="87"/>
        <v/>
      </c>
      <c r="K1146" t="str">
        <f>IFERROR(IF(VLOOKUP(E:E,'Old Report'!E:J,6,FALSE)="","",VLOOKUP(E:E,'Old Report'!E:J,6,FALSE)),"")</f>
        <v/>
      </c>
      <c r="L1146" t="str">
        <f>IFERROR(IF(VLOOKUP(E:E,'Old Report'!E:L,8,FALSE)="","",VLOOKUP(E:E,'Old Report'!E:L,8,FALSE)),"")</f>
        <v/>
      </c>
      <c r="M1146" s="5" t="str">
        <f t="shared" si="88"/>
        <v/>
      </c>
      <c r="N1146" s="5" t="str">
        <f t="shared" si="89"/>
        <v/>
      </c>
    </row>
    <row r="1147" spans="1:14" x14ac:dyDescent="0.25">
      <c r="A1147" s="5">
        <v>1146</v>
      </c>
      <c r="B1147" s="5">
        <f t="shared" si="86"/>
        <v>0</v>
      </c>
      <c r="C1147" s="5" t="str">
        <f t="shared" si="85"/>
        <v/>
      </c>
      <c r="D1147" s="5" t="str">
        <f>IFERROR(IF(F1147&lt;&gt;"",F1147,VLOOKUP(MAX(C$2:C1147),A$2:F1147,2,FALSE)),"")</f>
        <v/>
      </c>
      <c r="E1147" s="5" t="str">
        <f t="shared" si="87"/>
        <v/>
      </c>
      <c r="K1147" t="str">
        <f>IFERROR(IF(VLOOKUP(E:E,'Old Report'!E:J,6,FALSE)="","",VLOOKUP(E:E,'Old Report'!E:J,6,FALSE)),"")</f>
        <v/>
      </c>
      <c r="L1147" t="str">
        <f>IFERROR(IF(VLOOKUP(E:E,'Old Report'!E:L,8,FALSE)="","",VLOOKUP(E:E,'Old Report'!E:L,8,FALSE)),"")</f>
        <v/>
      </c>
      <c r="M1147" s="5" t="str">
        <f t="shared" si="88"/>
        <v/>
      </c>
      <c r="N1147" s="5" t="str">
        <f t="shared" si="89"/>
        <v/>
      </c>
    </row>
    <row r="1148" spans="1:14" x14ac:dyDescent="0.25">
      <c r="A1148" s="5">
        <v>1147</v>
      </c>
      <c r="B1148" s="5">
        <f t="shared" si="86"/>
        <v>0</v>
      </c>
      <c r="C1148" s="5" t="str">
        <f t="shared" si="85"/>
        <v/>
      </c>
      <c r="D1148" s="5" t="str">
        <f>IFERROR(IF(F1148&lt;&gt;"",F1148,VLOOKUP(MAX(C$2:C1148),A$2:F1148,2,FALSE)),"")</f>
        <v/>
      </c>
      <c r="E1148" s="5" t="str">
        <f t="shared" si="87"/>
        <v/>
      </c>
      <c r="K1148" t="str">
        <f>IFERROR(IF(VLOOKUP(E:E,'Old Report'!E:J,6,FALSE)="","",VLOOKUP(E:E,'Old Report'!E:J,6,FALSE)),"")</f>
        <v/>
      </c>
      <c r="L1148" t="str">
        <f>IFERROR(IF(VLOOKUP(E:E,'Old Report'!E:L,8,FALSE)="","",VLOOKUP(E:E,'Old Report'!E:L,8,FALSE)),"")</f>
        <v/>
      </c>
      <c r="M1148" s="5" t="str">
        <f t="shared" si="88"/>
        <v/>
      </c>
      <c r="N1148" s="5" t="str">
        <f t="shared" si="89"/>
        <v/>
      </c>
    </row>
    <row r="1149" spans="1:14" x14ac:dyDescent="0.25">
      <c r="A1149" s="5">
        <v>1148</v>
      </c>
      <c r="B1149" s="5">
        <f t="shared" si="86"/>
        <v>0</v>
      </c>
      <c r="C1149" s="5" t="str">
        <f t="shared" si="85"/>
        <v/>
      </c>
      <c r="D1149" s="5" t="str">
        <f>IFERROR(IF(F1149&lt;&gt;"",F1149,VLOOKUP(MAX(C$2:C1149),A$2:F1149,2,FALSE)),"")</f>
        <v/>
      </c>
      <c r="E1149" s="5" t="str">
        <f t="shared" si="87"/>
        <v/>
      </c>
      <c r="K1149" t="str">
        <f>IFERROR(IF(VLOOKUP(E:E,'Old Report'!E:J,6,FALSE)="","",VLOOKUP(E:E,'Old Report'!E:J,6,FALSE)),"")</f>
        <v/>
      </c>
      <c r="L1149" t="str">
        <f>IFERROR(IF(VLOOKUP(E:E,'Old Report'!E:L,8,FALSE)="","",VLOOKUP(E:E,'Old Report'!E:L,8,FALSE)),"")</f>
        <v/>
      </c>
      <c r="M1149" s="5" t="str">
        <f t="shared" si="88"/>
        <v/>
      </c>
      <c r="N1149" s="5" t="str">
        <f t="shared" si="89"/>
        <v/>
      </c>
    </row>
    <row r="1150" spans="1:14" x14ac:dyDescent="0.25">
      <c r="A1150" s="5">
        <v>1149</v>
      </c>
      <c r="B1150" s="5">
        <f t="shared" si="86"/>
        <v>0</v>
      </c>
      <c r="C1150" s="5" t="str">
        <f t="shared" si="85"/>
        <v/>
      </c>
      <c r="D1150" s="5" t="str">
        <f>IFERROR(IF(F1150&lt;&gt;"",F1150,VLOOKUP(MAX(C$2:C1150),A$2:F1150,2,FALSE)),"")</f>
        <v/>
      </c>
      <c r="E1150" s="5" t="str">
        <f t="shared" si="87"/>
        <v/>
      </c>
      <c r="K1150" t="str">
        <f>IFERROR(IF(VLOOKUP(E:E,'Old Report'!E:J,6,FALSE)="","",VLOOKUP(E:E,'Old Report'!E:J,6,FALSE)),"")</f>
        <v/>
      </c>
      <c r="L1150" t="str">
        <f>IFERROR(IF(VLOOKUP(E:E,'Old Report'!E:L,8,FALSE)="","",VLOOKUP(E:E,'Old Report'!E:L,8,FALSE)),"")</f>
        <v/>
      </c>
      <c r="M1150" s="5" t="str">
        <f t="shared" si="88"/>
        <v/>
      </c>
      <c r="N1150" s="5" t="str">
        <f t="shared" si="89"/>
        <v/>
      </c>
    </row>
    <row r="1151" spans="1:14" x14ac:dyDescent="0.25">
      <c r="A1151" s="5">
        <v>1150</v>
      </c>
      <c r="B1151" s="5">
        <f t="shared" si="86"/>
        <v>0</v>
      </c>
      <c r="C1151" s="5" t="str">
        <f t="shared" si="85"/>
        <v/>
      </c>
      <c r="D1151" s="5" t="str">
        <f>IFERROR(IF(F1151&lt;&gt;"",F1151,VLOOKUP(MAX(C$2:C1151),A$2:F1151,2,FALSE)),"")</f>
        <v/>
      </c>
      <c r="E1151" s="5" t="str">
        <f t="shared" si="87"/>
        <v/>
      </c>
      <c r="K1151" t="str">
        <f>IFERROR(IF(VLOOKUP(E:E,'Old Report'!E:J,6,FALSE)="","",VLOOKUP(E:E,'Old Report'!E:J,6,FALSE)),"")</f>
        <v/>
      </c>
      <c r="L1151" t="str">
        <f>IFERROR(IF(VLOOKUP(E:E,'Old Report'!E:L,8,FALSE)="","",VLOOKUP(E:E,'Old Report'!E:L,8,FALSE)),"")</f>
        <v/>
      </c>
      <c r="M1151" s="5" t="str">
        <f t="shared" si="88"/>
        <v/>
      </c>
      <c r="N1151" s="5" t="str">
        <f t="shared" si="89"/>
        <v/>
      </c>
    </row>
    <row r="1152" spans="1:14" x14ac:dyDescent="0.25">
      <c r="A1152" s="5">
        <v>1151</v>
      </c>
      <c r="B1152" s="5">
        <f t="shared" si="86"/>
        <v>0</v>
      </c>
      <c r="C1152" s="5" t="str">
        <f t="shared" si="85"/>
        <v/>
      </c>
      <c r="D1152" s="5" t="str">
        <f>IFERROR(IF(F1152&lt;&gt;"",F1152,VLOOKUP(MAX(C$2:C1152),A$2:F1152,2,FALSE)),"")</f>
        <v/>
      </c>
      <c r="E1152" s="5" t="str">
        <f t="shared" si="87"/>
        <v/>
      </c>
      <c r="K1152" t="str">
        <f>IFERROR(IF(VLOOKUP(E:E,'Old Report'!E:J,6,FALSE)="","",VLOOKUP(E:E,'Old Report'!E:J,6,FALSE)),"")</f>
        <v/>
      </c>
      <c r="L1152" t="str">
        <f>IFERROR(IF(VLOOKUP(E:E,'Old Report'!E:L,8,FALSE)="","",VLOOKUP(E:E,'Old Report'!E:L,8,FALSE)),"")</f>
        <v/>
      </c>
      <c r="M1152" s="5" t="str">
        <f t="shared" si="88"/>
        <v/>
      </c>
      <c r="N1152" s="5" t="str">
        <f t="shared" si="89"/>
        <v/>
      </c>
    </row>
    <row r="1153" spans="1:14" x14ac:dyDescent="0.25">
      <c r="A1153" s="5">
        <v>1152</v>
      </c>
      <c r="B1153" s="5">
        <f t="shared" si="86"/>
        <v>0</v>
      </c>
      <c r="C1153" s="5" t="str">
        <f t="shared" si="85"/>
        <v/>
      </c>
      <c r="D1153" s="5" t="str">
        <f>IFERROR(IF(F1153&lt;&gt;"",F1153,VLOOKUP(MAX(C$2:C1153),A$2:F1153,2,FALSE)),"")</f>
        <v/>
      </c>
      <c r="E1153" s="5" t="str">
        <f t="shared" si="87"/>
        <v/>
      </c>
      <c r="K1153" t="str">
        <f>IFERROR(IF(VLOOKUP(E:E,'Old Report'!E:J,6,FALSE)="","",VLOOKUP(E:E,'Old Report'!E:J,6,FALSE)),"")</f>
        <v/>
      </c>
      <c r="L1153" t="str">
        <f>IFERROR(IF(VLOOKUP(E:E,'Old Report'!E:L,8,FALSE)="","",VLOOKUP(E:E,'Old Report'!E:L,8,FALSE)),"")</f>
        <v/>
      </c>
      <c r="M1153" s="5" t="str">
        <f t="shared" si="88"/>
        <v/>
      </c>
      <c r="N1153" s="5" t="str">
        <f t="shared" si="89"/>
        <v/>
      </c>
    </row>
    <row r="1154" spans="1:14" x14ac:dyDescent="0.25">
      <c r="A1154" s="5">
        <v>1153</v>
      </c>
      <c r="B1154" s="5">
        <f t="shared" si="86"/>
        <v>0</v>
      </c>
      <c r="C1154" s="5" t="str">
        <f t="shared" ref="C1154:C1217" si="90">IF(F1154&lt;&gt;"",A1154,"")</f>
        <v/>
      </c>
      <c r="D1154" s="5" t="str">
        <f>IFERROR(IF(F1154&lt;&gt;"",F1154,VLOOKUP(MAX(C$2:C1154),A$2:F1154,2,FALSE)),"")</f>
        <v/>
      </c>
      <c r="E1154" s="5" t="str">
        <f t="shared" si="87"/>
        <v/>
      </c>
      <c r="K1154" t="str">
        <f>IFERROR(IF(VLOOKUP(E:E,'Old Report'!E:J,6,FALSE)="","",VLOOKUP(E:E,'Old Report'!E:J,6,FALSE)),"")</f>
        <v/>
      </c>
      <c r="L1154" t="str">
        <f>IFERROR(IF(VLOOKUP(E:E,'Old Report'!E:L,8,FALSE)="","",VLOOKUP(E:E,'Old Report'!E:L,8,FALSE)),"")</f>
        <v/>
      </c>
      <c r="M1154" s="5" t="str">
        <f t="shared" si="88"/>
        <v/>
      </c>
      <c r="N1154" s="5" t="str">
        <f t="shared" si="89"/>
        <v/>
      </c>
    </row>
    <row r="1155" spans="1:14" x14ac:dyDescent="0.25">
      <c r="A1155" s="5">
        <v>1154</v>
      </c>
      <c r="B1155" s="5">
        <f t="shared" ref="B1155:B1218" si="91">IF(F1156&lt;&gt;"",F1156,F1155)</f>
        <v>0</v>
      </c>
      <c r="C1155" s="5" t="str">
        <f t="shared" si="90"/>
        <v/>
      </c>
      <c r="D1155" s="5" t="str">
        <f>IFERROR(IF(F1155&lt;&gt;"",F1155,VLOOKUP(MAX(C$2:C1155),A$2:F1155,2,FALSE)),"")</f>
        <v/>
      </c>
      <c r="E1155" s="5" t="str">
        <f t="shared" ref="E1155:E1218" si="92">IF(H1155&lt;&gt;"",CONCATENATE(D1155,".",H1155),"")</f>
        <v/>
      </c>
      <c r="K1155" t="str">
        <f>IFERROR(IF(VLOOKUP(E:E,'Old Report'!E:J,6,FALSE)="","",VLOOKUP(E:E,'Old Report'!E:J,6,FALSE)),"")</f>
        <v/>
      </c>
      <c r="L1155" t="str">
        <f>IFERROR(IF(VLOOKUP(E:E,'Old Report'!E:L,8,FALSE)="","",VLOOKUP(E:E,'Old Report'!E:L,8,FALSE)),"")</f>
        <v/>
      </c>
      <c r="M1155" s="5" t="str">
        <f t="shared" si="88"/>
        <v/>
      </c>
      <c r="N1155" s="5" t="str">
        <f t="shared" si="89"/>
        <v/>
      </c>
    </row>
    <row r="1156" spans="1:14" x14ac:dyDescent="0.25">
      <c r="A1156" s="5">
        <v>1155</v>
      </c>
      <c r="B1156" s="5">
        <f t="shared" si="91"/>
        <v>0</v>
      </c>
      <c r="C1156" s="5" t="str">
        <f t="shared" si="90"/>
        <v/>
      </c>
      <c r="D1156" s="5" t="str">
        <f>IFERROR(IF(F1156&lt;&gt;"",F1156,VLOOKUP(MAX(C$2:C1156),A$2:F1156,2,FALSE)),"")</f>
        <v/>
      </c>
      <c r="E1156" s="5" t="str">
        <f t="shared" si="92"/>
        <v/>
      </c>
      <c r="K1156" t="str">
        <f>IFERROR(IF(VLOOKUP(E:E,'Old Report'!E:J,6,FALSE)="","",VLOOKUP(E:E,'Old Report'!E:J,6,FALSE)),"")</f>
        <v/>
      </c>
      <c r="L1156" t="str">
        <f>IFERROR(IF(VLOOKUP(E:E,'Old Report'!E:L,8,FALSE)="","",VLOOKUP(E:E,'Old Report'!E:L,8,FALSE)),"")</f>
        <v/>
      </c>
      <c r="M1156" s="5" t="str">
        <f t="shared" ref="M1156:M1219" si="93">IFERROR(L1156,"")</f>
        <v/>
      </c>
      <c r="N1156" s="5" t="str">
        <f t="shared" ref="N1156:N1219" si="94">IFERROR( IF(J1156&lt;&gt;"",IF(K1156 &lt;&gt; "",IF(J1156 = K1156,"No Change",IF(J1156 &lt; K1156,CONCATENATE("Issues reduced from ",K1156," to ",J1156),IF(J1156&gt;K1156,CONCATENATE("Issues increased from ",K1156," to ",J1156),""))),"New issue - needs to be checked"),""),"")</f>
        <v/>
      </c>
    </row>
    <row r="1157" spans="1:14" x14ac:dyDescent="0.25">
      <c r="A1157" s="5">
        <v>1156</v>
      </c>
      <c r="B1157" s="5">
        <f t="shared" si="91"/>
        <v>0</v>
      </c>
      <c r="C1157" s="5" t="str">
        <f t="shared" si="90"/>
        <v/>
      </c>
      <c r="D1157" s="5" t="str">
        <f>IFERROR(IF(F1157&lt;&gt;"",F1157,VLOOKUP(MAX(C$2:C1157),A$2:F1157,2,FALSE)),"")</f>
        <v/>
      </c>
      <c r="E1157" s="5" t="str">
        <f t="shared" si="92"/>
        <v/>
      </c>
      <c r="K1157" t="str">
        <f>IFERROR(IF(VLOOKUP(E:E,'Old Report'!E:J,6,FALSE)="","",VLOOKUP(E:E,'Old Report'!E:J,6,FALSE)),"")</f>
        <v/>
      </c>
      <c r="L1157" t="str">
        <f>IFERROR(IF(VLOOKUP(E:E,'Old Report'!E:L,8,FALSE)="","",VLOOKUP(E:E,'Old Report'!E:L,8,FALSE)),"")</f>
        <v/>
      </c>
      <c r="M1157" s="5" t="str">
        <f t="shared" si="93"/>
        <v/>
      </c>
      <c r="N1157" s="5" t="str">
        <f t="shared" si="94"/>
        <v/>
      </c>
    </row>
    <row r="1158" spans="1:14" x14ac:dyDescent="0.25">
      <c r="A1158" s="5">
        <v>1157</v>
      </c>
      <c r="B1158" s="5">
        <f t="shared" si="91"/>
        <v>0</v>
      </c>
      <c r="C1158" s="5" t="str">
        <f t="shared" si="90"/>
        <v/>
      </c>
      <c r="D1158" s="5" t="str">
        <f>IFERROR(IF(F1158&lt;&gt;"",F1158,VLOOKUP(MAX(C$2:C1158),A$2:F1158,2,FALSE)),"")</f>
        <v/>
      </c>
      <c r="E1158" s="5" t="str">
        <f t="shared" si="92"/>
        <v/>
      </c>
      <c r="K1158" t="str">
        <f>IFERROR(IF(VLOOKUP(E:E,'Old Report'!E:J,6,FALSE)="","",VLOOKUP(E:E,'Old Report'!E:J,6,FALSE)),"")</f>
        <v/>
      </c>
      <c r="L1158" t="str">
        <f>IFERROR(IF(VLOOKUP(E:E,'Old Report'!E:L,8,FALSE)="","",VLOOKUP(E:E,'Old Report'!E:L,8,FALSE)),"")</f>
        <v/>
      </c>
      <c r="M1158" s="5" t="str">
        <f t="shared" si="93"/>
        <v/>
      </c>
      <c r="N1158" s="5" t="str">
        <f t="shared" si="94"/>
        <v/>
      </c>
    </row>
    <row r="1159" spans="1:14" x14ac:dyDescent="0.25">
      <c r="A1159" s="5">
        <v>1158</v>
      </c>
      <c r="B1159" s="5">
        <f t="shared" si="91"/>
        <v>0</v>
      </c>
      <c r="C1159" s="5" t="str">
        <f t="shared" si="90"/>
        <v/>
      </c>
      <c r="D1159" s="5" t="str">
        <f>IFERROR(IF(F1159&lt;&gt;"",F1159,VLOOKUP(MAX(C$2:C1159),A$2:F1159,2,FALSE)),"")</f>
        <v/>
      </c>
      <c r="E1159" s="5" t="str">
        <f t="shared" si="92"/>
        <v/>
      </c>
      <c r="K1159" t="str">
        <f>IFERROR(IF(VLOOKUP(E:E,'Old Report'!E:J,6,FALSE)="","",VLOOKUP(E:E,'Old Report'!E:J,6,FALSE)),"")</f>
        <v/>
      </c>
      <c r="L1159" t="str">
        <f>IFERROR(IF(VLOOKUP(E:E,'Old Report'!E:L,8,FALSE)="","",VLOOKUP(E:E,'Old Report'!E:L,8,FALSE)),"")</f>
        <v/>
      </c>
      <c r="M1159" s="5" t="str">
        <f t="shared" si="93"/>
        <v/>
      </c>
      <c r="N1159" s="5" t="str">
        <f t="shared" si="94"/>
        <v/>
      </c>
    </row>
    <row r="1160" spans="1:14" x14ac:dyDescent="0.25">
      <c r="A1160" s="5">
        <v>1159</v>
      </c>
      <c r="B1160" s="5">
        <f t="shared" si="91"/>
        <v>0</v>
      </c>
      <c r="C1160" s="5" t="str">
        <f t="shared" si="90"/>
        <v/>
      </c>
      <c r="D1160" s="5" t="str">
        <f>IFERROR(IF(F1160&lt;&gt;"",F1160,VLOOKUP(MAX(C$2:C1160),A$2:F1160,2,FALSE)),"")</f>
        <v/>
      </c>
      <c r="E1160" s="5" t="str">
        <f t="shared" si="92"/>
        <v/>
      </c>
      <c r="K1160" t="str">
        <f>IFERROR(IF(VLOOKUP(E:E,'Old Report'!E:J,6,FALSE)="","",VLOOKUP(E:E,'Old Report'!E:J,6,FALSE)),"")</f>
        <v/>
      </c>
      <c r="L1160" t="str">
        <f>IFERROR(IF(VLOOKUP(E:E,'Old Report'!E:L,8,FALSE)="","",VLOOKUP(E:E,'Old Report'!E:L,8,FALSE)),"")</f>
        <v/>
      </c>
      <c r="M1160" s="5" t="str">
        <f t="shared" si="93"/>
        <v/>
      </c>
      <c r="N1160" s="5" t="str">
        <f t="shared" si="94"/>
        <v/>
      </c>
    </row>
    <row r="1161" spans="1:14" x14ac:dyDescent="0.25">
      <c r="A1161" s="5">
        <v>1160</v>
      </c>
      <c r="B1161" s="5">
        <f t="shared" si="91"/>
        <v>0</v>
      </c>
      <c r="C1161" s="5" t="str">
        <f t="shared" si="90"/>
        <v/>
      </c>
      <c r="D1161" s="5" t="str">
        <f>IFERROR(IF(F1161&lt;&gt;"",F1161,VLOOKUP(MAX(C$2:C1161),A$2:F1161,2,FALSE)),"")</f>
        <v/>
      </c>
      <c r="E1161" s="5" t="str">
        <f t="shared" si="92"/>
        <v/>
      </c>
      <c r="K1161" t="str">
        <f>IFERROR(IF(VLOOKUP(E:E,'Old Report'!E:J,6,FALSE)="","",VLOOKUP(E:E,'Old Report'!E:J,6,FALSE)),"")</f>
        <v/>
      </c>
      <c r="L1161" t="str">
        <f>IFERROR(IF(VLOOKUP(E:E,'Old Report'!E:L,8,FALSE)="","",VLOOKUP(E:E,'Old Report'!E:L,8,FALSE)),"")</f>
        <v/>
      </c>
      <c r="M1161" s="5" t="str">
        <f t="shared" si="93"/>
        <v/>
      </c>
      <c r="N1161" s="5" t="str">
        <f t="shared" si="94"/>
        <v/>
      </c>
    </row>
    <row r="1162" spans="1:14" x14ac:dyDescent="0.25">
      <c r="A1162" s="5">
        <v>1161</v>
      </c>
      <c r="B1162" s="5">
        <f t="shared" si="91"/>
        <v>0</v>
      </c>
      <c r="C1162" s="5" t="str">
        <f t="shared" si="90"/>
        <v/>
      </c>
      <c r="D1162" s="5" t="str">
        <f>IFERROR(IF(F1162&lt;&gt;"",F1162,VLOOKUP(MAX(C$2:C1162),A$2:F1162,2,FALSE)),"")</f>
        <v/>
      </c>
      <c r="E1162" s="5" t="str">
        <f t="shared" si="92"/>
        <v/>
      </c>
      <c r="K1162" t="str">
        <f>IFERROR(IF(VLOOKUP(E:E,'Old Report'!E:J,6,FALSE)="","",VLOOKUP(E:E,'Old Report'!E:J,6,FALSE)),"")</f>
        <v/>
      </c>
      <c r="L1162" t="str">
        <f>IFERROR(IF(VLOOKUP(E:E,'Old Report'!E:L,8,FALSE)="","",VLOOKUP(E:E,'Old Report'!E:L,8,FALSE)),"")</f>
        <v/>
      </c>
      <c r="M1162" s="5" t="str">
        <f t="shared" si="93"/>
        <v/>
      </c>
      <c r="N1162" s="5" t="str">
        <f t="shared" si="94"/>
        <v/>
      </c>
    </row>
    <row r="1163" spans="1:14" x14ac:dyDescent="0.25">
      <c r="A1163" s="5">
        <v>1162</v>
      </c>
      <c r="B1163" s="5">
        <f t="shared" si="91"/>
        <v>0</v>
      </c>
      <c r="C1163" s="5" t="str">
        <f t="shared" si="90"/>
        <v/>
      </c>
      <c r="D1163" s="5" t="str">
        <f>IFERROR(IF(F1163&lt;&gt;"",F1163,VLOOKUP(MAX(C$2:C1163),A$2:F1163,2,FALSE)),"")</f>
        <v/>
      </c>
      <c r="E1163" s="5" t="str">
        <f t="shared" si="92"/>
        <v/>
      </c>
      <c r="K1163" t="str">
        <f>IFERROR(IF(VLOOKUP(E:E,'Old Report'!E:J,6,FALSE)="","",VLOOKUP(E:E,'Old Report'!E:J,6,FALSE)),"")</f>
        <v/>
      </c>
      <c r="L1163" t="str">
        <f>IFERROR(IF(VLOOKUP(E:E,'Old Report'!E:L,8,FALSE)="","",VLOOKUP(E:E,'Old Report'!E:L,8,FALSE)),"")</f>
        <v/>
      </c>
      <c r="M1163" s="5" t="str">
        <f t="shared" si="93"/>
        <v/>
      </c>
      <c r="N1163" s="5" t="str">
        <f t="shared" si="94"/>
        <v/>
      </c>
    </row>
    <row r="1164" spans="1:14" x14ac:dyDescent="0.25">
      <c r="A1164" s="5">
        <v>1163</v>
      </c>
      <c r="B1164" s="5">
        <f t="shared" si="91"/>
        <v>0</v>
      </c>
      <c r="C1164" s="5" t="str">
        <f t="shared" si="90"/>
        <v/>
      </c>
      <c r="D1164" s="5" t="str">
        <f>IFERROR(IF(F1164&lt;&gt;"",F1164,VLOOKUP(MAX(C$2:C1164),A$2:F1164,2,FALSE)),"")</f>
        <v/>
      </c>
      <c r="E1164" s="5" t="str">
        <f t="shared" si="92"/>
        <v/>
      </c>
      <c r="K1164" t="str">
        <f>IFERROR(IF(VLOOKUP(E:E,'Old Report'!E:J,6,FALSE)="","",VLOOKUP(E:E,'Old Report'!E:J,6,FALSE)),"")</f>
        <v/>
      </c>
      <c r="L1164" t="str">
        <f>IFERROR(IF(VLOOKUP(E:E,'Old Report'!E:L,8,FALSE)="","",VLOOKUP(E:E,'Old Report'!E:L,8,FALSE)),"")</f>
        <v/>
      </c>
      <c r="M1164" s="5" t="str">
        <f t="shared" si="93"/>
        <v/>
      </c>
      <c r="N1164" s="5" t="str">
        <f t="shared" si="94"/>
        <v/>
      </c>
    </row>
    <row r="1165" spans="1:14" x14ac:dyDescent="0.25">
      <c r="A1165" s="5">
        <v>1164</v>
      </c>
      <c r="B1165" s="5">
        <f t="shared" si="91"/>
        <v>0</v>
      </c>
      <c r="C1165" s="5" t="str">
        <f t="shared" si="90"/>
        <v/>
      </c>
      <c r="D1165" s="5" t="str">
        <f>IFERROR(IF(F1165&lt;&gt;"",F1165,VLOOKUP(MAX(C$2:C1165),A$2:F1165,2,FALSE)),"")</f>
        <v/>
      </c>
      <c r="E1165" s="5" t="str">
        <f t="shared" si="92"/>
        <v/>
      </c>
      <c r="K1165" t="str">
        <f>IFERROR(IF(VLOOKUP(E:E,'Old Report'!E:J,6,FALSE)="","",VLOOKUP(E:E,'Old Report'!E:J,6,FALSE)),"")</f>
        <v/>
      </c>
      <c r="L1165" t="str">
        <f>IFERROR(IF(VLOOKUP(E:E,'Old Report'!E:L,8,FALSE)="","",VLOOKUP(E:E,'Old Report'!E:L,8,FALSE)),"")</f>
        <v/>
      </c>
      <c r="M1165" s="5" t="str">
        <f t="shared" si="93"/>
        <v/>
      </c>
      <c r="N1165" s="5" t="str">
        <f t="shared" si="94"/>
        <v/>
      </c>
    </row>
    <row r="1166" spans="1:14" x14ac:dyDescent="0.25">
      <c r="A1166" s="5">
        <v>1165</v>
      </c>
      <c r="B1166" s="5">
        <f t="shared" si="91"/>
        <v>0</v>
      </c>
      <c r="C1166" s="5" t="str">
        <f t="shared" si="90"/>
        <v/>
      </c>
      <c r="D1166" s="5" t="str">
        <f>IFERROR(IF(F1166&lt;&gt;"",F1166,VLOOKUP(MAX(C$2:C1166),A$2:F1166,2,FALSE)),"")</f>
        <v/>
      </c>
      <c r="E1166" s="5" t="str">
        <f t="shared" si="92"/>
        <v/>
      </c>
      <c r="K1166" t="str">
        <f>IFERROR(IF(VLOOKUP(E:E,'Old Report'!E:J,6,FALSE)="","",VLOOKUP(E:E,'Old Report'!E:J,6,FALSE)),"")</f>
        <v/>
      </c>
      <c r="L1166" t="str">
        <f>IFERROR(IF(VLOOKUP(E:E,'Old Report'!E:L,8,FALSE)="","",VLOOKUP(E:E,'Old Report'!E:L,8,FALSE)),"")</f>
        <v/>
      </c>
      <c r="M1166" s="5" t="str">
        <f t="shared" si="93"/>
        <v/>
      </c>
      <c r="N1166" s="5" t="str">
        <f t="shared" si="94"/>
        <v/>
      </c>
    </row>
    <row r="1167" spans="1:14" x14ac:dyDescent="0.25">
      <c r="A1167" s="5">
        <v>1166</v>
      </c>
      <c r="B1167" s="5">
        <f t="shared" si="91"/>
        <v>0</v>
      </c>
      <c r="C1167" s="5" t="str">
        <f t="shared" si="90"/>
        <v/>
      </c>
      <c r="D1167" s="5" t="str">
        <f>IFERROR(IF(F1167&lt;&gt;"",F1167,VLOOKUP(MAX(C$2:C1167),A$2:F1167,2,FALSE)),"")</f>
        <v/>
      </c>
      <c r="E1167" s="5" t="str">
        <f t="shared" si="92"/>
        <v/>
      </c>
      <c r="K1167" t="str">
        <f>IFERROR(IF(VLOOKUP(E:E,'Old Report'!E:J,6,FALSE)="","",VLOOKUP(E:E,'Old Report'!E:J,6,FALSE)),"")</f>
        <v/>
      </c>
      <c r="L1167" t="str">
        <f>IFERROR(IF(VLOOKUP(E:E,'Old Report'!E:L,8,FALSE)="","",VLOOKUP(E:E,'Old Report'!E:L,8,FALSE)),"")</f>
        <v/>
      </c>
      <c r="M1167" s="5" t="str">
        <f t="shared" si="93"/>
        <v/>
      </c>
      <c r="N1167" s="5" t="str">
        <f t="shared" si="94"/>
        <v/>
      </c>
    </row>
    <row r="1168" spans="1:14" x14ac:dyDescent="0.25">
      <c r="A1168" s="5">
        <v>1167</v>
      </c>
      <c r="B1168" s="5">
        <f t="shared" si="91"/>
        <v>0</v>
      </c>
      <c r="C1168" s="5" t="str">
        <f t="shared" si="90"/>
        <v/>
      </c>
      <c r="D1168" s="5" t="str">
        <f>IFERROR(IF(F1168&lt;&gt;"",F1168,VLOOKUP(MAX(C$2:C1168),A$2:F1168,2,FALSE)),"")</f>
        <v/>
      </c>
      <c r="E1168" s="5" t="str">
        <f t="shared" si="92"/>
        <v/>
      </c>
      <c r="K1168" t="str">
        <f>IFERROR(IF(VLOOKUP(E:E,'Old Report'!E:J,6,FALSE)="","",VLOOKUP(E:E,'Old Report'!E:J,6,FALSE)),"")</f>
        <v/>
      </c>
      <c r="L1168" t="str">
        <f>IFERROR(IF(VLOOKUP(E:E,'Old Report'!E:L,8,FALSE)="","",VLOOKUP(E:E,'Old Report'!E:L,8,FALSE)),"")</f>
        <v/>
      </c>
      <c r="M1168" s="5" t="str">
        <f t="shared" si="93"/>
        <v/>
      </c>
      <c r="N1168" s="5" t="str">
        <f t="shared" si="94"/>
        <v/>
      </c>
    </row>
    <row r="1169" spans="1:14" x14ac:dyDescent="0.25">
      <c r="A1169" s="5">
        <v>1168</v>
      </c>
      <c r="B1169" s="5">
        <f t="shared" si="91"/>
        <v>0</v>
      </c>
      <c r="C1169" s="5" t="str">
        <f t="shared" si="90"/>
        <v/>
      </c>
      <c r="D1169" s="5" t="str">
        <f>IFERROR(IF(F1169&lt;&gt;"",F1169,VLOOKUP(MAX(C$2:C1169),A$2:F1169,2,FALSE)),"")</f>
        <v/>
      </c>
      <c r="E1169" s="5" t="str">
        <f t="shared" si="92"/>
        <v/>
      </c>
      <c r="K1169" t="str">
        <f>IFERROR(IF(VLOOKUP(E:E,'Old Report'!E:J,6,FALSE)="","",VLOOKUP(E:E,'Old Report'!E:J,6,FALSE)),"")</f>
        <v/>
      </c>
      <c r="L1169" t="str">
        <f>IFERROR(IF(VLOOKUP(E:E,'Old Report'!E:L,8,FALSE)="","",VLOOKUP(E:E,'Old Report'!E:L,8,FALSE)),"")</f>
        <v/>
      </c>
      <c r="M1169" s="5" t="str">
        <f t="shared" si="93"/>
        <v/>
      </c>
      <c r="N1169" s="5" t="str">
        <f t="shared" si="94"/>
        <v/>
      </c>
    </row>
    <row r="1170" spans="1:14" x14ac:dyDescent="0.25">
      <c r="A1170" s="5">
        <v>1169</v>
      </c>
      <c r="B1170" s="5">
        <f t="shared" si="91"/>
        <v>0</v>
      </c>
      <c r="C1170" s="5" t="str">
        <f t="shared" si="90"/>
        <v/>
      </c>
      <c r="D1170" s="5" t="str">
        <f>IFERROR(IF(F1170&lt;&gt;"",F1170,VLOOKUP(MAX(C$2:C1170),A$2:F1170,2,FALSE)),"")</f>
        <v/>
      </c>
      <c r="E1170" s="5" t="str">
        <f t="shared" si="92"/>
        <v/>
      </c>
      <c r="K1170" t="str">
        <f>IFERROR(IF(VLOOKUP(E:E,'Old Report'!E:J,6,FALSE)="","",VLOOKUP(E:E,'Old Report'!E:J,6,FALSE)),"")</f>
        <v/>
      </c>
      <c r="L1170" t="str">
        <f>IFERROR(IF(VLOOKUP(E:E,'Old Report'!E:L,8,FALSE)="","",VLOOKUP(E:E,'Old Report'!E:L,8,FALSE)),"")</f>
        <v/>
      </c>
      <c r="M1170" s="5" t="str">
        <f t="shared" si="93"/>
        <v/>
      </c>
      <c r="N1170" s="5" t="str">
        <f t="shared" si="94"/>
        <v/>
      </c>
    </row>
    <row r="1171" spans="1:14" x14ac:dyDescent="0.25">
      <c r="A1171" s="5">
        <v>1170</v>
      </c>
      <c r="B1171" s="5">
        <f t="shared" si="91"/>
        <v>0</v>
      </c>
      <c r="C1171" s="5" t="str">
        <f t="shared" si="90"/>
        <v/>
      </c>
      <c r="D1171" s="5" t="str">
        <f>IFERROR(IF(F1171&lt;&gt;"",F1171,VLOOKUP(MAX(C$2:C1171),A$2:F1171,2,FALSE)),"")</f>
        <v/>
      </c>
      <c r="E1171" s="5" t="str">
        <f t="shared" si="92"/>
        <v/>
      </c>
      <c r="K1171" t="str">
        <f>IFERROR(IF(VLOOKUP(E:E,'Old Report'!E:J,6,FALSE)="","",VLOOKUP(E:E,'Old Report'!E:J,6,FALSE)),"")</f>
        <v/>
      </c>
      <c r="L1171" t="str">
        <f>IFERROR(IF(VLOOKUP(E:E,'Old Report'!E:L,8,FALSE)="","",VLOOKUP(E:E,'Old Report'!E:L,8,FALSE)),"")</f>
        <v/>
      </c>
      <c r="M1171" s="5" t="str">
        <f t="shared" si="93"/>
        <v/>
      </c>
      <c r="N1171" s="5" t="str">
        <f t="shared" si="94"/>
        <v/>
      </c>
    </row>
    <row r="1172" spans="1:14" x14ac:dyDescent="0.25">
      <c r="A1172" s="5">
        <v>1171</v>
      </c>
      <c r="B1172" s="5">
        <f t="shared" si="91"/>
        <v>0</v>
      </c>
      <c r="C1172" s="5" t="str">
        <f t="shared" si="90"/>
        <v/>
      </c>
      <c r="D1172" s="5" t="str">
        <f>IFERROR(IF(F1172&lt;&gt;"",F1172,VLOOKUP(MAX(C$2:C1172),A$2:F1172,2,FALSE)),"")</f>
        <v/>
      </c>
      <c r="E1172" s="5" t="str">
        <f t="shared" si="92"/>
        <v/>
      </c>
      <c r="K1172" t="str">
        <f>IFERROR(IF(VLOOKUP(E:E,'Old Report'!E:J,6,FALSE)="","",VLOOKUP(E:E,'Old Report'!E:J,6,FALSE)),"")</f>
        <v/>
      </c>
      <c r="L1172" t="str">
        <f>IFERROR(IF(VLOOKUP(E:E,'Old Report'!E:L,8,FALSE)="","",VLOOKUP(E:E,'Old Report'!E:L,8,FALSE)),"")</f>
        <v/>
      </c>
      <c r="M1172" s="5" t="str">
        <f t="shared" si="93"/>
        <v/>
      </c>
      <c r="N1172" s="5" t="str">
        <f t="shared" si="94"/>
        <v/>
      </c>
    </row>
    <row r="1173" spans="1:14" x14ac:dyDescent="0.25">
      <c r="A1173" s="5">
        <v>1172</v>
      </c>
      <c r="B1173" s="5">
        <f t="shared" si="91"/>
        <v>0</v>
      </c>
      <c r="C1173" s="5" t="str">
        <f t="shared" si="90"/>
        <v/>
      </c>
      <c r="D1173" s="5" t="str">
        <f>IFERROR(IF(F1173&lt;&gt;"",F1173,VLOOKUP(MAX(C$2:C1173),A$2:F1173,2,FALSE)),"")</f>
        <v/>
      </c>
      <c r="E1173" s="5" t="str">
        <f t="shared" si="92"/>
        <v/>
      </c>
      <c r="K1173" t="str">
        <f>IFERROR(IF(VLOOKUP(E:E,'Old Report'!E:J,6,FALSE)="","",VLOOKUP(E:E,'Old Report'!E:J,6,FALSE)),"")</f>
        <v/>
      </c>
      <c r="L1173" t="str">
        <f>IFERROR(IF(VLOOKUP(E:E,'Old Report'!E:L,8,FALSE)="","",VLOOKUP(E:E,'Old Report'!E:L,8,FALSE)),"")</f>
        <v/>
      </c>
      <c r="M1173" s="5" t="str">
        <f t="shared" si="93"/>
        <v/>
      </c>
      <c r="N1173" s="5" t="str">
        <f t="shared" si="94"/>
        <v/>
      </c>
    </row>
    <row r="1174" spans="1:14" x14ac:dyDescent="0.25">
      <c r="A1174" s="5">
        <v>1173</v>
      </c>
      <c r="B1174" s="5">
        <f t="shared" si="91"/>
        <v>0</v>
      </c>
      <c r="C1174" s="5" t="str">
        <f t="shared" si="90"/>
        <v/>
      </c>
      <c r="D1174" s="5" t="str">
        <f>IFERROR(IF(F1174&lt;&gt;"",F1174,VLOOKUP(MAX(C$2:C1174),A$2:F1174,2,FALSE)),"")</f>
        <v/>
      </c>
      <c r="E1174" s="5" t="str">
        <f t="shared" si="92"/>
        <v/>
      </c>
      <c r="K1174" t="str">
        <f>IFERROR(IF(VLOOKUP(E:E,'Old Report'!E:J,6,FALSE)="","",VLOOKUP(E:E,'Old Report'!E:J,6,FALSE)),"")</f>
        <v/>
      </c>
      <c r="L1174" t="str">
        <f>IFERROR(IF(VLOOKUP(E:E,'Old Report'!E:L,8,FALSE)="","",VLOOKUP(E:E,'Old Report'!E:L,8,FALSE)),"")</f>
        <v/>
      </c>
      <c r="M1174" s="5" t="str">
        <f t="shared" si="93"/>
        <v/>
      </c>
      <c r="N1174" s="5" t="str">
        <f t="shared" si="94"/>
        <v/>
      </c>
    </row>
    <row r="1175" spans="1:14" x14ac:dyDescent="0.25">
      <c r="A1175" s="5">
        <v>1174</v>
      </c>
      <c r="B1175" s="5">
        <f t="shared" si="91"/>
        <v>0</v>
      </c>
      <c r="C1175" s="5" t="str">
        <f t="shared" si="90"/>
        <v/>
      </c>
      <c r="D1175" s="5" t="str">
        <f>IFERROR(IF(F1175&lt;&gt;"",F1175,VLOOKUP(MAX(C$2:C1175),A$2:F1175,2,FALSE)),"")</f>
        <v/>
      </c>
      <c r="E1175" s="5" t="str">
        <f t="shared" si="92"/>
        <v/>
      </c>
      <c r="K1175" t="str">
        <f>IFERROR(IF(VLOOKUP(E:E,'Old Report'!E:J,6,FALSE)="","",VLOOKUP(E:E,'Old Report'!E:J,6,FALSE)),"")</f>
        <v/>
      </c>
      <c r="L1175" t="str">
        <f>IFERROR(IF(VLOOKUP(E:E,'Old Report'!E:L,8,FALSE)="","",VLOOKUP(E:E,'Old Report'!E:L,8,FALSE)),"")</f>
        <v/>
      </c>
      <c r="M1175" s="5" t="str">
        <f t="shared" si="93"/>
        <v/>
      </c>
      <c r="N1175" s="5" t="str">
        <f t="shared" si="94"/>
        <v/>
      </c>
    </row>
    <row r="1176" spans="1:14" x14ac:dyDescent="0.25">
      <c r="A1176" s="5">
        <v>1175</v>
      </c>
      <c r="B1176" s="5">
        <f t="shared" si="91"/>
        <v>0</v>
      </c>
      <c r="C1176" s="5" t="str">
        <f t="shared" si="90"/>
        <v/>
      </c>
      <c r="D1176" s="5" t="str">
        <f>IFERROR(IF(F1176&lt;&gt;"",F1176,VLOOKUP(MAX(C$2:C1176),A$2:F1176,2,FALSE)),"")</f>
        <v/>
      </c>
      <c r="E1176" s="5" t="str">
        <f t="shared" si="92"/>
        <v/>
      </c>
      <c r="K1176" t="str">
        <f>IFERROR(IF(VLOOKUP(E:E,'Old Report'!E:J,6,FALSE)="","",VLOOKUP(E:E,'Old Report'!E:J,6,FALSE)),"")</f>
        <v/>
      </c>
      <c r="L1176" t="str">
        <f>IFERROR(IF(VLOOKUP(E:E,'Old Report'!E:L,8,FALSE)="","",VLOOKUP(E:E,'Old Report'!E:L,8,FALSE)),"")</f>
        <v/>
      </c>
      <c r="M1176" s="5" t="str">
        <f t="shared" si="93"/>
        <v/>
      </c>
      <c r="N1176" s="5" t="str">
        <f t="shared" si="94"/>
        <v/>
      </c>
    </row>
    <row r="1177" spans="1:14" x14ac:dyDescent="0.25">
      <c r="A1177" s="5">
        <v>1176</v>
      </c>
      <c r="B1177" s="5">
        <f t="shared" si="91"/>
        <v>0</v>
      </c>
      <c r="C1177" s="5" t="str">
        <f t="shared" si="90"/>
        <v/>
      </c>
      <c r="D1177" s="5" t="str">
        <f>IFERROR(IF(F1177&lt;&gt;"",F1177,VLOOKUP(MAX(C$2:C1177),A$2:F1177,2,FALSE)),"")</f>
        <v/>
      </c>
      <c r="E1177" s="5" t="str">
        <f t="shared" si="92"/>
        <v/>
      </c>
      <c r="K1177" t="str">
        <f>IFERROR(IF(VLOOKUP(E:E,'Old Report'!E:J,6,FALSE)="","",VLOOKUP(E:E,'Old Report'!E:J,6,FALSE)),"")</f>
        <v/>
      </c>
      <c r="L1177" t="str">
        <f>IFERROR(IF(VLOOKUP(E:E,'Old Report'!E:L,8,FALSE)="","",VLOOKUP(E:E,'Old Report'!E:L,8,FALSE)),"")</f>
        <v/>
      </c>
      <c r="M1177" s="5" t="str">
        <f t="shared" si="93"/>
        <v/>
      </c>
      <c r="N1177" s="5" t="str">
        <f t="shared" si="94"/>
        <v/>
      </c>
    </row>
    <row r="1178" spans="1:14" x14ac:dyDescent="0.25">
      <c r="A1178" s="5">
        <v>1177</v>
      </c>
      <c r="B1178" s="5">
        <f t="shared" si="91"/>
        <v>0</v>
      </c>
      <c r="C1178" s="5" t="str">
        <f t="shared" si="90"/>
        <v/>
      </c>
      <c r="D1178" s="5" t="str">
        <f>IFERROR(IF(F1178&lt;&gt;"",F1178,VLOOKUP(MAX(C$2:C1178),A$2:F1178,2,FALSE)),"")</f>
        <v/>
      </c>
      <c r="E1178" s="5" t="str">
        <f t="shared" si="92"/>
        <v/>
      </c>
      <c r="K1178" t="str">
        <f>IFERROR(IF(VLOOKUP(E:E,'Old Report'!E:J,6,FALSE)="","",VLOOKUP(E:E,'Old Report'!E:J,6,FALSE)),"")</f>
        <v/>
      </c>
      <c r="L1178" t="str">
        <f>IFERROR(IF(VLOOKUP(E:E,'Old Report'!E:L,8,FALSE)="","",VLOOKUP(E:E,'Old Report'!E:L,8,FALSE)),"")</f>
        <v/>
      </c>
      <c r="M1178" s="5" t="str">
        <f t="shared" si="93"/>
        <v/>
      </c>
      <c r="N1178" s="5" t="str">
        <f t="shared" si="94"/>
        <v/>
      </c>
    </row>
    <row r="1179" spans="1:14" x14ac:dyDescent="0.25">
      <c r="A1179" s="5">
        <v>1178</v>
      </c>
      <c r="B1179" s="5">
        <f t="shared" si="91"/>
        <v>0</v>
      </c>
      <c r="C1179" s="5" t="str">
        <f t="shared" si="90"/>
        <v/>
      </c>
      <c r="D1179" s="5" t="str">
        <f>IFERROR(IF(F1179&lt;&gt;"",F1179,VLOOKUP(MAX(C$2:C1179),A$2:F1179,2,FALSE)),"")</f>
        <v/>
      </c>
      <c r="E1179" s="5" t="str">
        <f t="shared" si="92"/>
        <v/>
      </c>
      <c r="K1179" t="str">
        <f>IFERROR(IF(VLOOKUP(E:E,'Old Report'!E:J,6,FALSE)="","",VLOOKUP(E:E,'Old Report'!E:J,6,FALSE)),"")</f>
        <v/>
      </c>
      <c r="L1179" t="str">
        <f>IFERROR(IF(VLOOKUP(E:E,'Old Report'!E:L,8,FALSE)="","",VLOOKUP(E:E,'Old Report'!E:L,8,FALSE)),"")</f>
        <v/>
      </c>
      <c r="M1179" s="5" t="str">
        <f t="shared" si="93"/>
        <v/>
      </c>
      <c r="N1179" s="5" t="str">
        <f t="shared" si="94"/>
        <v/>
      </c>
    </row>
    <row r="1180" spans="1:14" x14ac:dyDescent="0.25">
      <c r="A1180" s="5">
        <v>1179</v>
      </c>
      <c r="B1180" s="5">
        <f t="shared" si="91"/>
        <v>0</v>
      </c>
      <c r="C1180" s="5" t="str">
        <f t="shared" si="90"/>
        <v/>
      </c>
      <c r="D1180" s="5" t="str">
        <f>IFERROR(IF(F1180&lt;&gt;"",F1180,VLOOKUP(MAX(C$2:C1180),A$2:F1180,2,FALSE)),"")</f>
        <v/>
      </c>
      <c r="E1180" s="5" t="str">
        <f t="shared" si="92"/>
        <v/>
      </c>
      <c r="K1180" t="str">
        <f>IFERROR(IF(VLOOKUP(E:E,'Old Report'!E:J,6,FALSE)="","",VLOOKUP(E:E,'Old Report'!E:J,6,FALSE)),"")</f>
        <v/>
      </c>
      <c r="L1180" t="str">
        <f>IFERROR(IF(VLOOKUP(E:E,'Old Report'!E:L,8,FALSE)="","",VLOOKUP(E:E,'Old Report'!E:L,8,FALSE)),"")</f>
        <v/>
      </c>
      <c r="M1180" s="5" t="str">
        <f t="shared" si="93"/>
        <v/>
      </c>
      <c r="N1180" s="5" t="str">
        <f t="shared" si="94"/>
        <v/>
      </c>
    </row>
    <row r="1181" spans="1:14" x14ac:dyDescent="0.25">
      <c r="A1181" s="5">
        <v>1180</v>
      </c>
      <c r="B1181" s="5">
        <f t="shared" si="91"/>
        <v>0</v>
      </c>
      <c r="C1181" s="5" t="str">
        <f t="shared" si="90"/>
        <v/>
      </c>
      <c r="D1181" s="5" t="str">
        <f>IFERROR(IF(F1181&lt;&gt;"",F1181,VLOOKUP(MAX(C$2:C1181),A$2:F1181,2,FALSE)),"")</f>
        <v/>
      </c>
      <c r="E1181" s="5" t="str">
        <f t="shared" si="92"/>
        <v/>
      </c>
      <c r="K1181" t="str">
        <f>IFERROR(IF(VLOOKUP(E:E,'Old Report'!E:J,6,FALSE)="","",VLOOKUP(E:E,'Old Report'!E:J,6,FALSE)),"")</f>
        <v/>
      </c>
      <c r="L1181" t="str">
        <f>IFERROR(IF(VLOOKUP(E:E,'Old Report'!E:L,8,FALSE)="","",VLOOKUP(E:E,'Old Report'!E:L,8,FALSE)),"")</f>
        <v/>
      </c>
      <c r="M1181" s="5" t="str">
        <f t="shared" si="93"/>
        <v/>
      </c>
      <c r="N1181" s="5" t="str">
        <f t="shared" si="94"/>
        <v/>
      </c>
    </row>
    <row r="1182" spans="1:14" x14ac:dyDescent="0.25">
      <c r="A1182" s="5">
        <v>1181</v>
      </c>
      <c r="B1182" s="5">
        <f t="shared" si="91"/>
        <v>0</v>
      </c>
      <c r="C1182" s="5" t="str">
        <f t="shared" si="90"/>
        <v/>
      </c>
      <c r="D1182" s="5" t="str">
        <f>IFERROR(IF(F1182&lt;&gt;"",F1182,VLOOKUP(MAX(C$2:C1182),A$2:F1182,2,FALSE)),"")</f>
        <v/>
      </c>
      <c r="E1182" s="5" t="str">
        <f t="shared" si="92"/>
        <v/>
      </c>
      <c r="K1182" t="str">
        <f>IFERROR(IF(VLOOKUP(E:E,'Old Report'!E:J,6,FALSE)="","",VLOOKUP(E:E,'Old Report'!E:J,6,FALSE)),"")</f>
        <v/>
      </c>
      <c r="L1182" t="str">
        <f>IFERROR(IF(VLOOKUP(E:E,'Old Report'!E:L,8,FALSE)="","",VLOOKUP(E:E,'Old Report'!E:L,8,FALSE)),"")</f>
        <v/>
      </c>
      <c r="M1182" s="5" t="str">
        <f t="shared" si="93"/>
        <v/>
      </c>
      <c r="N1182" s="5" t="str">
        <f t="shared" si="94"/>
        <v/>
      </c>
    </row>
    <row r="1183" spans="1:14" x14ac:dyDescent="0.25">
      <c r="A1183" s="5">
        <v>1182</v>
      </c>
      <c r="B1183" s="5">
        <f t="shared" si="91"/>
        <v>0</v>
      </c>
      <c r="C1183" s="5" t="str">
        <f t="shared" si="90"/>
        <v/>
      </c>
      <c r="D1183" s="5" t="str">
        <f>IFERROR(IF(F1183&lt;&gt;"",F1183,VLOOKUP(MAX(C$2:C1183),A$2:F1183,2,FALSE)),"")</f>
        <v/>
      </c>
      <c r="E1183" s="5" t="str">
        <f t="shared" si="92"/>
        <v/>
      </c>
      <c r="K1183" t="str">
        <f>IFERROR(IF(VLOOKUP(E:E,'Old Report'!E:J,6,FALSE)="","",VLOOKUP(E:E,'Old Report'!E:J,6,FALSE)),"")</f>
        <v/>
      </c>
      <c r="L1183" t="str">
        <f>IFERROR(IF(VLOOKUP(E:E,'Old Report'!E:L,8,FALSE)="","",VLOOKUP(E:E,'Old Report'!E:L,8,FALSE)),"")</f>
        <v/>
      </c>
      <c r="M1183" s="5" t="str">
        <f t="shared" si="93"/>
        <v/>
      </c>
      <c r="N1183" s="5" t="str">
        <f t="shared" si="94"/>
        <v/>
      </c>
    </row>
    <row r="1184" spans="1:14" x14ac:dyDescent="0.25">
      <c r="A1184" s="5">
        <v>1183</v>
      </c>
      <c r="B1184" s="5">
        <f t="shared" si="91"/>
        <v>0</v>
      </c>
      <c r="C1184" s="5" t="str">
        <f t="shared" si="90"/>
        <v/>
      </c>
      <c r="D1184" s="5" t="str">
        <f>IFERROR(IF(F1184&lt;&gt;"",F1184,VLOOKUP(MAX(C$2:C1184),A$2:F1184,2,FALSE)),"")</f>
        <v/>
      </c>
      <c r="E1184" s="5" t="str">
        <f t="shared" si="92"/>
        <v/>
      </c>
      <c r="K1184" t="str">
        <f>IFERROR(IF(VLOOKUP(E:E,'Old Report'!E:J,6,FALSE)="","",VLOOKUP(E:E,'Old Report'!E:J,6,FALSE)),"")</f>
        <v/>
      </c>
      <c r="L1184" t="str">
        <f>IFERROR(IF(VLOOKUP(E:E,'Old Report'!E:L,8,FALSE)="","",VLOOKUP(E:E,'Old Report'!E:L,8,FALSE)),"")</f>
        <v/>
      </c>
      <c r="M1184" s="5" t="str">
        <f t="shared" si="93"/>
        <v/>
      </c>
      <c r="N1184" s="5" t="str">
        <f t="shared" si="94"/>
        <v/>
      </c>
    </row>
    <row r="1185" spans="1:14" x14ac:dyDescent="0.25">
      <c r="A1185" s="5">
        <v>1184</v>
      </c>
      <c r="B1185" s="5">
        <f t="shared" si="91"/>
        <v>0</v>
      </c>
      <c r="C1185" s="5" t="str">
        <f t="shared" si="90"/>
        <v/>
      </c>
      <c r="D1185" s="5" t="str">
        <f>IFERROR(IF(F1185&lt;&gt;"",F1185,VLOOKUP(MAX(C$2:C1185),A$2:F1185,2,FALSE)),"")</f>
        <v/>
      </c>
      <c r="E1185" s="5" t="str">
        <f t="shared" si="92"/>
        <v/>
      </c>
      <c r="K1185" t="str">
        <f>IFERROR(IF(VLOOKUP(E:E,'Old Report'!E:J,6,FALSE)="","",VLOOKUP(E:E,'Old Report'!E:J,6,FALSE)),"")</f>
        <v/>
      </c>
      <c r="L1185" t="str">
        <f>IFERROR(IF(VLOOKUP(E:E,'Old Report'!E:L,8,FALSE)="","",VLOOKUP(E:E,'Old Report'!E:L,8,FALSE)),"")</f>
        <v/>
      </c>
      <c r="M1185" s="5" t="str">
        <f t="shared" si="93"/>
        <v/>
      </c>
      <c r="N1185" s="5" t="str">
        <f t="shared" si="94"/>
        <v/>
      </c>
    </row>
    <row r="1186" spans="1:14" x14ac:dyDescent="0.25">
      <c r="A1186" s="5">
        <v>1185</v>
      </c>
      <c r="B1186" s="5">
        <f t="shared" si="91"/>
        <v>0</v>
      </c>
      <c r="C1186" s="5" t="str">
        <f t="shared" si="90"/>
        <v/>
      </c>
      <c r="D1186" s="5" t="str">
        <f>IFERROR(IF(F1186&lt;&gt;"",F1186,VLOOKUP(MAX(C$2:C1186),A$2:F1186,2,FALSE)),"")</f>
        <v/>
      </c>
      <c r="E1186" s="5" t="str">
        <f t="shared" si="92"/>
        <v/>
      </c>
      <c r="K1186" t="str">
        <f>IFERROR(IF(VLOOKUP(E:E,'Old Report'!E:J,6,FALSE)="","",VLOOKUP(E:E,'Old Report'!E:J,6,FALSE)),"")</f>
        <v/>
      </c>
      <c r="L1186" t="str">
        <f>IFERROR(IF(VLOOKUP(E:E,'Old Report'!E:L,8,FALSE)="","",VLOOKUP(E:E,'Old Report'!E:L,8,FALSE)),"")</f>
        <v/>
      </c>
      <c r="M1186" s="5" t="str">
        <f t="shared" si="93"/>
        <v/>
      </c>
      <c r="N1186" s="5" t="str">
        <f t="shared" si="94"/>
        <v/>
      </c>
    </row>
    <row r="1187" spans="1:14" x14ac:dyDescent="0.25">
      <c r="A1187" s="5">
        <v>1186</v>
      </c>
      <c r="B1187" s="5">
        <f t="shared" si="91"/>
        <v>0</v>
      </c>
      <c r="C1187" s="5" t="str">
        <f t="shared" si="90"/>
        <v/>
      </c>
      <c r="D1187" s="5" t="str">
        <f>IFERROR(IF(F1187&lt;&gt;"",F1187,VLOOKUP(MAX(C$2:C1187),A$2:F1187,2,FALSE)),"")</f>
        <v/>
      </c>
      <c r="E1187" s="5" t="str">
        <f t="shared" si="92"/>
        <v/>
      </c>
      <c r="K1187" t="str">
        <f>IFERROR(IF(VLOOKUP(E:E,'Old Report'!E:J,6,FALSE)="","",VLOOKUP(E:E,'Old Report'!E:J,6,FALSE)),"")</f>
        <v/>
      </c>
      <c r="L1187" t="str">
        <f>IFERROR(IF(VLOOKUP(E:E,'Old Report'!E:L,8,FALSE)="","",VLOOKUP(E:E,'Old Report'!E:L,8,FALSE)),"")</f>
        <v/>
      </c>
      <c r="M1187" s="5" t="str">
        <f t="shared" si="93"/>
        <v/>
      </c>
      <c r="N1187" s="5" t="str">
        <f t="shared" si="94"/>
        <v/>
      </c>
    </row>
    <row r="1188" spans="1:14" x14ac:dyDescent="0.25">
      <c r="A1188" s="5">
        <v>1187</v>
      </c>
      <c r="B1188" s="5">
        <f t="shared" si="91"/>
        <v>0</v>
      </c>
      <c r="C1188" s="5" t="str">
        <f t="shared" si="90"/>
        <v/>
      </c>
      <c r="D1188" s="5" t="str">
        <f>IFERROR(IF(F1188&lt;&gt;"",F1188,VLOOKUP(MAX(C$2:C1188),A$2:F1188,2,FALSE)),"")</f>
        <v/>
      </c>
      <c r="E1188" s="5" t="str">
        <f t="shared" si="92"/>
        <v/>
      </c>
      <c r="K1188" t="str">
        <f>IFERROR(IF(VLOOKUP(E:E,'Old Report'!E:J,6,FALSE)="","",VLOOKUP(E:E,'Old Report'!E:J,6,FALSE)),"")</f>
        <v/>
      </c>
      <c r="L1188" t="str">
        <f>IFERROR(IF(VLOOKUP(E:E,'Old Report'!E:L,8,FALSE)="","",VLOOKUP(E:E,'Old Report'!E:L,8,FALSE)),"")</f>
        <v/>
      </c>
      <c r="M1188" s="5" t="str">
        <f t="shared" si="93"/>
        <v/>
      </c>
      <c r="N1188" s="5" t="str">
        <f t="shared" si="94"/>
        <v/>
      </c>
    </row>
    <row r="1189" spans="1:14" x14ac:dyDescent="0.25">
      <c r="A1189" s="5">
        <v>1188</v>
      </c>
      <c r="B1189" s="5">
        <f t="shared" si="91"/>
        <v>0</v>
      </c>
      <c r="C1189" s="5" t="str">
        <f t="shared" si="90"/>
        <v/>
      </c>
      <c r="D1189" s="5" t="str">
        <f>IFERROR(IF(F1189&lt;&gt;"",F1189,VLOOKUP(MAX(C$2:C1189),A$2:F1189,2,FALSE)),"")</f>
        <v/>
      </c>
      <c r="E1189" s="5" t="str">
        <f t="shared" si="92"/>
        <v/>
      </c>
      <c r="K1189" t="str">
        <f>IFERROR(IF(VLOOKUP(E:E,'Old Report'!E:J,6,FALSE)="","",VLOOKUP(E:E,'Old Report'!E:J,6,FALSE)),"")</f>
        <v/>
      </c>
      <c r="L1189" t="str">
        <f>IFERROR(IF(VLOOKUP(E:E,'Old Report'!E:L,8,FALSE)="","",VLOOKUP(E:E,'Old Report'!E:L,8,FALSE)),"")</f>
        <v/>
      </c>
      <c r="M1189" s="5" t="str">
        <f t="shared" si="93"/>
        <v/>
      </c>
      <c r="N1189" s="5" t="str">
        <f t="shared" si="94"/>
        <v/>
      </c>
    </row>
    <row r="1190" spans="1:14" x14ac:dyDescent="0.25">
      <c r="A1190" s="5">
        <v>1189</v>
      </c>
      <c r="B1190" s="5">
        <f t="shared" si="91"/>
        <v>0</v>
      </c>
      <c r="C1190" s="5" t="str">
        <f t="shared" si="90"/>
        <v/>
      </c>
      <c r="D1190" s="5" t="str">
        <f>IFERROR(IF(F1190&lt;&gt;"",F1190,VLOOKUP(MAX(C$2:C1190),A$2:F1190,2,FALSE)),"")</f>
        <v/>
      </c>
      <c r="E1190" s="5" t="str">
        <f t="shared" si="92"/>
        <v/>
      </c>
      <c r="K1190" t="str">
        <f>IFERROR(IF(VLOOKUP(E:E,'Old Report'!E:J,6,FALSE)="","",VLOOKUP(E:E,'Old Report'!E:J,6,FALSE)),"")</f>
        <v/>
      </c>
      <c r="L1190" t="str">
        <f>IFERROR(IF(VLOOKUP(E:E,'Old Report'!E:L,8,FALSE)="","",VLOOKUP(E:E,'Old Report'!E:L,8,FALSE)),"")</f>
        <v/>
      </c>
      <c r="M1190" s="5" t="str">
        <f t="shared" si="93"/>
        <v/>
      </c>
      <c r="N1190" s="5" t="str">
        <f t="shared" si="94"/>
        <v/>
      </c>
    </row>
    <row r="1191" spans="1:14" x14ac:dyDescent="0.25">
      <c r="A1191" s="5">
        <v>1190</v>
      </c>
      <c r="B1191" s="5">
        <f t="shared" si="91"/>
        <v>0</v>
      </c>
      <c r="C1191" s="5" t="str">
        <f t="shared" si="90"/>
        <v/>
      </c>
      <c r="D1191" s="5" t="str">
        <f>IFERROR(IF(F1191&lt;&gt;"",F1191,VLOOKUP(MAX(C$2:C1191),A$2:F1191,2,FALSE)),"")</f>
        <v/>
      </c>
      <c r="E1191" s="5" t="str">
        <f t="shared" si="92"/>
        <v/>
      </c>
      <c r="K1191" t="str">
        <f>IFERROR(IF(VLOOKUP(E:E,'Old Report'!E:J,6,FALSE)="","",VLOOKUP(E:E,'Old Report'!E:J,6,FALSE)),"")</f>
        <v/>
      </c>
      <c r="L1191" t="str">
        <f>IFERROR(IF(VLOOKUP(E:E,'Old Report'!E:L,8,FALSE)="","",VLOOKUP(E:E,'Old Report'!E:L,8,FALSE)),"")</f>
        <v/>
      </c>
      <c r="M1191" s="5" t="str">
        <f t="shared" si="93"/>
        <v/>
      </c>
      <c r="N1191" s="5" t="str">
        <f t="shared" si="94"/>
        <v/>
      </c>
    </row>
    <row r="1192" spans="1:14" x14ac:dyDescent="0.25">
      <c r="A1192" s="5">
        <v>1191</v>
      </c>
      <c r="B1192" s="5">
        <f t="shared" si="91"/>
        <v>0</v>
      </c>
      <c r="C1192" s="5" t="str">
        <f t="shared" si="90"/>
        <v/>
      </c>
      <c r="D1192" s="5" t="str">
        <f>IFERROR(IF(F1192&lt;&gt;"",F1192,VLOOKUP(MAX(C$2:C1192),A$2:F1192,2,FALSE)),"")</f>
        <v/>
      </c>
      <c r="E1192" s="5" t="str">
        <f t="shared" si="92"/>
        <v/>
      </c>
      <c r="K1192" t="str">
        <f>IFERROR(IF(VLOOKUP(E:E,'Old Report'!E:J,6,FALSE)="","",VLOOKUP(E:E,'Old Report'!E:J,6,FALSE)),"")</f>
        <v/>
      </c>
      <c r="L1192" t="str">
        <f>IFERROR(IF(VLOOKUP(E:E,'Old Report'!E:L,8,FALSE)="","",VLOOKUP(E:E,'Old Report'!E:L,8,FALSE)),"")</f>
        <v/>
      </c>
      <c r="M1192" s="5" t="str">
        <f t="shared" si="93"/>
        <v/>
      </c>
      <c r="N1192" s="5" t="str">
        <f t="shared" si="94"/>
        <v/>
      </c>
    </row>
    <row r="1193" spans="1:14" x14ac:dyDescent="0.25">
      <c r="A1193" s="5">
        <v>1192</v>
      </c>
      <c r="B1193" s="5">
        <f t="shared" si="91"/>
        <v>0</v>
      </c>
      <c r="C1193" s="5" t="str">
        <f t="shared" si="90"/>
        <v/>
      </c>
      <c r="D1193" s="5" t="str">
        <f>IFERROR(IF(F1193&lt;&gt;"",F1193,VLOOKUP(MAX(C$2:C1193),A$2:F1193,2,FALSE)),"")</f>
        <v/>
      </c>
      <c r="E1193" s="5" t="str">
        <f t="shared" si="92"/>
        <v/>
      </c>
      <c r="K1193" t="str">
        <f>IFERROR(IF(VLOOKUP(E:E,'Old Report'!E:J,6,FALSE)="","",VLOOKUP(E:E,'Old Report'!E:J,6,FALSE)),"")</f>
        <v/>
      </c>
      <c r="L1193" t="str">
        <f>IFERROR(IF(VLOOKUP(E:E,'Old Report'!E:L,8,FALSE)="","",VLOOKUP(E:E,'Old Report'!E:L,8,FALSE)),"")</f>
        <v/>
      </c>
      <c r="M1193" s="5" t="str">
        <f t="shared" si="93"/>
        <v/>
      </c>
      <c r="N1193" s="5" t="str">
        <f t="shared" si="94"/>
        <v/>
      </c>
    </row>
    <row r="1194" spans="1:14" x14ac:dyDescent="0.25">
      <c r="A1194" s="5">
        <v>1193</v>
      </c>
      <c r="B1194" s="5">
        <f t="shared" si="91"/>
        <v>0</v>
      </c>
      <c r="C1194" s="5" t="str">
        <f t="shared" si="90"/>
        <v/>
      </c>
      <c r="D1194" s="5" t="str">
        <f>IFERROR(IF(F1194&lt;&gt;"",F1194,VLOOKUP(MAX(C$2:C1194),A$2:F1194,2,FALSE)),"")</f>
        <v/>
      </c>
      <c r="E1194" s="5" t="str">
        <f t="shared" si="92"/>
        <v/>
      </c>
      <c r="K1194" t="str">
        <f>IFERROR(IF(VLOOKUP(E:E,'Old Report'!E:J,6,FALSE)="","",VLOOKUP(E:E,'Old Report'!E:J,6,FALSE)),"")</f>
        <v/>
      </c>
      <c r="L1194" t="str">
        <f>IFERROR(IF(VLOOKUP(E:E,'Old Report'!E:L,8,FALSE)="","",VLOOKUP(E:E,'Old Report'!E:L,8,FALSE)),"")</f>
        <v/>
      </c>
      <c r="M1194" s="5" t="str">
        <f t="shared" si="93"/>
        <v/>
      </c>
      <c r="N1194" s="5" t="str">
        <f t="shared" si="94"/>
        <v/>
      </c>
    </row>
    <row r="1195" spans="1:14" x14ac:dyDescent="0.25">
      <c r="A1195" s="5">
        <v>1194</v>
      </c>
      <c r="B1195" s="5">
        <f t="shared" si="91"/>
        <v>0</v>
      </c>
      <c r="C1195" s="5" t="str">
        <f t="shared" si="90"/>
        <v/>
      </c>
      <c r="D1195" s="5" t="str">
        <f>IFERROR(IF(F1195&lt;&gt;"",F1195,VLOOKUP(MAX(C$2:C1195),A$2:F1195,2,FALSE)),"")</f>
        <v/>
      </c>
      <c r="E1195" s="5" t="str">
        <f t="shared" si="92"/>
        <v/>
      </c>
      <c r="K1195" t="str">
        <f>IFERROR(IF(VLOOKUP(E:E,'Old Report'!E:J,6,FALSE)="","",VLOOKUP(E:E,'Old Report'!E:J,6,FALSE)),"")</f>
        <v/>
      </c>
      <c r="L1195" t="str">
        <f>IFERROR(IF(VLOOKUP(E:E,'Old Report'!E:L,8,FALSE)="","",VLOOKUP(E:E,'Old Report'!E:L,8,FALSE)),"")</f>
        <v/>
      </c>
      <c r="M1195" s="5" t="str">
        <f t="shared" si="93"/>
        <v/>
      </c>
      <c r="N1195" s="5" t="str">
        <f t="shared" si="94"/>
        <v/>
      </c>
    </row>
    <row r="1196" spans="1:14" x14ac:dyDescent="0.25">
      <c r="A1196" s="5">
        <v>1195</v>
      </c>
      <c r="B1196" s="5">
        <f t="shared" si="91"/>
        <v>0</v>
      </c>
      <c r="C1196" s="5" t="str">
        <f t="shared" si="90"/>
        <v/>
      </c>
      <c r="D1196" s="5" t="str">
        <f>IFERROR(IF(F1196&lt;&gt;"",F1196,VLOOKUP(MAX(C$2:C1196),A$2:F1196,2,FALSE)),"")</f>
        <v/>
      </c>
      <c r="E1196" s="5" t="str">
        <f t="shared" si="92"/>
        <v/>
      </c>
      <c r="K1196" t="str">
        <f>IFERROR(IF(VLOOKUP(E:E,'Old Report'!E:J,6,FALSE)="","",VLOOKUP(E:E,'Old Report'!E:J,6,FALSE)),"")</f>
        <v/>
      </c>
      <c r="L1196" t="str">
        <f>IFERROR(IF(VLOOKUP(E:E,'Old Report'!E:L,8,FALSE)="","",VLOOKUP(E:E,'Old Report'!E:L,8,FALSE)),"")</f>
        <v/>
      </c>
      <c r="M1196" s="5" t="str">
        <f t="shared" si="93"/>
        <v/>
      </c>
      <c r="N1196" s="5" t="str">
        <f t="shared" si="94"/>
        <v/>
      </c>
    </row>
    <row r="1197" spans="1:14" x14ac:dyDescent="0.25">
      <c r="A1197" s="5">
        <v>1196</v>
      </c>
      <c r="B1197" s="5">
        <f t="shared" si="91"/>
        <v>0</v>
      </c>
      <c r="C1197" s="5" t="str">
        <f t="shared" si="90"/>
        <v/>
      </c>
      <c r="D1197" s="5" t="str">
        <f>IFERROR(IF(F1197&lt;&gt;"",F1197,VLOOKUP(MAX(C$2:C1197),A$2:F1197,2,FALSE)),"")</f>
        <v/>
      </c>
      <c r="E1197" s="5" t="str">
        <f t="shared" si="92"/>
        <v/>
      </c>
      <c r="K1197" t="str">
        <f>IFERROR(IF(VLOOKUP(E:E,'Old Report'!E:J,6,FALSE)="","",VLOOKUP(E:E,'Old Report'!E:J,6,FALSE)),"")</f>
        <v/>
      </c>
      <c r="L1197" t="str">
        <f>IFERROR(IF(VLOOKUP(E:E,'Old Report'!E:L,8,FALSE)="","",VLOOKUP(E:E,'Old Report'!E:L,8,FALSE)),"")</f>
        <v/>
      </c>
      <c r="M1197" s="5" t="str">
        <f t="shared" si="93"/>
        <v/>
      </c>
      <c r="N1197" s="5" t="str">
        <f t="shared" si="94"/>
        <v/>
      </c>
    </row>
    <row r="1198" spans="1:14" x14ac:dyDescent="0.25">
      <c r="A1198" s="5">
        <v>1197</v>
      </c>
      <c r="B1198" s="5">
        <f t="shared" si="91"/>
        <v>0</v>
      </c>
      <c r="C1198" s="5" t="str">
        <f t="shared" si="90"/>
        <v/>
      </c>
      <c r="D1198" s="5" t="str">
        <f>IFERROR(IF(F1198&lt;&gt;"",F1198,VLOOKUP(MAX(C$2:C1198),A$2:F1198,2,FALSE)),"")</f>
        <v/>
      </c>
      <c r="E1198" s="5" t="str">
        <f t="shared" si="92"/>
        <v/>
      </c>
      <c r="K1198" t="str">
        <f>IFERROR(IF(VLOOKUP(E:E,'Old Report'!E:J,6,FALSE)="","",VLOOKUP(E:E,'Old Report'!E:J,6,FALSE)),"")</f>
        <v/>
      </c>
      <c r="L1198" t="str">
        <f>IFERROR(IF(VLOOKUP(E:E,'Old Report'!E:L,8,FALSE)="","",VLOOKUP(E:E,'Old Report'!E:L,8,FALSE)),"")</f>
        <v/>
      </c>
      <c r="M1198" s="5" t="str">
        <f t="shared" si="93"/>
        <v/>
      </c>
      <c r="N1198" s="5" t="str">
        <f t="shared" si="94"/>
        <v/>
      </c>
    </row>
    <row r="1199" spans="1:14" x14ac:dyDescent="0.25">
      <c r="A1199" s="5">
        <v>1198</v>
      </c>
      <c r="B1199" s="5">
        <f t="shared" si="91"/>
        <v>0</v>
      </c>
      <c r="C1199" s="5" t="str">
        <f t="shared" si="90"/>
        <v/>
      </c>
      <c r="D1199" s="5" t="str">
        <f>IFERROR(IF(F1199&lt;&gt;"",F1199,VLOOKUP(MAX(C$2:C1199),A$2:F1199,2,FALSE)),"")</f>
        <v/>
      </c>
      <c r="E1199" s="5" t="str">
        <f t="shared" si="92"/>
        <v/>
      </c>
      <c r="K1199" t="str">
        <f>IFERROR(IF(VLOOKUP(E:E,'Old Report'!E:J,6,FALSE)="","",VLOOKUP(E:E,'Old Report'!E:J,6,FALSE)),"")</f>
        <v/>
      </c>
      <c r="L1199" t="str">
        <f>IFERROR(IF(VLOOKUP(E:E,'Old Report'!E:L,8,FALSE)="","",VLOOKUP(E:E,'Old Report'!E:L,8,FALSE)),"")</f>
        <v/>
      </c>
      <c r="M1199" s="5" t="str">
        <f t="shared" si="93"/>
        <v/>
      </c>
      <c r="N1199" s="5" t="str">
        <f t="shared" si="94"/>
        <v/>
      </c>
    </row>
    <row r="1200" spans="1:14" x14ac:dyDescent="0.25">
      <c r="A1200" s="5">
        <v>1199</v>
      </c>
      <c r="B1200" s="5">
        <f t="shared" si="91"/>
        <v>0</v>
      </c>
      <c r="C1200" s="5" t="str">
        <f t="shared" si="90"/>
        <v/>
      </c>
      <c r="D1200" s="5" t="str">
        <f>IFERROR(IF(F1200&lt;&gt;"",F1200,VLOOKUP(MAX(C$2:C1200),A$2:F1200,2,FALSE)),"")</f>
        <v/>
      </c>
      <c r="E1200" s="5" t="str">
        <f t="shared" si="92"/>
        <v/>
      </c>
      <c r="K1200" t="str">
        <f>IFERROR(IF(VLOOKUP(E:E,'Old Report'!E:J,6,FALSE)="","",VLOOKUP(E:E,'Old Report'!E:J,6,FALSE)),"")</f>
        <v/>
      </c>
      <c r="L1200" t="str">
        <f>IFERROR(IF(VLOOKUP(E:E,'Old Report'!E:L,8,FALSE)="","",VLOOKUP(E:E,'Old Report'!E:L,8,FALSE)),"")</f>
        <v/>
      </c>
      <c r="M1200" s="5" t="str">
        <f t="shared" si="93"/>
        <v/>
      </c>
      <c r="N1200" s="5" t="str">
        <f t="shared" si="94"/>
        <v/>
      </c>
    </row>
    <row r="1201" spans="1:14" x14ac:dyDescent="0.25">
      <c r="A1201" s="5">
        <v>1200</v>
      </c>
      <c r="B1201" s="5">
        <f t="shared" si="91"/>
        <v>0</v>
      </c>
      <c r="C1201" s="5" t="str">
        <f t="shared" si="90"/>
        <v/>
      </c>
      <c r="D1201" s="5" t="str">
        <f>IFERROR(IF(F1201&lt;&gt;"",F1201,VLOOKUP(MAX(C$2:C1201),A$2:F1201,2,FALSE)),"")</f>
        <v/>
      </c>
      <c r="E1201" s="5" t="str">
        <f t="shared" si="92"/>
        <v/>
      </c>
      <c r="K1201" t="str">
        <f>IFERROR(IF(VLOOKUP(E:E,'Old Report'!E:J,6,FALSE)="","",VLOOKUP(E:E,'Old Report'!E:J,6,FALSE)),"")</f>
        <v/>
      </c>
      <c r="L1201" t="str">
        <f>IFERROR(IF(VLOOKUP(E:E,'Old Report'!E:L,8,FALSE)="","",VLOOKUP(E:E,'Old Report'!E:L,8,FALSE)),"")</f>
        <v/>
      </c>
      <c r="M1201" s="5" t="str">
        <f t="shared" si="93"/>
        <v/>
      </c>
      <c r="N1201" s="5" t="str">
        <f t="shared" si="94"/>
        <v/>
      </c>
    </row>
    <row r="1202" spans="1:14" x14ac:dyDescent="0.25">
      <c r="A1202" s="5">
        <v>1201</v>
      </c>
      <c r="B1202" s="5">
        <f t="shared" si="91"/>
        <v>0</v>
      </c>
      <c r="C1202" s="5" t="str">
        <f t="shared" si="90"/>
        <v/>
      </c>
      <c r="D1202" s="5" t="str">
        <f>IFERROR(IF(F1202&lt;&gt;"",F1202,VLOOKUP(MAX(C$2:C1202),A$2:F1202,2,FALSE)),"")</f>
        <v/>
      </c>
      <c r="E1202" s="5" t="str">
        <f t="shared" si="92"/>
        <v/>
      </c>
      <c r="K1202" t="str">
        <f>IFERROR(IF(VLOOKUP(E:E,'Old Report'!E:J,6,FALSE)="","",VLOOKUP(E:E,'Old Report'!E:J,6,FALSE)),"")</f>
        <v/>
      </c>
      <c r="L1202" t="str">
        <f>IFERROR(IF(VLOOKUP(E:E,'Old Report'!E:L,8,FALSE)="","",VLOOKUP(E:E,'Old Report'!E:L,8,FALSE)),"")</f>
        <v/>
      </c>
      <c r="M1202" s="5" t="str">
        <f t="shared" si="93"/>
        <v/>
      </c>
      <c r="N1202" s="5" t="str">
        <f t="shared" si="94"/>
        <v/>
      </c>
    </row>
    <row r="1203" spans="1:14" x14ac:dyDescent="0.25">
      <c r="A1203" s="5">
        <v>1202</v>
      </c>
      <c r="B1203" s="5">
        <f t="shared" si="91"/>
        <v>0</v>
      </c>
      <c r="C1203" s="5" t="str">
        <f t="shared" si="90"/>
        <v/>
      </c>
      <c r="D1203" s="5" t="str">
        <f>IFERROR(IF(F1203&lt;&gt;"",F1203,VLOOKUP(MAX(C$2:C1203),A$2:F1203,2,FALSE)),"")</f>
        <v/>
      </c>
      <c r="E1203" s="5" t="str">
        <f t="shared" si="92"/>
        <v/>
      </c>
      <c r="K1203" t="str">
        <f>IFERROR(IF(VLOOKUP(E:E,'Old Report'!E:J,6,FALSE)="","",VLOOKUP(E:E,'Old Report'!E:J,6,FALSE)),"")</f>
        <v/>
      </c>
      <c r="L1203" t="str">
        <f>IFERROR(IF(VLOOKUP(E:E,'Old Report'!E:L,8,FALSE)="","",VLOOKUP(E:E,'Old Report'!E:L,8,FALSE)),"")</f>
        <v/>
      </c>
      <c r="M1203" s="5" t="str">
        <f t="shared" si="93"/>
        <v/>
      </c>
      <c r="N1203" s="5" t="str">
        <f t="shared" si="94"/>
        <v/>
      </c>
    </row>
    <row r="1204" spans="1:14" x14ac:dyDescent="0.25">
      <c r="A1204" s="5">
        <v>1203</v>
      </c>
      <c r="B1204" s="5">
        <f t="shared" si="91"/>
        <v>0</v>
      </c>
      <c r="C1204" s="5" t="str">
        <f t="shared" si="90"/>
        <v/>
      </c>
      <c r="D1204" s="5" t="str">
        <f>IFERROR(IF(F1204&lt;&gt;"",F1204,VLOOKUP(MAX(C$2:C1204),A$2:F1204,2,FALSE)),"")</f>
        <v/>
      </c>
      <c r="E1204" s="5" t="str">
        <f t="shared" si="92"/>
        <v/>
      </c>
      <c r="K1204" t="str">
        <f>IFERROR(IF(VLOOKUP(E:E,'Old Report'!E:J,6,FALSE)="","",VLOOKUP(E:E,'Old Report'!E:J,6,FALSE)),"")</f>
        <v/>
      </c>
      <c r="L1204" t="str">
        <f>IFERROR(IF(VLOOKUP(E:E,'Old Report'!E:L,8,FALSE)="","",VLOOKUP(E:E,'Old Report'!E:L,8,FALSE)),"")</f>
        <v/>
      </c>
      <c r="M1204" s="5" t="str">
        <f t="shared" si="93"/>
        <v/>
      </c>
      <c r="N1204" s="5" t="str">
        <f t="shared" si="94"/>
        <v/>
      </c>
    </row>
    <row r="1205" spans="1:14" x14ac:dyDescent="0.25">
      <c r="A1205" s="5">
        <v>1204</v>
      </c>
      <c r="B1205" s="5">
        <f t="shared" si="91"/>
        <v>0</v>
      </c>
      <c r="C1205" s="5" t="str">
        <f t="shared" si="90"/>
        <v/>
      </c>
      <c r="D1205" s="5" t="str">
        <f>IFERROR(IF(F1205&lt;&gt;"",F1205,VLOOKUP(MAX(C$2:C1205),A$2:F1205,2,FALSE)),"")</f>
        <v/>
      </c>
      <c r="E1205" s="5" t="str">
        <f t="shared" si="92"/>
        <v/>
      </c>
      <c r="K1205" t="str">
        <f>IFERROR(IF(VLOOKUP(E:E,'Old Report'!E:J,6,FALSE)="","",VLOOKUP(E:E,'Old Report'!E:J,6,FALSE)),"")</f>
        <v/>
      </c>
      <c r="L1205" t="str">
        <f>IFERROR(IF(VLOOKUP(E:E,'Old Report'!E:L,8,FALSE)="","",VLOOKUP(E:E,'Old Report'!E:L,8,FALSE)),"")</f>
        <v/>
      </c>
      <c r="M1205" s="5" t="str">
        <f t="shared" si="93"/>
        <v/>
      </c>
      <c r="N1205" s="5" t="str">
        <f t="shared" si="94"/>
        <v/>
      </c>
    </row>
    <row r="1206" spans="1:14" x14ac:dyDescent="0.25">
      <c r="A1206" s="5">
        <v>1205</v>
      </c>
      <c r="B1206" s="5">
        <f t="shared" si="91"/>
        <v>0</v>
      </c>
      <c r="C1206" s="5" t="str">
        <f t="shared" si="90"/>
        <v/>
      </c>
      <c r="D1206" s="5" t="str">
        <f>IFERROR(IF(F1206&lt;&gt;"",F1206,VLOOKUP(MAX(C$2:C1206),A$2:F1206,2,FALSE)),"")</f>
        <v/>
      </c>
      <c r="E1206" s="5" t="str">
        <f t="shared" si="92"/>
        <v/>
      </c>
      <c r="K1206" t="str">
        <f>IFERROR(IF(VLOOKUP(E:E,'Old Report'!E:J,6,FALSE)="","",VLOOKUP(E:E,'Old Report'!E:J,6,FALSE)),"")</f>
        <v/>
      </c>
      <c r="L1206" t="str">
        <f>IFERROR(IF(VLOOKUP(E:E,'Old Report'!E:L,8,FALSE)="","",VLOOKUP(E:E,'Old Report'!E:L,8,FALSE)),"")</f>
        <v/>
      </c>
      <c r="M1206" s="5" t="str">
        <f t="shared" si="93"/>
        <v/>
      </c>
      <c r="N1206" s="5" t="str">
        <f t="shared" si="94"/>
        <v/>
      </c>
    </row>
    <row r="1207" spans="1:14" x14ac:dyDescent="0.25">
      <c r="A1207" s="5">
        <v>1206</v>
      </c>
      <c r="B1207" s="5">
        <f t="shared" si="91"/>
        <v>0</v>
      </c>
      <c r="C1207" s="5" t="str">
        <f t="shared" si="90"/>
        <v/>
      </c>
      <c r="D1207" s="5" t="str">
        <f>IFERROR(IF(F1207&lt;&gt;"",F1207,VLOOKUP(MAX(C$2:C1207),A$2:F1207,2,FALSE)),"")</f>
        <v/>
      </c>
      <c r="E1207" s="5" t="str">
        <f t="shared" si="92"/>
        <v/>
      </c>
      <c r="K1207" t="str">
        <f>IFERROR(IF(VLOOKUP(E:E,'Old Report'!E:J,6,FALSE)="","",VLOOKUP(E:E,'Old Report'!E:J,6,FALSE)),"")</f>
        <v/>
      </c>
      <c r="L1207" t="str">
        <f>IFERROR(IF(VLOOKUP(E:E,'Old Report'!E:L,8,FALSE)="","",VLOOKUP(E:E,'Old Report'!E:L,8,FALSE)),"")</f>
        <v/>
      </c>
      <c r="M1207" s="5" t="str">
        <f t="shared" si="93"/>
        <v/>
      </c>
      <c r="N1207" s="5" t="str">
        <f t="shared" si="94"/>
        <v/>
      </c>
    </row>
    <row r="1208" spans="1:14" x14ac:dyDescent="0.25">
      <c r="A1208" s="5">
        <v>1207</v>
      </c>
      <c r="B1208" s="5">
        <f t="shared" si="91"/>
        <v>0</v>
      </c>
      <c r="C1208" s="5" t="str">
        <f t="shared" si="90"/>
        <v/>
      </c>
      <c r="D1208" s="5" t="str">
        <f>IFERROR(IF(F1208&lt;&gt;"",F1208,VLOOKUP(MAX(C$2:C1208),A$2:F1208,2,FALSE)),"")</f>
        <v/>
      </c>
      <c r="E1208" s="5" t="str">
        <f t="shared" si="92"/>
        <v/>
      </c>
      <c r="K1208" t="str">
        <f>IFERROR(IF(VLOOKUP(E:E,'Old Report'!E:J,6,FALSE)="","",VLOOKUP(E:E,'Old Report'!E:J,6,FALSE)),"")</f>
        <v/>
      </c>
      <c r="L1208" t="str">
        <f>IFERROR(IF(VLOOKUP(E:E,'Old Report'!E:L,8,FALSE)="","",VLOOKUP(E:E,'Old Report'!E:L,8,FALSE)),"")</f>
        <v/>
      </c>
      <c r="M1208" s="5" t="str">
        <f t="shared" si="93"/>
        <v/>
      </c>
      <c r="N1208" s="5" t="str">
        <f t="shared" si="94"/>
        <v/>
      </c>
    </row>
    <row r="1209" spans="1:14" x14ac:dyDescent="0.25">
      <c r="A1209" s="5">
        <v>1208</v>
      </c>
      <c r="B1209" s="5">
        <f t="shared" si="91"/>
        <v>0</v>
      </c>
      <c r="C1209" s="5" t="str">
        <f t="shared" si="90"/>
        <v/>
      </c>
      <c r="D1209" s="5" t="str">
        <f>IFERROR(IF(F1209&lt;&gt;"",F1209,VLOOKUP(MAX(C$2:C1209),A$2:F1209,2,FALSE)),"")</f>
        <v/>
      </c>
      <c r="E1209" s="5" t="str">
        <f t="shared" si="92"/>
        <v/>
      </c>
      <c r="K1209" t="str">
        <f>IFERROR(IF(VLOOKUP(E:E,'Old Report'!E:J,6,FALSE)="","",VLOOKUP(E:E,'Old Report'!E:J,6,FALSE)),"")</f>
        <v/>
      </c>
      <c r="L1209" t="str">
        <f>IFERROR(IF(VLOOKUP(E:E,'Old Report'!E:L,8,FALSE)="","",VLOOKUP(E:E,'Old Report'!E:L,8,FALSE)),"")</f>
        <v/>
      </c>
      <c r="M1209" s="5" t="str">
        <f t="shared" si="93"/>
        <v/>
      </c>
      <c r="N1209" s="5" t="str">
        <f t="shared" si="94"/>
        <v/>
      </c>
    </row>
    <row r="1210" spans="1:14" x14ac:dyDescent="0.25">
      <c r="A1210" s="5">
        <v>1209</v>
      </c>
      <c r="B1210" s="5">
        <f t="shared" si="91"/>
        <v>0</v>
      </c>
      <c r="C1210" s="5" t="str">
        <f t="shared" si="90"/>
        <v/>
      </c>
      <c r="D1210" s="5" t="str">
        <f>IFERROR(IF(F1210&lt;&gt;"",F1210,VLOOKUP(MAX(C$2:C1210),A$2:F1210,2,FALSE)),"")</f>
        <v/>
      </c>
      <c r="E1210" s="5" t="str">
        <f t="shared" si="92"/>
        <v/>
      </c>
      <c r="K1210" t="str">
        <f>IFERROR(IF(VLOOKUP(E:E,'Old Report'!E:J,6,FALSE)="","",VLOOKUP(E:E,'Old Report'!E:J,6,FALSE)),"")</f>
        <v/>
      </c>
      <c r="L1210" t="str">
        <f>IFERROR(IF(VLOOKUP(E:E,'Old Report'!E:L,8,FALSE)="","",VLOOKUP(E:E,'Old Report'!E:L,8,FALSE)),"")</f>
        <v/>
      </c>
      <c r="M1210" s="5" t="str">
        <f t="shared" si="93"/>
        <v/>
      </c>
      <c r="N1210" s="5" t="str">
        <f t="shared" si="94"/>
        <v/>
      </c>
    </row>
    <row r="1211" spans="1:14" x14ac:dyDescent="0.25">
      <c r="A1211" s="5">
        <v>1210</v>
      </c>
      <c r="B1211" s="5">
        <f t="shared" si="91"/>
        <v>0</v>
      </c>
      <c r="C1211" s="5" t="str">
        <f t="shared" si="90"/>
        <v/>
      </c>
      <c r="D1211" s="5" t="str">
        <f>IFERROR(IF(F1211&lt;&gt;"",F1211,VLOOKUP(MAX(C$2:C1211),A$2:F1211,2,FALSE)),"")</f>
        <v/>
      </c>
      <c r="E1211" s="5" t="str">
        <f t="shared" si="92"/>
        <v/>
      </c>
      <c r="K1211" t="str">
        <f>IFERROR(IF(VLOOKUP(E:E,'Old Report'!E:J,6,FALSE)="","",VLOOKUP(E:E,'Old Report'!E:J,6,FALSE)),"")</f>
        <v/>
      </c>
      <c r="L1211" t="str">
        <f>IFERROR(IF(VLOOKUP(E:E,'Old Report'!E:L,8,FALSE)="","",VLOOKUP(E:E,'Old Report'!E:L,8,FALSE)),"")</f>
        <v/>
      </c>
      <c r="M1211" s="5" t="str">
        <f t="shared" si="93"/>
        <v/>
      </c>
      <c r="N1211" s="5" t="str">
        <f t="shared" si="94"/>
        <v/>
      </c>
    </row>
    <row r="1212" spans="1:14" x14ac:dyDescent="0.25">
      <c r="A1212" s="5">
        <v>1211</v>
      </c>
      <c r="B1212" s="5">
        <f t="shared" si="91"/>
        <v>0</v>
      </c>
      <c r="C1212" s="5" t="str">
        <f t="shared" si="90"/>
        <v/>
      </c>
      <c r="D1212" s="5" t="str">
        <f>IFERROR(IF(F1212&lt;&gt;"",F1212,VLOOKUP(MAX(C$2:C1212),A$2:F1212,2,FALSE)),"")</f>
        <v/>
      </c>
      <c r="E1212" s="5" t="str">
        <f t="shared" si="92"/>
        <v/>
      </c>
      <c r="K1212" t="str">
        <f>IFERROR(IF(VLOOKUP(E:E,'Old Report'!E:J,6,FALSE)="","",VLOOKUP(E:E,'Old Report'!E:J,6,FALSE)),"")</f>
        <v/>
      </c>
      <c r="L1212" t="str">
        <f>IFERROR(IF(VLOOKUP(E:E,'Old Report'!E:L,8,FALSE)="","",VLOOKUP(E:E,'Old Report'!E:L,8,FALSE)),"")</f>
        <v/>
      </c>
      <c r="M1212" s="5" t="str">
        <f t="shared" si="93"/>
        <v/>
      </c>
      <c r="N1212" s="5" t="str">
        <f t="shared" si="94"/>
        <v/>
      </c>
    </row>
    <row r="1213" spans="1:14" x14ac:dyDescent="0.25">
      <c r="A1213" s="5">
        <v>1212</v>
      </c>
      <c r="B1213" s="5">
        <f t="shared" si="91"/>
        <v>0</v>
      </c>
      <c r="C1213" s="5" t="str">
        <f t="shared" si="90"/>
        <v/>
      </c>
      <c r="D1213" s="5" t="str">
        <f>IFERROR(IF(F1213&lt;&gt;"",F1213,VLOOKUP(MAX(C$2:C1213),A$2:F1213,2,FALSE)),"")</f>
        <v/>
      </c>
      <c r="E1213" s="5" t="str">
        <f t="shared" si="92"/>
        <v/>
      </c>
      <c r="K1213" t="str">
        <f>IFERROR(IF(VLOOKUP(E:E,'Old Report'!E:J,6,FALSE)="","",VLOOKUP(E:E,'Old Report'!E:J,6,FALSE)),"")</f>
        <v/>
      </c>
      <c r="L1213" t="str">
        <f>IFERROR(IF(VLOOKUP(E:E,'Old Report'!E:L,8,FALSE)="","",VLOOKUP(E:E,'Old Report'!E:L,8,FALSE)),"")</f>
        <v/>
      </c>
      <c r="M1213" s="5" t="str">
        <f t="shared" si="93"/>
        <v/>
      </c>
      <c r="N1213" s="5" t="str">
        <f t="shared" si="94"/>
        <v/>
      </c>
    </row>
    <row r="1214" spans="1:14" x14ac:dyDescent="0.25">
      <c r="A1214" s="5">
        <v>1213</v>
      </c>
      <c r="B1214" s="5">
        <f t="shared" si="91"/>
        <v>0</v>
      </c>
      <c r="C1214" s="5" t="str">
        <f t="shared" si="90"/>
        <v/>
      </c>
      <c r="D1214" s="5" t="str">
        <f>IFERROR(IF(F1214&lt;&gt;"",F1214,VLOOKUP(MAX(C$2:C1214),A$2:F1214,2,FALSE)),"")</f>
        <v/>
      </c>
      <c r="E1214" s="5" t="str">
        <f t="shared" si="92"/>
        <v/>
      </c>
      <c r="K1214" t="str">
        <f>IFERROR(IF(VLOOKUP(E:E,'Old Report'!E:J,6,FALSE)="","",VLOOKUP(E:E,'Old Report'!E:J,6,FALSE)),"")</f>
        <v/>
      </c>
      <c r="L1214" t="str">
        <f>IFERROR(IF(VLOOKUP(E:E,'Old Report'!E:L,8,FALSE)="","",VLOOKUP(E:E,'Old Report'!E:L,8,FALSE)),"")</f>
        <v/>
      </c>
      <c r="M1214" s="5" t="str">
        <f t="shared" si="93"/>
        <v/>
      </c>
      <c r="N1214" s="5" t="str">
        <f t="shared" si="94"/>
        <v/>
      </c>
    </row>
    <row r="1215" spans="1:14" x14ac:dyDescent="0.25">
      <c r="A1215" s="5">
        <v>1214</v>
      </c>
      <c r="B1215" s="5">
        <f t="shared" si="91"/>
        <v>0</v>
      </c>
      <c r="C1215" s="5" t="str">
        <f t="shared" si="90"/>
        <v/>
      </c>
      <c r="D1215" s="5" t="str">
        <f>IFERROR(IF(F1215&lt;&gt;"",F1215,VLOOKUP(MAX(C$2:C1215),A$2:F1215,2,FALSE)),"")</f>
        <v/>
      </c>
      <c r="E1215" s="5" t="str">
        <f t="shared" si="92"/>
        <v/>
      </c>
      <c r="K1215" t="str">
        <f>IFERROR(IF(VLOOKUP(E:E,'Old Report'!E:J,6,FALSE)="","",VLOOKUP(E:E,'Old Report'!E:J,6,FALSE)),"")</f>
        <v/>
      </c>
      <c r="L1215" t="str">
        <f>IFERROR(IF(VLOOKUP(E:E,'Old Report'!E:L,8,FALSE)="","",VLOOKUP(E:E,'Old Report'!E:L,8,FALSE)),"")</f>
        <v/>
      </c>
      <c r="M1215" s="5" t="str">
        <f t="shared" si="93"/>
        <v/>
      </c>
      <c r="N1215" s="5" t="str">
        <f t="shared" si="94"/>
        <v/>
      </c>
    </row>
    <row r="1216" spans="1:14" x14ac:dyDescent="0.25">
      <c r="A1216" s="5">
        <v>1215</v>
      </c>
      <c r="B1216" s="5">
        <f t="shared" si="91"/>
        <v>0</v>
      </c>
      <c r="C1216" s="5" t="str">
        <f t="shared" si="90"/>
        <v/>
      </c>
      <c r="D1216" s="5" t="str">
        <f>IFERROR(IF(F1216&lt;&gt;"",F1216,VLOOKUP(MAX(C$2:C1216),A$2:F1216,2,FALSE)),"")</f>
        <v/>
      </c>
      <c r="E1216" s="5" t="str">
        <f t="shared" si="92"/>
        <v/>
      </c>
      <c r="K1216" t="str">
        <f>IFERROR(IF(VLOOKUP(E:E,'Old Report'!E:J,6,FALSE)="","",VLOOKUP(E:E,'Old Report'!E:J,6,FALSE)),"")</f>
        <v/>
      </c>
      <c r="L1216" t="str">
        <f>IFERROR(IF(VLOOKUP(E:E,'Old Report'!E:L,8,FALSE)="","",VLOOKUP(E:E,'Old Report'!E:L,8,FALSE)),"")</f>
        <v/>
      </c>
      <c r="M1216" s="5" t="str">
        <f t="shared" si="93"/>
        <v/>
      </c>
      <c r="N1216" s="5" t="str">
        <f t="shared" si="94"/>
        <v/>
      </c>
    </row>
    <row r="1217" spans="1:14" x14ac:dyDescent="0.25">
      <c r="A1217" s="5">
        <v>1216</v>
      </c>
      <c r="B1217" s="5">
        <f t="shared" si="91"/>
        <v>0</v>
      </c>
      <c r="C1217" s="5" t="str">
        <f t="shared" si="90"/>
        <v/>
      </c>
      <c r="D1217" s="5" t="str">
        <f>IFERROR(IF(F1217&lt;&gt;"",F1217,VLOOKUP(MAX(C$2:C1217),A$2:F1217,2,FALSE)),"")</f>
        <v/>
      </c>
      <c r="E1217" s="5" t="str">
        <f t="shared" si="92"/>
        <v/>
      </c>
      <c r="K1217" t="str">
        <f>IFERROR(IF(VLOOKUP(E:E,'Old Report'!E:J,6,FALSE)="","",VLOOKUP(E:E,'Old Report'!E:J,6,FALSE)),"")</f>
        <v/>
      </c>
      <c r="L1217" t="str">
        <f>IFERROR(IF(VLOOKUP(E:E,'Old Report'!E:L,8,FALSE)="","",VLOOKUP(E:E,'Old Report'!E:L,8,FALSE)),"")</f>
        <v/>
      </c>
      <c r="M1217" s="5" t="str">
        <f t="shared" si="93"/>
        <v/>
      </c>
      <c r="N1217" s="5" t="str">
        <f t="shared" si="94"/>
        <v/>
      </c>
    </row>
    <row r="1218" spans="1:14" x14ac:dyDescent="0.25">
      <c r="A1218" s="5">
        <v>1217</v>
      </c>
      <c r="B1218" s="5">
        <f t="shared" si="91"/>
        <v>0</v>
      </c>
      <c r="C1218" s="5" t="str">
        <f t="shared" ref="C1218:C1281" si="95">IF(F1218&lt;&gt;"",A1218,"")</f>
        <v/>
      </c>
      <c r="D1218" s="5" t="str">
        <f>IFERROR(IF(F1218&lt;&gt;"",F1218,VLOOKUP(MAX(C$2:C1218),A$2:F1218,2,FALSE)),"")</f>
        <v/>
      </c>
      <c r="E1218" s="5" t="str">
        <f t="shared" si="92"/>
        <v/>
      </c>
      <c r="K1218" t="str">
        <f>IFERROR(IF(VLOOKUP(E:E,'Old Report'!E:J,6,FALSE)="","",VLOOKUP(E:E,'Old Report'!E:J,6,FALSE)),"")</f>
        <v/>
      </c>
      <c r="L1218" t="str">
        <f>IFERROR(IF(VLOOKUP(E:E,'Old Report'!E:L,8,FALSE)="","",VLOOKUP(E:E,'Old Report'!E:L,8,FALSE)),"")</f>
        <v/>
      </c>
      <c r="M1218" s="5" t="str">
        <f t="shared" si="93"/>
        <v/>
      </c>
      <c r="N1218" s="5" t="str">
        <f t="shared" si="94"/>
        <v/>
      </c>
    </row>
    <row r="1219" spans="1:14" x14ac:dyDescent="0.25">
      <c r="A1219" s="5">
        <v>1218</v>
      </c>
      <c r="B1219" s="5">
        <f t="shared" ref="B1219:B1282" si="96">IF(F1220&lt;&gt;"",F1220,F1219)</f>
        <v>0</v>
      </c>
      <c r="C1219" s="5" t="str">
        <f t="shared" si="95"/>
        <v/>
      </c>
      <c r="D1219" s="5" t="str">
        <f>IFERROR(IF(F1219&lt;&gt;"",F1219,VLOOKUP(MAX(C$2:C1219),A$2:F1219,2,FALSE)),"")</f>
        <v/>
      </c>
      <c r="E1219" s="5" t="str">
        <f t="shared" ref="E1219:E1282" si="97">IF(H1219&lt;&gt;"",CONCATENATE(D1219,".",H1219),"")</f>
        <v/>
      </c>
      <c r="K1219" t="str">
        <f>IFERROR(IF(VLOOKUP(E:E,'Old Report'!E:J,6,FALSE)="","",VLOOKUP(E:E,'Old Report'!E:J,6,FALSE)),"")</f>
        <v/>
      </c>
      <c r="L1219" t="str">
        <f>IFERROR(IF(VLOOKUP(E:E,'Old Report'!E:L,8,FALSE)="","",VLOOKUP(E:E,'Old Report'!E:L,8,FALSE)),"")</f>
        <v/>
      </c>
      <c r="M1219" s="5" t="str">
        <f t="shared" si="93"/>
        <v/>
      </c>
      <c r="N1219" s="5" t="str">
        <f t="shared" si="94"/>
        <v/>
      </c>
    </row>
    <row r="1220" spans="1:14" x14ac:dyDescent="0.25">
      <c r="A1220" s="5">
        <v>1219</v>
      </c>
      <c r="B1220" s="5">
        <f t="shared" si="96"/>
        <v>0</v>
      </c>
      <c r="C1220" s="5" t="str">
        <f t="shared" si="95"/>
        <v/>
      </c>
      <c r="D1220" s="5" t="str">
        <f>IFERROR(IF(F1220&lt;&gt;"",F1220,VLOOKUP(MAX(C$2:C1220),A$2:F1220,2,FALSE)),"")</f>
        <v/>
      </c>
      <c r="E1220" s="5" t="str">
        <f t="shared" si="97"/>
        <v/>
      </c>
      <c r="K1220" t="str">
        <f>IFERROR(IF(VLOOKUP(E:E,'Old Report'!E:J,6,FALSE)="","",VLOOKUP(E:E,'Old Report'!E:J,6,FALSE)),"")</f>
        <v/>
      </c>
      <c r="L1220" t="str">
        <f>IFERROR(IF(VLOOKUP(E:E,'Old Report'!E:L,8,FALSE)="","",VLOOKUP(E:E,'Old Report'!E:L,8,FALSE)),"")</f>
        <v/>
      </c>
      <c r="M1220" s="5" t="str">
        <f t="shared" ref="M1220:M1283" si="98">IFERROR(L1220,"")</f>
        <v/>
      </c>
      <c r="N1220" s="5" t="str">
        <f t="shared" ref="N1220:N1283" si="99">IFERROR( IF(J1220&lt;&gt;"",IF(K1220 &lt;&gt; "",IF(J1220 = K1220,"No Change",IF(J1220 &lt; K1220,CONCATENATE("Issues reduced from ",K1220," to ",J1220),IF(J1220&gt;K1220,CONCATENATE("Issues increased from ",K1220," to ",J1220),""))),"New issue - needs to be checked"),""),"")</f>
        <v/>
      </c>
    </row>
    <row r="1221" spans="1:14" x14ac:dyDescent="0.25">
      <c r="A1221" s="5">
        <v>1220</v>
      </c>
      <c r="B1221" s="5">
        <f t="shared" si="96"/>
        <v>0</v>
      </c>
      <c r="C1221" s="5" t="str">
        <f t="shared" si="95"/>
        <v/>
      </c>
      <c r="D1221" s="5" t="str">
        <f>IFERROR(IF(F1221&lt;&gt;"",F1221,VLOOKUP(MAX(C$2:C1221),A$2:F1221,2,FALSE)),"")</f>
        <v/>
      </c>
      <c r="E1221" s="5" t="str">
        <f t="shared" si="97"/>
        <v/>
      </c>
      <c r="K1221" t="str">
        <f>IFERROR(IF(VLOOKUP(E:E,'Old Report'!E:J,6,FALSE)="","",VLOOKUP(E:E,'Old Report'!E:J,6,FALSE)),"")</f>
        <v/>
      </c>
      <c r="L1221" t="str">
        <f>IFERROR(IF(VLOOKUP(E:E,'Old Report'!E:L,8,FALSE)="","",VLOOKUP(E:E,'Old Report'!E:L,8,FALSE)),"")</f>
        <v/>
      </c>
      <c r="M1221" s="5" t="str">
        <f t="shared" si="98"/>
        <v/>
      </c>
      <c r="N1221" s="5" t="str">
        <f t="shared" si="99"/>
        <v/>
      </c>
    </row>
    <row r="1222" spans="1:14" x14ac:dyDescent="0.25">
      <c r="A1222" s="5">
        <v>1221</v>
      </c>
      <c r="B1222" s="5">
        <f t="shared" si="96"/>
        <v>0</v>
      </c>
      <c r="C1222" s="5" t="str">
        <f t="shared" si="95"/>
        <v/>
      </c>
      <c r="D1222" s="5" t="str">
        <f>IFERROR(IF(F1222&lt;&gt;"",F1222,VLOOKUP(MAX(C$2:C1222),A$2:F1222,2,FALSE)),"")</f>
        <v/>
      </c>
      <c r="E1222" s="5" t="str">
        <f t="shared" si="97"/>
        <v/>
      </c>
      <c r="K1222" t="str">
        <f>IFERROR(IF(VLOOKUP(E:E,'Old Report'!E:J,6,FALSE)="","",VLOOKUP(E:E,'Old Report'!E:J,6,FALSE)),"")</f>
        <v/>
      </c>
      <c r="L1222" t="str">
        <f>IFERROR(IF(VLOOKUP(E:E,'Old Report'!E:L,8,FALSE)="","",VLOOKUP(E:E,'Old Report'!E:L,8,FALSE)),"")</f>
        <v/>
      </c>
      <c r="M1222" s="5" t="str">
        <f t="shared" si="98"/>
        <v/>
      </c>
      <c r="N1222" s="5" t="str">
        <f t="shared" si="99"/>
        <v/>
      </c>
    </row>
    <row r="1223" spans="1:14" x14ac:dyDescent="0.25">
      <c r="A1223" s="5">
        <v>1222</v>
      </c>
      <c r="B1223" s="5">
        <f t="shared" si="96"/>
        <v>0</v>
      </c>
      <c r="C1223" s="5" t="str">
        <f t="shared" si="95"/>
        <v/>
      </c>
      <c r="D1223" s="5" t="str">
        <f>IFERROR(IF(F1223&lt;&gt;"",F1223,VLOOKUP(MAX(C$2:C1223),A$2:F1223,2,FALSE)),"")</f>
        <v/>
      </c>
      <c r="E1223" s="5" t="str">
        <f t="shared" si="97"/>
        <v/>
      </c>
      <c r="K1223" t="str">
        <f>IFERROR(IF(VLOOKUP(E:E,'Old Report'!E:J,6,FALSE)="","",VLOOKUP(E:E,'Old Report'!E:J,6,FALSE)),"")</f>
        <v/>
      </c>
      <c r="L1223" t="str">
        <f>IFERROR(IF(VLOOKUP(E:E,'Old Report'!E:L,8,FALSE)="","",VLOOKUP(E:E,'Old Report'!E:L,8,FALSE)),"")</f>
        <v/>
      </c>
      <c r="M1223" s="5" t="str">
        <f t="shared" si="98"/>
        <v/>
      </c>
      <c r="N1223" s="5" t="str">
        <f t="shared" si="99"/>
        <v/>
      </c>
    </row>
    <row r="1224" spans="1:14" x14ac:dyDescent="0.25">
      <c r="A1224" s="5">
        <v>1223</v>
      </c>
      <c r="B1224" s="5">
        <f t="shared" si="96"/>
        <v>0</v>
      </c>
      <c r="C1224" s="5" t="str">
        <f t="shared" si="95"/>
        <v/>
      </c>
      <c r="D1224" s="5" t="str">
        <f>IFERROR(IF(F1224&lt;&gt;"",F1224,VLOOKUP(MAX(C$2:C1224),A$2:F1224,2,FALSE)),"")</f>
        <v/>
      </c>
      <c r="E1224" s="5" t="str">
        <f t="shared" si="97"/>
        <v/>
      </c>
      <c r="K1224" t="str">
        <f>IFERROR(IF(VLOOKUP(E:E,'Old Report'!E:J,6,FALSE)="","",VLOOKUP(E:E,'Old Report'!E:J,6,FALSE)),"")</f>
        <v/>
      </c>
      <c r="L1224" t="str">
        <f>IFERROR(IF(VLOOKUP(E:E,'Old Report'!E:L,8,FALSE)="","",VLOOKUP(E:E,'Old Report'!E:L,8,FALSE)),"")</f>
        <v/>
      </c>
      <c r="M1224" s="5" t="str">
        <f t="shared" si="98"/>
        <v/>
      </c>
      <c r="N1224" s="5" t="str">
        <f t="shared" si="99"/>
        <v/>
      </c>
    </row>
    <row r="1225" spans="1:14" x14ac:dyDescent="0.25">
      <c r="A1225" s="5">
        <v>1224</v>
      </c>
      <c r="B1225" s="5">
        <f t="shared" si="96"/>
        <v>0</v>
      </c>
      <c r="C1225" s="5" t="str">
        <f t="shared" si="95"/>
        <v/>
      </c>
      <c r="D1225" s="5" t="str">
        <f>IFERROR(IF(F1225&lt;&gt;"",F1225,VLOOKUP(MAX(C$2:C1225),A$2:F1225,2,FALSE)),"")</f>
        <v/>
      </c>
      <c r="E1225" s="5" t="str">
        <f t="shared" si="97"/>
        <v/>
      </c>
      <c r="K1225" t="str">
        <f>IFERROR(IF(VLOOKUP(E:E,'Old Report'!E:J,6,FALSE)="","",VLOOKUP(E:E,'Old Report'!E:J,6,FALSE)),"")</f>
        <v/>
      </c>
      <c r="L1225" t="str">
        <f>IFERROR(IF(VLOOKUP(E:E,'Old Report'!E:L,8,FALSE)="","",VLOOKUP(E:E,'Old Report'!E:L,8,FALSE)),"")</f>
        <v/>
      </c>
      <c r="M1225" s="5" t="str">
        <f t="shared" si="98"/>
        <v/>
      </c>
      <c r="N1225" s="5" t="str">
        <f t="shared" si="99"/>
        <v/>
      </c>
    </row>
    <row r="1226" spans="1:14" x14ac:dyDescent="0.25">
      <c r="A1226" s="5">
        <v>1225</v>
      </c>
      <c r="B1226" s="5">
        <f t="shared" si="96"/>
        <v>0</v>
      </c>
      <c r="C1226" s="5" t="str">
        <f t="shared" si="95"/>
        <v/>
      </c>
      <c r="D1226" s="5" t="str">
        <f>IFERROR(IF(F1226&lt;&gt;"",F1226,VLOOKUP(MAX(C$2:C1226),A$2:F1226,2,FALSE)),"")</f>
        <v/>
      </c>
      <c r="E1226" s="5" t="str">
        <f t="shared" si="97"/>
        <v/>
      </c>
      <c r="K1226" t="str">
        <f>IFERROR(IF(VLOOKUP(E:E,'Old Report'!E:J,6,FALSE)="","",VLOOKUP(E:E,'Old Report'!E:J,6,FALSE)),"")</f>
        <v/>
      </c>
      <c r="L1226" t="str">
        <f>IFERROR(IF(VLOOKUP(E:E,'Old Report'!E:L,8,FALSE)="","",VLOOKUP(E:E,'Old Report'!E:L,8,FALSE)),"")</f>
        <v/>
      </c>
      <c r="M1226" s="5" t="str">
        <f t="shared" si="98"/>
        <v/>
      </c>
      <c r="N1226" s="5" t="str">
        <f t="shared" si="99"/>
        <v/>
      </c>
    </row>
    <row r="1227" spans="1:14" x14ac:dyDescent="0.25">
      <c r="A1227" s="5">
        <v>1226</v>
      </c>
      <c r="B1227" s="5">
        <f t="shared" si="96"/>
        <v>0</v>
      </c>
      <c r="C1227" s="5" t="str">
        <f t="shared" si="95"/>
        <v/>
      </c>
      <c r="D1227" s="5" t="str">
        <f>IFERROR(IF(F1227&lt;&gt;"",F1227,VLOOKUP(MAX(C$2:C1227),A$2:F1227,2,FALSE)),"")</f>
        <v/>
      </c>
      <c r="E1227" s="5" t="str">
        <f t="shared" si="97"/>
        <v/>
      </c>
      <c r="K1227" t="str">
        <f>IFERROR(IF(VLOOKUP(E:E,'Old Report'!E:J,6,FALSE)="","",VLOOKUP(E:E,'Old Report'!E:J,6,FALSE)),"")</f>
        <v/>
      </c>
      <c r="L1227" t="str">
        <f>IFERROR(IF(VLOOKUP(E:E,'Old Report'!E:L,8,FALSE)="","",VLOOKUP(E:E,'Old Report'!E:L,8,FALSE)),"")</f>
        <v/>
      </c>
      <c r="M1227" s="5" t="str">
        <f t="shared" si="98"/>
        <v/>
      </c>
      <c r="N1227" s="5" t="str">
        <f t="shared" si="99"/>
        <v/>
      </c>
    </row>
    <row r="1228" spans="1:14" x14ac:dyDescent="0.25">
      <c r="A1228" s="5">
        <v>1227</v>
      </c>
      <c r="B1228" s="5">
        <f t="shared" si="96"/>
        <v>0</v>
      </c>
      <c r="C1228" s="5" t="str">
        <f t="shared" si="95"/>
        <v/>
      </c>
      <c r="D1228" s="5" t="str">
        <f>IFERROR(IF(F1228&lt;&gt;"",F1228,VLOOKUP(MAX(C$2:C1228),A$2:F1228,2,FALSE)),"")</f>
        <v/>
      </c>
      <c r="E1228" s="5" t="str">
        <f t="shared" si="97"/>
        <v/>
      </c>
      <c r="K1228" t="str">
        <f>IFERROR(IF(VLOOKUP(E:E,'Old Report'!E:J,6,FALSE)="","",VLOOKUP(E:E,'Old Report'!E:J,6,FALSE)),"")</f>
        <v/>
      </c>
      <c r="L1228" t="str">
        <f>IFERROR(IF(VLOOKUP(E:E,'Old Report'!E:L,8,FALSE)="","",VLOOKUP(E:E,'Old Report'!E:L,8,FALSE)),"")</f>
        <v/>
      </c>
      <c r="M1228" s="5" t="str">
        <f t="shared" si="98"/>
        <v/>
      </c>
      <c r="N1228" s="5" t="str">
        <f t="shared" si="99"/>
        <v/>
      </c>
    </row>
    <row r="1229" spans="1:14" x14ac:dyDescent="0.25">
      <c r="A1229" s="5">
        <v>1228</v>
      </c>
      <c r="B1229" s="5">
        <f t="shared" si="96"/>
        <v>0</v>
      </c>
      <c r="C1229" s="5" t="str">
        <f t="shared" si="95"/>
        <v/>
      </c>
      <c r="D1229" s="5" t="str">
        <f>IFERROR(IF(F1229&lt;&gt;"",F1229,VLOOKUP(MAX(C$2:C1229),A$2:F1229,2,FALSE)),"")</f>
        <v/>
      </c>
      <c r="E1229" s="5" t="str">
        <f t="shared" si="97"/>
        <v/>
      </c>
      <c r="K1229" t="str">
        <f>IFERROR(IF(VLOOKUP(E:E,'Old Report'!E:J,6,FALSE)="","",VLOOKUP(E:E,'Old Report'!E:J,6,FALSE)),"")</f>
        <v/>
      </c>
      <c r="L1229" t="str">
        <f>IFERROR(IF(VLOOKUP(E:E,'Old Report'!E:L,8,FALSE)="","",VLOOKUP(E:E,'Old Report'!E:L,8,FALSE)),"")</f>
        <v/>
      </c>
      <c r="M1229" s="5" t="str">
        <f t="shared" si="98"/>
        <v/>
      </c>
      <c r="N1229" s="5" t="str">
        <f t="shared" si="99"/>
        <v/>
      </c>
    </row>
    <row r="1230" spans="1:14" x14ac:dyDescent="0.25">
      <c r="A1230" s="5">
        <v>1229</v>
      </c>
      <c r="B1230" s="5">
        <f t="shared" si="96"/>
        <v>0</v>
      </c>
      <c r="C1230" s="5" t="str">
        <f t="shared" si="95"/>
        <v/>
      </c>
      <c r="D1230" s="5" t="str">
        <f>IFERROR(IF(F1230&lt;&gt;"",F1230,VLOOKUP(MAX(C$2:C1230),A$2:F1230,2,FALSE)),"")</f>
        <v/>
      </c>
      <c r="E1230" s="5" t="str">
        <f t="shared" si="97"/>
        <v/>
      </c>
      <c r="K1230" t="str">
        <f>IFERROR(IF(VLOOKUP(E:E,'Old Report'!E:J,6,FALSE)="","",VLOOKUP(E:E,'Old Report'!E:J,6,FALSE)),"")</f>
        <v/>
      </c>
      <c r="L1230" t="str">
        <f>IFERROR(IF(VLOOKUP(E:E,'Old Report'!E:L,8,FALSE)="","",VLOOKUP(E:E,'Old Report'!E:L,8,FALSE)),"")</f>
        <v/>
      </c>
      <c r="M1230" s="5" t="str">
        <f t="shared" si="98"/>
        <v/>
      </c>
      <c r="N1230" s="5" t="str">
        <f t="shared" si="99"/>
        <v/>
      </c>
    </row>
    <row r="1231" spans="1:14" x14ac:dyDescent="0.25">
      <c r="A1231" s="5">
        <v>1230</v>
      </c>
      <c r="B1231" s="5">
        <f t="shared" si="96"/>
        <v>0</v>
      </c>
      <c r="C1231" s="5" t="str">
        <f t="shared" si="95"/>
        <v/>
      </c>
      <c r="D1231" s="5" t="str">
        <f>IFERROR(IF(F1231&lt;&gt;"",F1231,VLOOKUP(MAX(C$2:C1231),A$2:F1231,2,FALSE)),"")</f>
        <v/>
      </c>
      <c r="E1231" s="5" t="str">
        <f t="shared" si="97"/>
        <v/>
      </c>
      <c r="K1231" t="str">
        <f>IFERROR(IF(VLOOKUP(E:E,'Old Report'!E:J,6,FALSE)="","",VLOOKUP(E:E,'Old Report'!E:J,6,FALSE)),"")</f>
        <v/>
      </c>
      <c r="L1231" t="str">
        <f>IFERROR(IF(VLOOKUP(E:E,'Old Report'!E:L,8,FALSE)="","",VLOOKUP(E:E,'Old Report'!E:L,8,FALSE)),"")</f>
        <v/>
      </c>
      <c r="M1231" s="5" t="str">
        <f t="shared" si="98"/>
        <v/>
      </c>
      <c r="N1231" s="5" t="str">
        <f t="shared" si="99"/>
        <v/>
      </c>
    </row>
    <row r="1232" spans="1:14" x14ac:dyDescent="0.25">
      <c r="A1232" s="5">
        <v>1231</v>
      </c>
      <c r="B1232" s="5">
        <f t="shared" si="96"/>
        <v>0</v>
      </c>
      <c r="C1232" s="5" t="str">
        <f t="shared" si="95"/>
        <v/>
      </c>
      <c r="D1232" s="5" t="str">
        <f>IFERROR(IF(F1232&lt;&gt;"",F1232,VLOOKUP(MAX(C$2:C1232),A$2:F1232,2,FALSE)),"")</f>
        <v/>
      </c>
      <c r="E1232" s="5" t="str">
        <f t="shared" si="97"/>
        <v/>
      </c>
      <c r="K1232" t="str">
        <f>IFERROR(IF(VLOOKUP(E:E,'Old Report'!E:J,6,FALSE)="","",VLOOKUP(E:E,'Old Report'!E:J,6,FALSE)),"")</f>
        <v/>
      </c>
      <c r="L1232" t="str">
        <f>IFERROR(IF(VLOOKUP(E:E,'Old Report'!E:L,8,FALSE)="","",VLOOKUP(E:E,'Old Report'!E:L,8,FALSE)),"")</f>
        <v/>
      </c>
      <c r="M1232" s="5" t="str">
        <f t="shared" si="98"/>
        <v/>
      </c>
      <c r="N1232" s="5" t="str">
        <f t="shared" si="99"/>
        <v/>
      </c>
    </row>
    <row r="1233" spans="1:14" x14ac:dyDescent="0.25">
      <c r="A1233" s="5">
        <v>1232</v>
      </c>
      <c r="B1233" s="5">
        <f t="shared" si="96"/>
        <v>0</v>
      </c>
      <c r="C1233" s="5" t="str">
        <f t="shared" si="95"/>
        <v/>
      </c>
      <c r="D1233" s="5" t="str">
        <f>IFERROR(IF(F1233&lt;&gt;"",F1233,VLOOKUP(MAX(C$2:C1233),A$2:F1233,2,FALSE)),"")</f>
        <v/>
      </c>
      <c r="E1233" s="5" t="str">
        <f t="shared" si="97"/>
        <v/>
      </c>
      <c r="K1233" t="str">
        <f>IFERROR(IF(VLOOKUP(E:E,'Old Report'!E:J,6,FALSE)="","",VLOOKUP(E:E,'Old Report'!E:J,6,FALSE)),"")</f>
        <v/>
      </c>
      <c r="L1233" t="str">
        <f>IFERROR(IF(VLOOKUP(E:E,'Old Report'!E:L,8,FALSE)="","",VLOOKUP(E:E,'Old Report'!E:L,8,FALSE)),"")</f>
        <v/>
      </c>
      <c r="M1233" s="5" t="str">
        <f t="shared" si="98"/>
        <v/>
      </c>
      <c r="N1233" s="5" t="str">
        <f t="shared" si="99"/>
        <v/>
      </c>
    </row>
    <row r="1234" spans="1:14" x14ac:dyDescent="0.25">
      <c r="A1234" s="5">
        <v>1233</v>
      </c>
      <c r="B1234" s="5">
        <f t="shared" si="96"/>
        <v>0</v>
      </c>
      <c r="C1234" s="5" t="str">
        <f t="shared" si="95"/>
        <v/>
      </c>
      <c r="D1234" s="5" t="str">
        <f>IFERROR(IF(F1234&lt;&gt;"",F1234,VLOOKUP(MAX(C$2:C1234),A$2:F1234,2,FALSE)),"")</f>
        <v/>
      </c>
      <c r="E1234" s="5" t="str">
        <f t="shared" si="97"/>
        <v/>
      </c>
      <c r="K1234" t="str">
        <f>IFERROR(IF(VLOOKUP(E:E,'Old Report'!E:J,6,FALSE)="","",VLOOKUP(E:E,'Old Report'!E:J,6,FALSE)),"")</f>
        <v/>
      </c>
      <c r="L1234" t="str">
        <f>IFERROR(IF(VLOOKUP(E:E,'Old Report'!E:L,8,FALSE)="","",VLOOKUP(E:E,'Old Report'!E:L,8,FALSE)),"")</f>
        <v/>
      </c>
      <c r="M1234" s="5" t="str">
        <f t="shared" si="98"/>
        <v/>
      </c>
      <c r="N1234" s="5" t="str">
        <f t="shared" si="99"/>
        <v/>
      </c>
    </row>
    <row r="1235" spans="1:14" x14ac:dyDescent="0.25">
      <c r="A1235" s="5">
        <v>1234</v>
      </c>
      <c r="B1235" s="5">
        <f t="shared" si="96"/>
        <v>0</v>
      </c>
      <c r="C1235" s="5" t="str">
        <f t="shared" si="95"/>
        <v/>
      </c>
      <c r="D1235" s="5" t="str">
        <f>IFERROR(IF(F1235&lt;&gt;"",F1235,VLOOKUP(MAX(C$2:C1235),A$2:F1235,2,FALSE)),"")</f>
        <v/>
      </c>
      <c r="E1235" s="5" t="str">
        <f t="shared" si="97"/>
        <v/>
      </c>
      <c r="K1235" t="str">
        <f>IFERROR(IF(VLOOKUP(E:E,'Old Report'!E:J,6,FALSE)="","",VLOOKUP(E:E,'Old Report'!E:J,6,FALSE)),"")</f>
        <v/>
      </c>
      <c r="L1235" t="str">
        <f>IFERROR(IF(VLOOKUP(E:E,'Old Report'!E:L,8,FALSE)="","",VLOOKUP(E:E,'Old Report'!E:L,8,FALSE)),"")</f>
        <v/>
      </c>
      <c r="M1235" s="5" t="str">
        <f t="shared" si="98"/>
        <v/>
      </c>
      <c r="N1235" s="5" t="str">
        <f t="shared" si="99"/>
        <v/>
      </c>
    </row>
    <row r="1236" spans="1:14" x14ac:dyDescent="0.25">
      <c r="A1236" s="5">
        <v>1235</v>
      </c>
      <c r="B1236" s="5">
        <f t="shared" si="96"/>
        <v>0</v>
      </c>
      <c r="C1236" s="5" t="str">
        <f t="shared" si="95"/>
        <v/>
      </c>
      <c r="D1236" s="5" t="str">
        <f>IFERROR(IF(F1236&lt;&gt;"",F1236,VLOOKUP(MAX(C$2:C1236),A$2:F1236,2,FALSE)),"")</f>
        <v/>
      </c>
      <c r="E1236" s="5" t="str">
        <f t="shared" si="97"/>
        <v/>
      </c>
      <c r="K1236" t="str">
        <f>IFERROR(IF(VLOOKUP(E:E,'Old Report'!E:J,6,FALSE)="","",VLOOKUP(E:E,'Old Report'!E:J,6,FALSE)),"")</f>
        <v/>
      </c>
      <c r="L1236" t="str">
        <f>IFERROR(IF(VLOOKUP(E:E,'Old Report'!E:L,8,FALSE)="","",VLOOKUP(E:E,'Old Report'!E:L,8,FALSE)),"")</f>
        <v/>
      </c>
      <c r="M1236" s="5" t="str">
        <f t="shared" si="98"/>
        <v/>
      </c>
      <c r="N1236" s="5" t="str">
        <f t="shared" si="99"/>
        <v/>
      </c>
    </row>
    <row r="1237" spans="1:14" x14ac:dyDescent="0.25">
      <c r="A1237" s="5">
        <v>1236</v>
      </c>
      <c r="B1237" s="5">
        <f t="shared" si="96"/>
        <v>0</v>
      </c>
      <c r="C1237" s="5" t="str">
        <f t="shared" si="95"/>
        <v/>
      </c>
      <c r="D1237" s="5" t="str">
        <f>IFERROR(IF(F1237&lt;&gt;"",F1237,VLOOKUP(MAX(C$2:C1237),A$2:F1237,2,FALSE)),"")</f>
        <v/>
      </c>
      <c r="E1237" s="5" t="str">
        <f t="shared" si="97"/>
        <v/>
      </c>
      <c r="K1237" t="str">
        <f>IFERROR(IF(VLOOKUP(E:E,'Old Report'!E:J,6,FALSE)="","",VLOOKUP(E:E,'Old Report'!E:J,6,FALSE)),"")</f>
        <v/>
      </c>
      <c r="L1237" t="str">
        <f>IFERROR(IF(VLOOKUP(E:E,'Old Report'!E:L,8,FALSE)="","",VLOOKUP(E:E,'Old Report'!E:L,8,FALSE)),"")</f>
        <v/>
      </c>
      <c r="M1237" s="5" t="str">
        <f t="shared" si="98"/>
        <v/>
      </c>
      <c r="N1237" s="5" t="str">
        <f t="shared" si="99"/>
        <v/>
      </c>
    </row>
    <row r="1238" spans="1:14" x14ac:dyDescent="0.25">
      <c r="A1238" s="5">
        <v>1237</v>
      </c>
      <c r="B1238" s="5">
        <f t="shared" si="96"/>
        <v>0</v>
      </c>
      <c r="C1238" s="5" t="str">
        <f t="shared" si="95"/>
        <v/>
      </c>
      <c r="D1238" s="5" t="str">
        <f>IFERROR(IF(F1238&lt;&gt;"",F1238,VLOOKUP(MAX(C$2:C1238),A$2:F1238,2,FALSE)),"")</f>
        <v/>
      </c>
      <c r="E1238" s="5" t="str">
        <f t="shared" si="97"/>
        <v/>
      </c>
      <c r="K1238" t="str">
        <f>IFERROR(IF(VLOOKUP(E:E,'Old Report'!E:J,6,FALSE)="","",VLOOKUP(E:E,'Old Report'!E:J,6,FALSE)),"")</f>
        <v/>
      </c>
      <c r="L1238" t="str">
        <f>IFERROR(IF(VLOOKUP(E:E,'Old Report'!E:L,8,FALSE)="","",VLOOKUP(E:E,'Old Report'!E:L,8,FALSE)),"")</f>
        <v/>
      </c>
      <c r="M1238" s="5" t="str">
        <f t="shared" si="98"/>
        <v/>
      </c>
      <c r="N1238" s="5" t="str">
        <f t="shared" si="99"/>
        <v/>
      </c>
    </row>
    <row r="1239" spans="1:14" x14ac:dyDescent="0.25">
      <c r="A1239" s="5">
        <v>1238</v>
      </c>
      <c r="B1239" s="5">
        <f t="shared" si="96"/>
        <v>0</v>
      </c>
      <c r="C1239" s="5" t="str">
        <f t="shared" si="95"/>
        <v/>
      </c>
      <c r="D1239" s="5" t="str">
        <f>IFERROR(IF(F1239&lt;&gt;"",F1239,VLOOKUP(MAX(C$2:C1239),A$2:F1239,2,FALSE)),"")</f>
        <v/>
      </c>
      <c r="E1239" s="5" t="str">
        <f t="shared" si="97"/>
        <v/>
      </c>
      <c r="K1239" t="str">
        <f>IFERROR(IF(VLOOKUP(E:E,'Old Report'!E:J,6,FALSE)="","",VLOOKUP(E:E,'Old Report'!E:J,6,FALSE)),"")</f>
        <v/>
      </c>
      <c r="L1239" t="str">
        <f>IFERROR(IF(VLOOKUP(E:E,'Old Report'!E:L,8,FALSE)="","",VLOOKUP(E:E,'Old Report'!E:L,8,FALSE)),"")</f>
        <v/>
      </c>
      <c r="M1239" s="5" t="str">
        <f t="shared" si="98"/>
        <v/>
      </c>
      <c r="N1239" s="5" t="str">
        <f t="shared" si="99"/>
        <v/>
      </c>
    </row>
    <row r="1240" spans="1:14" x14ac:dyDescent="0.25">
      <c r="A1240" s="5">
        <v>1239</v>
      </c>
      <c r="B1240" s="5">
        <f t="shared" si="96"/>
        <v>0</v>
      </c>
      <c r="C1240" s="5" t="str">
        <f t="shared" si="95"/>
        <v/>
      </c>
      <c r="D1240" s="5" t="str">
        <f>IFERROR(IF(F1240&lt;&gt;"",F1240,VLOOKUP(MAX(C$2:C1240),A$2:F1240,2,FALSE)),"")</f>
        <v/>
      </c>
      <c r="E1240" s="5" t="str">
        <f t="shared" si="97"/>
        <v/>
      </c>
      <c r="K1240" t="str">
        <f>IFERROR(IF(VLOOKUP(E:E,'Old Report'!E:J,6,FALSE)="","",VLOOKUP(E:E,'Old Report'!E:J,6,FALSE)),"")</f>
        <v/>
      </c>
      <c r="L1240" t="str">
        <f>IFERROR(IF(VLOOKUP(E:E,'Old Report'!E:L,8,FALSE)="","",VLOOKUP(E:E,'Old Report'!E:L,8,FALSE)),"")</f>
        <v/>
      </c>
      <c r="M1240" s="5" t="str">
        <f t="shared" si="98"/>
        <v/>
      </c>
      <c r="N1240" s="5" t="str">
        <f t="shared" si="99"/>
        <v/>
      </c>
    </row>
    <row r="1241" spans="1:14" x14ac:dyDescent="0.25">
      <c r="A1241" s="5">
        <v>1240</v>
      </c>
      <c r="B1241" s="5">
        <f t="shared" si="96"/>
        <v>0</v>
      </c>
      <c r="C1241" s="5" t="str">
        <f t="shared" si="95"/>
        <v/>
      </c>
      <c r="D1241" s="5" t="str">
        <f>IFERROR(IF(F1241&lt;&gt;"",F1241,VLOOKUP(MAX(C$2:C1241),A$2:F1241,2,FALSE)),"")</f>
        <v/>
      </c>
      <c r="E1241" s="5" t="str">
        <f t="shared" si="97"/>
        <v/>
      </c>
      <c r="K1241" t="str">
        <f>IFERROR(IF(VLOOKUP(E:E,'Old Report'!E:J,6,FALSE)="","",VLOOKUP(E:E,'Old Report'!E:J,6,FALSE)),"")</f>
        <v/>
      </c>
      <c r="L1241" t="str">
        <f>IFERROR(IF(VLOOKUP(E:E,'Old Report'!E:L,8,FALSE)="","",VLOOKUP(E:E,'Old Report'!E:L,8,FALSE)),"")</f>
        <v/>
      </c>
      <c r="M1241" s="5" t="str">
        <f t="shared" si="98"/>
        <v/>
      </c>
      <c r="N1241" s="5" t="str">
        <f t="shared" si="99"/>
        <v/>
      </c>
    </row>
    <row r="1242" spans="1:14" x14ac:dyDescent="0.25">
      <c r="A1242" s="5">
        <v>1241</v>
      </c>
      <c r="B1242" s="5">
        <f t="shared" si="96"/>
        <v>0</v>
      </c>
      <c r="C1242" s="5" t="str">
        <f t="shared" si="95"/>
        <v/>
      </c>
      <c r="D1242" s="5" t="str">
        <f>IFERROR(IF(F1242&lt;&gt;"",F1242,VLOOKUP(MAX(C$2:C1242),A$2:F1242,2,FALSE)),"")</f>
        <v/>
      </c>
      <c r="E1242" s="5" t="str">
        <f t="shared" si="97"/>
        <v/>
      </c>
      <c r="K1242" t="str">
        <f>IFERROR(IF(VLOOKUP(E:E,'Old Report'!E:J,6,FALSE)="","",VLOOKUP(E:E,'Old Report'!E:J,6,FALSE)),"")</f>
        <v/>
      </c>
      <c r="L1242" t="str">
        <f>IFERROR(IF(VLOOKUP(E:E,'Old Report'!E:L,8,FALSE)="","",VLOOKUP(E:E,'Old Report'!E:L,8,FALSE)),"")</f>
        <v/>
      </c>
      <c r="M1242" s="5" t="str">
        <f t="shared" si="98"/>
        <v/>
      </c>
      <c r="N1242" s="5" t="str">
        <f t="shared" si="99"/>
        <v/>
      </c>
    </row>
    <row r="1243" spans="1:14" x14ac:dyDescent="0.25">
      <c r="A1243" s="5">
        <v>1242</v>
      </c>
      <c r="B1243" s="5">
        <f t="shared" si="96"/>
        <v>0</v>
      </c>
      <c r="C1243" s="5" t="str">
        <f t="shared" si="95"/>
        <v/>
      </c>
      <c r="D1243" s="5" t="str">
        <f>IFERROR(IF(F1243&lt;&gt;"",F1243,VLOOKUP(MAX(C$2:C1243),A$2:F1243,2,FALSE)),"")</f>
        <v/>
      </c>
      <c r="E1243" s="5" t="str">
        <f t="shared" si="97"/>
        <v/>
      </c>
      <c r="K1243" t="str">
        <f>IFERROR(IF(VLOOKUP(E:E,'Old Report'!E:J,6,FALSE)="","",VLOOKUP(E:E,'Old Report'!E:J,6,FALSE)),"")</f>
        <v/>
      </c>
      <c r="L1243" t="str">
        <f>IFERROR(IF(VLOOKUP(E:E,'Old Report'!E:L,8,FALSE)="","",VLOOKUP(E:E,'Old Report'!E:L,8,FALSE)),"")</f>
        <v/>
      </c>
      <c r="M1243" s="5" t="str">
        <f t="shared" si="98"/>
        <v/>
      </c>
      <c r="N1243" s="5" t="str">
        <f t="shared" si="99"/>
        <v/>
      </c>
    </row>
    <row r="1244" spans="1:14" x14ac:dyDescent="0.25">
      <c r="A1244" s="5">
        <v>1243</v>
      </c>
      <c r="B1244" s="5">
        <f t="shared" si="96"/>
        <v>0</v>
      </c>
      <c r="C1244" s="5" t="str">
        <f t="shared" si="95"/>
        <v/>
      </c>
      <c r="D1244" s="5" t="str">
        <f>IFERROR(IF(F1244&lt;&gt;"",F1244,VLOOKUP(MAX(C$2:C1244),A$2:F1244,2,FALSE)),"")</f>
        <v/>
      </c>
      <c r="E1244" s="5" t="str">
        <f t="shared" si="97"/>
        <v/>
      </c>
      <c r="K1244" t="str">
        <f>IFERROR(IF(VLOOKUP(E:E,'Old Report'!E:J,6,FALSE)="","",VLOOKUP(E:E,'Old Report'!E:J,6,FALSE)),"")</f>
        <v/>
      </c>
      <c r="L1244" t="str">
        <f>IFERROR(IF(VLOOKUP(E:E,'Old Report'!E:L,8,FALSE)="","",VLOOKUP(E:E,'Old Report'!E:L,8,FALSE)),"")</f>
        <v/>
      </c>
      <c r="M1244" s="5" t="str">
        <f t="shared" si="98"/>
        <v/>
      </c>
      <c r="N1244" s="5" t="str">
        <f t="shared" si="99"/>
        <v/>
      </c>
    </row>
    <row r="1245" spans="1:14" x14ac:dyDescent="0.25">
      <c r="A1245" s="5">
        <v>1244</v>
      </c>
      <c r="B1245" s="5">
        <f t="shared" si="96"/>
        <v>0</v>
      </c>
      <c r="C1245" s="5" t="str">
        <f t="shared" si="95"/>
        <v/>
      </c>
      <c r="D1245" s="5" t="str">
        <f>IFERROR(IF(F1245&lt;&gt;"",F1245,VLOOKUP(MAX(C$2:C1245),A$2:F1245,2,FALSE)),"")</f>
        <v/>
      </c>
      <c r="E1245" s="5" t="str">
        <f t="shared" si="97"/>
        <v/>
      </c>
      <c r="K1245" t="str">
        <f>IFERROR(IF(VLOOKUP(E:E,'Old Report'!E:J,6,FALSE)="","",VLOOKUP(E:E,'Old Report'!E:J,6,FALSE)),"")</f>
        <v/>
      </c>
      <c r="L1245" t="str">
        <f>IFERROR(IF(VLOOKUP(E:E,'Old Report'!E:L,8,FALSE)="","",VLOOKUP(E:E,'Old Report'!E:L,8,FALSE)),"")</f>
        <v/>
      </c>
      <c r="M1245" s="5" t="str">
        <f t="shared" si="98"/>
        <v/>
      </c>
      <c r="N1245" s="5" t="str">
        <f t="shared" si="99"/>
        <v/>
      </c>
    </row>
    <row r="1246" spans="1:14" x14ac:dyDescent="0.25">
      <c r="A1246" s="5">
        <v>1245</v>
      </c>
      <c r="B1246" s="5">
        <f t="shared" si="96"/>
        <v>0</v>
      </c>
      <c r="C1246" s="5" t="str">
        <f t="shared" si="95"/>
        <v/>
      </c>
      <c r="D1246" s="5" t="str">
        <f>IFERROR(IF(F1246&lt;&gt;"",F1246,VLOOKUP(MAX(C$2:C1246),A$2:F1246,2,FALSE)),"")</f>
        <v/>
      </c>
      <c r="E1246" s="5" t="str">
        <f t="shared" si="97"/>
        <v/>
      </c>
      <c r="K1246" t="str">
        <f>IFERROR(IF(VLOOKUP(E:E,'Old Report'!E:J,6,FALSE)="","",VLOOKUP(E:E,'Old Report'!E:J,6,FALSE)),"")</f>
        <v/>
      </c>
      <c r="L1246" t="str">
        <f>IFERROR(IF(VLOOKUP(E:E,'Old Report'!E:L,8,FALSE)="","",VLOOKUP(E:E,'Old Report'!E:L,8,FALSE)),"")</f>
        <v/>
      </c>
      <c r="M1246" s="5" t="str">
        <f t="shared" si="98"/>
        <v/>
      </c>
      <c r="N1246" s="5" t="str">
        <f t="shared" si="99"/>
        <v/>
      </c>
    </row>
    <row r="1247" spans="1:14" x14ac:dyDescent="0.25">
      <c r="A1247" s="5">
        <v>1246</v>
      </c>
      <c r="B1247" s="5">
        <f t="shared" si="96"/>
        <v>0</v>
      </c>
      <c r="C1247" s="5" t="str">
        <f t="shared" si="95"/>
        <v/>
      </c>
      <c r="D1247" s="5" t="str">
        <f>IFERROR(IF(F1247&lt;&gt;"",F1247,VLOOKUP(MAX(C$2:C1247),A$2:F1247,2,FALSE)),"")</f>
        <v/>
      </c>
      <c r="E1247" s="5" t="str">
        <f t="shared" si="97"/>
        <v/>
      </c>
      <c r="K1247" t="str">
        <f>IFERROR(IF(VLOOKUP(E:E,'Old Report'!E:J,6,FALSE)="","",VLOOKUP(E:E,'Old Report'!E:J,6,FALSE)),"")</f>
        <v/>
      </c>
      <c r="L1247" t="str">
        <f>IFERROR(IF(VLOOKUP(E:E,'Old Report'!E:L,8,FALSE)="","",VLOOKUP(E:E,'Old Report'!E:L,8,FALSE)),"")</f>
        <v/>
      </c>
      <c r="M1247" s="5" t="str">
        <f t="shared" si="98"/>
        <v/>
      </c>
      <c r="N1247" s="5" t="str">
        <f t="shared" si="99"/>
        <v/>
      </c>
    </row>
    <row r="1248" spans="1:14" x14ac:dyDescent="0.25">
      <c r="A1248" s="5">
        <v>1247</v>
      </c>
      <c r="B1248" s="5">
        <f t="shared" si="96"/>
        <v>0</v>
      </c>
      <c r="C1248" s="5" t="str">
        <f t="shared" si="95"/>
        <v/>
      </c>
      <c r="D1248" s="5" t="str">
        <f>IFERROR(IF(F1248&lt;&gt;"",F1248,VLOOKUP(MAX(C$2:C1248),A$2:F1248,2,FALSE)),"")</f>
        <v/>
      </c>
      <c r="E1248" s="5" t="str">
        <f t="shared" si="97"/>
        <v/>
      </c>
      <c r="K1248" t="str">
        <f>IFERROR(IF(VLOOKUP(E:E,'Old Report'!E:J,6,FALSE)="","",VLOOKUP(E:E,'Old Report'!E:J,6,FALSE)),"")</f>
        <v/>
      </c>
      <c r="L1248" t="str">
        <f>IFERROR(IF(VLOOKUP(E:E,'Old Report'!E:L,8,FALSE)="","",VLOOKUP(E:E,'Old Report'!E:L,8,FALSE)),"")</f>
        <v/>
      </c>
      <c r="M1248" s="5" t="str">
        <f t="shared" si="98"/>
        <v/>
      </c>
      <c r="N1248" s="5" t="str">
        <f t="shared" si="99"/>
        <v/>
      </c>
    </row>
    <row r="1249" spans="1:14" x14ac:dyDescent="0.25">
      <c r="A1249" s="5">
        <v>1248</v>
      </c>
      <c r="B1249" s="5">
        <f t="shared" si="96"/>
        <v>0</v>
      </c>
      <c r="C1249" s="5" t="str">
        <f t="shared" si="95"/>
        <v/>
      </c>
      <c r="D1249" s="5" t="str">
        <f>IFERROR(IF(F1249&lt;&gt;"",F1249,VLOOKUP(MAX(C$2:C1249),A$2:F1249,2,FALSE)),"")</f>
        <v/>
      </c>
      <c r="E1249" s="5" t="str">
        <f t="shared" si="97"/>
        <v/>
      </c>
      <c r="K1249" t="str">
        <f>IFERROR(IF(VLOOKUP(E:E,'Old Report'!E:J,6,FALSE)="","",VLOOKUP(E:E,'Old Report'!E:J,6,FALSE)),"")</f>
        <v/>
      </c>
      <c r="L1249" t="str">
        <f>IFERROR(IF(VLOOKUP(E:E,'Old Report'!E:L,8,FALSE)="","",VLOOKUP(E:E,'Old Report'!E:L,8,FALSE)),"")</f>
        <v/>
      </c>
      <c r="M1249" s="5" t="str">
        <f t="shared" si="98"/>
        <v/>
      </c>
      <c r="N1249" s="5" t="str">
        <f t="shared" si="99"/>
        <v/>
      </c>
    </row>
    <row r="1250" spans="1:14" x14ac:dyDescent="0.25">
      <c r="A1250" s="5">
        <v>1249</v>
      </c>
      <c r="B1250" s="5">
        <f t="shared" si="96"/>
        <v>0</v>
      </c>
      <c r="C1250" s="5" t="str">
        <f t="shared" si="95"/>
        <v/>
      </c>
      <c r="D1250" s="5" t="str">
        <f>IFERROR(IF(F1250&lt;&gt;"",F1250,VLOOKUP(MAX(C$2:C1250),A$2:F1250,2,FALSE)),"")</f>
        <v/>
      </c>
      <c r="E1250" s="5" t="str">
        <f t="shared" si="97"/>
        <v/>
      </c>
      <c r="K1250" t="str">
        <f>IFERROR(IF(VLOOKUP(E:E,'Old Report'!E:J,6,FALSE)="","",VLOOKUP(E:E,'Old Report'!E:J,6,FALSE)),"")</f>
        <v/>
      </c>
      <c r="L1250" t="str">
        <f>IFERROR(IF(VLOOKUP(E:E,'Old Report'!E:L,8,FALSE)="","",VLOOKUP(E:E,'Old Report'!E:L,8,FALSE)),"")</f>
        <v/>
      </c>
      <c r="M1250" s="5" t="str">
        <f t="shared" si="98"/>
        <v/>
      </c>
      <c r="N1250" s="5" t="str">
        <f t="shared" si="99"/>
        <v/>
      </c>
    </row>
    <row r="1251" spans="1:14" x14ac:dyDescent="0.25">
      <c r="A1251" s="5">
        <v>1250</v>
      </c>
      <c r="B1251" s="5">
        <f t="shared" si="96"/>
        <v>0</v>
      </c>
      <c r="C1251" s="5" t="str">
        <f t="shared" si="95"/>
        <v/>
      </c>
      <c r="D1251" s="5" t="str">
        <f>IFERROR(IF(F1251&lt;&gt;"",F1251,VLOOKUP(MAX(C$2:C1251),A$2:F1251,2,FALSE)),"")</f>
        <v/>
      </c>
      <c r="E1251" s="5" t="str">
        <f t="shared" si="97"/>
        <v/>
      </c>
      <c r="K1251" t="str">
        <f>IFERROR(IF(VLOOKUP(E:E,'Old Report'!E:J,6,FALSE)="","",VLOOKUP(E:E,'Old Report'!E:J,6,FALSE)),"")</f>
        <v/>
      </c>
      <c r="L1251" t="str">
        <f>IFERROR(IF(VLOOKUP(E:E,'Old Report'!E:L,8,FALSE)="","",VLOOKUP(E:E,'Old Report'!E:L,8,FALSE)),"")</f>
        <v/>
      </c>
      <c r="M1251" s="5" t="str">
        <f t="shared" si="98"/>
        <v/>
      </c>
      <c r="N1251" s="5" t="str">
        <f t="shared" si="99"/>
        <v/>
      </c>
    </row>
    <row r="1252" spans="1:14" x14ac:dyDescent="0.25">
      <c r="A1252" s="5">
        <v>1251</v>
      </c>
      <c r="B1252" s="5">
        <f t="shared" si="96"/>
        <v>0</v>
      </c>
      <c r="C1252" s="5" t="str">
        <f t="shared" si="95"/>
        <v/>
      </c>
      <c r="D1252" s="5" t="str">
        <f>IFERROR(IF(F1252&lt;&gt;"",F1252,VLOOKUP(MAX(C$2:C1252),A$2:F1252,2,FALSE)),"")</f>
        <v/>
      </c>
      <c r="E1252" s="5" t="str">
        <f t="shared" si="97"/>
        <v/>
      </c>
      <c r="K1252" t="str">
        <f>IFERROR(IF(VLOOKUP(E:E,'Old Report'!E:J,6,FALSE)="","",VLOOKUP(E:E,'Old Report'!E:J,6,FALSE)),"")</f>
        <v/>
      </c>
      <c r="L1252" t="str">
        <f>IFERROR(IF(VLOOKUP(E:E,'Old Report'!E:L,8,FALSE)="","",VLOOKUP(E:E,'Old Report'!E:L,8,FALSE)),"")</f>
        <v/>
      </c>
      <c r="M1252" s="5" t="str">
        <f t="shared" si="98"/>
        <v/>
      </c>
      <c r="N1252" s="5" t="str">
        <f t="shared" si="99"/>
        <v/>
      </c>
    </row>
    <row r="1253" spans="1:14" x14ac:dyDescent="0.25">
      <c r="A1253" s="5">
        <v>1252</v>
      </c>
      <c r="B1253" s="5">
        <f t="shared" si="96"/>
        <v>0</v>
      </c>
      <c r="C1253" s="5" t="str">
        <f t="shared" si="95"/>
        <v/>
      </c>
      <c r="D1253" s="5" t="str">
        <f>IFERROR(IF(F1253&lt;&gt;"",F1253,VLOOKUP(MAX(C$2:C1253),A$2:F1253,2,FALSE)),"")</f>
        <v/>
      </c>
      <c r="E1253" s="5" t="str">
        <f t="shared" si="97"/>
        <v/>
      </c>
      <c r="K1253" t="str">
        <f>IFERROR(IF(VLOOKUP(E:E,'Old Report'!E:J,6,FALSE)="","",VLOOKUP(E:E,'Old Report'!E:J,6,FALSE)),"")</f>
        <v/>
      </c>
      <c r="L1253" t="str">
        <f>IFERROR(IF(VLOOKUP(E:E,'Old Report'!E:L,8,FALSE)="","",VLOOKUP(E:E,'Old Report'!E:L,8,FALSE)),"")</f>
        <v/>
      </c>
      <c r="M1253" s="5" t="str">
        <f t="shared" si="98"/>
        <v/>
      </c>
      <c r="N1253" s="5" t="str">
        <f t="shared" si="99"/>
        <v/>
      </c>
    </row>
    <row r="1254" spans="1:14" x14ac:dyDescent="0.25">
      <c r="A1254" s="5">
        <v>1253</v>
      </c>
      <c r="B1254" s="5">
        <f t="shared" si="96"/>
        <v>0</v>
      </c>
      <c r="C1254" s="5" t="str">
        <f t="shared" si="95"/>
        <v/>
      </c>
      <c r="D1254" s="5" t="str">
        <f>IFERROR(IF(F1254&lt;&gt;"",F1254,VLOOKUP(MAX(C$2:C1254),A$2:F1254,2,FALSE)),"")</f>
        <v/>
      </c>
      <c r="E1254" s="5" t="str">
        <f t="shared" si="97"/>
        <v/>
      </c>
      <c r="K1254" t="str">
        <f>IFERROR(IF(VLOOKUP(E:E,'Old Report'!E:J,6,FALSE)="","",VLOOKUP(E:E,'Old Report'!E:J,6,FALSE)),"")</f>
        <v/>
      </c>
      <c r="L1254" t="str">
        <f>IFERROR(IF(VLOOKUP(E:E,'Old Report'!E:L,8,FALSE)="","",VLOOKUP(E:E,'Old Report'!E:L,8,FALSE)),"")</f>
        <v/>
      </c>
      <c r="M1254" s="5" t="str">
        <f t="shared" si="98"/>
        <v/>
      </c>
      <c r="N1254" s="5" t="str">
        <f t="shared" si="99"/>
        <v/>
      </c>
    </row>
    <row r="1255" spans="1:14" x14ac:dyDescent="0.25">
      <c r="A1255" s="5">
        <v>1254</v>
      </c>
      <c r="B1255" s="5">
        <f t="shared" si="96"/>
        <v>0</v>
      </c>
      <c r="C1255" s="5" t="str">
        <f t="shared" si="95"/>
        <v/>
      </c>
      <c r="D1255" s="5" t="str">
        <f>IFERROR(IF(F1255&lt;&gt;"",F1255,VLOOKUP(MAX(C$2:C1255),A$2:F1255,2,FALSE)),"")</f>
        <v/>
      </c>
      <c r="E1255" s="5" t="str">
        <f t="shared" si="97"/>
        <v/>
      </c>
      <c r="K1255" t="str">
        <f>IFERROR(IF(VLOOKUP(E:E,'Old Report'!E:J,6,FALSE)="","",VLOOKUP(E:E,'Old Report'!E:J,6,FALSE)),"")</f>
        <v/>
      </c>
      <c r="L1255" t="str">
        <f>IFERROR(IF(VLOOKUP(E:E,'Old Report'!E:L,8,FALSE)="","",VLOOKUP(E:E,'Old Report'!E:L,8,FALSE)),"")</f>
        <v/>
      </c>
      <c r="M1255" s="5" t="str">
        <f t="shared" si="98"/>
        <v/>
      </c>
      <c r="N1255" s="5" t="str">
        <f t="shared" si="99"/>
        <v/>
      </c>
    </row>
    <row r="1256" spans="1:14" x14ac:dyDescent="0.25">
      <c r="A1256" s="5">
        <v>1255</v>
      </c>
      <c r="B1256" s="5">
        <f t="shared" si="96"/>
        <v>0</v>
      </c>
      <c r="C1256" s="5" t="str">
        <f t="shared" si="95"/>
        <v/>
      </c>
      <c r="D1256" s="5" t="str">
        <f>IFERROR(IF(F1256&lt;&gt;"",F1256,VLOOKUP(MAX(C$2:C1256),A$2:F1256,2,FALSE)),"")</f>
        <v/>
      </c>
      <c r="E1256" s="5" t="str">
        <f t="shared" si="97"/>
        <v/>
      </c>
      <c r="K1256" t="str">
        <f>IFERROR(IF(VLOOKUP(E:E,'Old Report'!E:J,6,FALSE)="","",VLOOKUP(E:E,'Old Report'!E:J,6,FALSE)),"")</f>
        <v/>
      </c>
      <c r="L1256" t="str">
        <f>IFERROR(IF(VLOOKUP(E:E,'Old Report'!E:L,8,FALSE)="","",VLOOKUP(E:E,'Old Report'!E:L,8,FALSE)),"")</f>
        <v/>
      </c>
      <c r="M1256" s="5" t="str">
        <f t="shared" si="98"/>
        <v/>
      </c>
      <c r="N1256" s="5" t="str">
        <f t="shared" si="99"/>
        <v/>
      </c>
    </row>
    <row r="1257" spans="1:14" x14ac:dyDescent="0.25">
      <c r="A1257" s="5">
        <v>1256</v>
      </c>
      <c r="B1257" s="5">
        <f t="shared" si="96"/>
        <v>0</v>
      </c>
      <c r="C1257" s="5" t="str">
        <f t="shared" si="95"/>
        <v/>
      </c>
      <c r="D1257" s="5" t="str">
        <f>IFERROR(IF(F1257&lt;&gt;"",F1257,VLOOKUP(MAX(C$2:C1257),A$2:F1257,2,FALSE)),"")</f>
        <v/>
      </c>
      <c r="E1257" s="5" t="str">
        <f t="shared" si="97"/>
        <v/>
      </c>
      <c r="K1257" t="str">
        <f>IFERROR(IF(VLOOKUP(E:E,'Old Report'!E:J,6,FALSE)="","",VLOOKUP(E:E,'Old Report'!E:J,6,FALSE)),"")</f>
        <v/>
      </c>
      <c r="L1257" t="str">
        <f>IFERROR(IF(VLOOKUP(E:E,'Old Report'!E:L,8,FALSE)="","",VLOOKUP(E:E,'Old Report'!E:L,8,FALSE)),"")</f>
        <v/>
      </c>
      <c r="M1257" s="5" t="str">
        <f t="shared" si="98"/>
        <v/>
      </c>
      <c r="N1257" s="5" t="str">
        <f t="shared" si="99"/>
        <v/>
      </c>
    </row>
    <row r="1258" spans="1:14" x14ac:dyDescent="0.25">
      <c r="A1258" s="5">
        <v>1257</v>
      </c>
      <c r="B1258" s="5">
        <f t="shared" si="96"/>
        <v>0</v>
      </c>
      <c r="C1258" s="5" t="str">
        <f t="shared" si="95"/>
        <v/>
      </c>
      <c r="D1258" s="5" t="str">
        <f>IFERROR(IF(F1258&lt;&gt;"",F1258,VLOOKUP(MAX(C$2:C1258),A$2:F1258,2,FALSE)),"")</f>
        <v/>
      </c>
      <c r="E1258" s="5" t="str">
        <f t="shared" si="97"/>
        <v/>
      </c>
      <c r="K1258" t="str">
        <f>IFERROR(IF(VLOOKUP(E:E,'Old Report'!E:J,6,FALSE)="","",VLOOKUP(E:E,'Old Report'!E:J,6,FALSE)),"")</f>
        <v/>
      </c>
      <c r="L1258" t="str">
        <f>IFERROR(IF(VLOOKUP(E:E,'Old Report'!E:L,8,FALSE)="","",VLOOKUP(E:E,'Old Report'!E:L,8,FALSE)),"")</f>
        <v/>
      </c>
      <c r="M1258" s="5" t="str">
        <f t="shared" si="98"/>
        <v/>
      </c>
      <c r="N1258" s="5" t="str">
        <f t="shared" si="99"/>
        <v/>
      </c>
    </row>
    <row r="1259" spans="1:14" x14ac:dyDescent="0.25">
      <c r="A1259" s="5">
        <v>1258</v>
      </c>
      <c r="B1259" s="5">
        <f t="shared" si="96"/>
        <v>0</v>
      </c>
      <c r="C1259" s="5" t="str">
        <f t="shared" si="95"/>
        <v/>
      </c>
      <c r="D1259" s="5" t="str">
        <f>IFERROR(IF(F1259&lt;&gt;"",F1259,VLOOKUP(MAX(C$2:C1259),A$2:F1259,2,FALSE)),"")</f>
        <v/>
      </c>
      <c r="E1259" s="5" t="str">
        <f t="shared" si="97"/>
        <v/>
      </c>
      <c r="K1259" t="str">
        <f>IFERROR(IF(VLOOKUP(E:E,'Old Report'!E:J,6,FALSE)="","",VLOOKUP(E:E,'Old Report'!E:J,6,FALSE)),"")</f>
        <v/>
      </c>
      <c r="L1259" t="str">
        <f>IFERROR(IF(VLOOKUP(E:E,'Old Report'!E:L,8,FALSE)="","",VLOOKUP(E:E,'Old Report'!E:L,8,FALSE)),"")</f>
        <v/>
      </c>
      <c r="M1259" s="5" t="str">
        <f t="shared" si="98"/>
        <v/>
      </c>
      <c r="N1259" s="5" t="str">
        <f t="shared" si="99"/>
        <v/>
      </c>
    </row>
    <row r="1260" spans="1:14" x14ac:dyDescent="0.25">
      <c r="A1260" s="5">
        <v>1259</v>
      </c>
      <c r="B1260" s="5">
        <f t="shared" si="96"/>
        <v>0</v>
      </c>
      <c r="C1260" s="5" t="str">
        <f t="shared" si="95"/>
        <v/>
      </c>
      <c r="D1260" s="5" t="str">
        <f>IFERROR(IF(F1260&lt;&gt;"",F1260,VLOOKUP(MAX(C$2:C1260),A$2:F1260,2,FALSE)),"")</f>
        <v/>
      </c>
      <c r="E1260" s="5" t="str">
        <f t="shared" si="97"/>
        <v/>
      </c>
      <c r="K1260" t="str">
        <f>IFERROR(IF(VLOOKUP(E:E,'Old Report'!E:J,6,FALSE)="","",VLOOKUP(E:E,'Old Report'!E:J,6,FALSE)),"")</f>
        <v/>
      </c>
      <c r="L1260" t="str">
        <f>IFERROR(IF(VLOOKUP(E:E,'Old Report'!E:L,8,FALSE)="","",VLOOKUP(E:E,'Old Report'!E:L,8,FALSE)),"")</f>
        <v/>
      </c>
      <c r="M1260" s="5" t="str">
        <f t="shared" si="98"/>
        <v/>
      </c>
      <c r="N1260" s="5" t="str">
        <f t="shared" si="99"/>
        <v/>
      </c>
    </row>
    <row r="1261" spans="1:14" x14ac:dyDescent="0.25">
      <c r="A1261" s="5">
        <v>1260</v>
      </c>
      <c r="B1261" s="5">
        <f t="shared" si="96"/>
        <v>0</v>
      </c>
      <c r="C1261" s="5" t="str">
        <f t="shared" si="95"/>
        <v/>
      </c>
      <c r="D1261" s="5" t="str">
        <f>IFERROR(IF(F1261&lt;&gt;"",F1261,VLOOKUP(MAX(C$2:C1261),A$2:F1261,2,FALSE)),"")</f>
        <v/>
      </c>
      <c r="E1261" s="5" t="str">
        <f t="shared" si="97"/>
        <v/>
      </c>
      <c r="K1261" t="str">
        <f>IFERROR(IF(VLOOKUP(E:E,'Old Report'!E:J,6,FALSE)="","",VLOOKUP(E:E,'Old Report'!E:J,6,FALSE)),"")</f>
        <v/>
      </c>
      <c r="L1261" t="str">
        <f>IFERROR(IF(VLOOKUP(E:E,'Old Report'!E:L,8,FALSE)="","",VLOOKUP(E:E,'Old Report'!E:L,8,FALSE)),"")</f>
        <v/>
      </c>
      <c r="M1261" s="5" t="str">
        <f t="shared" si="98"/>
        <v/>
      </c>
      <c r="N1261" s="5" t="str">
        <f t="shared" si="99"/>
        <v/>
      </c>
    </row>
    <row r="1262" spans="1:14" x14ac:dyDescent="0.25">
      <c r="A1262" s="5">
        <v>1261</v>
      </c>
      <c r="B1262" s="5">
        <f t="shared" si="96"/>
        <v>0</v>
      </c>
      <c r="C1262" s="5" t="str">
        <f t="shared" si="95"/>
        <v/>
      </c>
      <c r="D1262" s="5" t="str">
        <f>IFERROR(IF(F1262&lt;&gt;"",F1262,VLOOKUP(MAX(C$2:C1262),A$2:F1262,2,FALSE)),"")</f>
        <v/>
      </c>
      <c r="E1262" s="5" t="str">
        <f t="shared" si="97"/>
        <v/>
      </c>
      <c r="K1262" t="str">
        <f>IFERROR(IF(VLOOKUP(E:E,'Old Report'!E:J,6,FALSE)="","",VLOOKUP(E:E,'Old Report'!E:J,6,FALSE)),"")</f>
        <v/>
      </c>
      <c r="L1262" t="str">
        <f>IFERROR(IF(VLOOKUP(E:E,'Old Report'!E:L,8,FALSE)="","",VLOOKUP(E:E,'Old Report'!E:L,8,FALSE)),"")</f>
        <v/>
      </c>
      <c r="M1262" s="5" t="str">
        <f t="shared" si="98"/>
        <v/>
      </c>
      <c r="N1262" s="5" t="str">
        <f t="shared" si="99"/>
        <v/>
      </c>
    </row>
    <row r="1263" spans="1:14" x14ac:dyDescent="0.25">
      <c r="A1263" s="5">
        <v>1262</v>
      </c>
      <c r="B1263" s="5">
        <f t="shared" si="96"/>
        <v>0</v>
      </c>
      <c r="C1263" s="5" t="str">
        <f t="shared" si="95"/>
        <v/>
      </c>
      <c r="D1263" s="5" t="str">
        <f>IFERROR(IF(F1263&lt;&gt;"",F1263,VLOOKUP(MAX(C$2:C1263),A$2:F1263,2,FALSE)),"")</f>
        <v/>
      </c>
      <c r="E1263" s="5" t="str">
        <f t="shared" si="97"/>
        <v/>
      </c>
      <c r="K1263" t="str">
        <f>IFERROR(IF(VLOOKUP(E:E,'Old Report'!E:J,6,FALSE)="","",VLOOKUP(E:E,'Old Report'!E:J,6,FALSE)),"")</f>
        <v/>
      </c>
      <c r="L1263" t="str">
        <f>IFERROR(IF(VLOOKUP(E:E,'Old Report'!E:L,8,FALSE)="","",VLOOKUP(E:E,'Old Report'!E:L,8,FALSE)),"")</f>
        <v/>
      </c>
      <c r="M1263" s="5" t="str">
        <f t="shared" si="98"/>
        <v/>
      </c>
      <c r="N1263" s="5" t="str">
        <f t="shared" si="99"/>
        <v/>
      </c>
    </row>
    <row r="1264" spans="1:14" x14ac:dyDescent="0.25">
      <c r="A1264" s="5">
        <v>1263</v>
      </c>
      <c r="B1264" s="5">
        <f t="shared" si="96"/>
        <v>0</v>
      </c>
      <c r="C1264" s="5" t="str">
        <f t="shared" si="95"/>
        <v/>
      </c>
      <c r="D1264" s="5" t="str">
        <f>IFERROR(IF(F1264&lt;&gt;"",F1264,VLOOKUP(MAX(C$2:C1264),A$2:F1264,2,FALSE)),"")</f>
        <v/>
      </c>
      <c r="E1264" s="5" t="str">
        <f t="shared" si="97"/>
        <v/>
      </c>
      <c r="K1264" t="str">
        <f>IFERROR(IF(VLOOKUP(E:E,'Old Report'!E:J,6,FALSE)="","",VLOOKUP(E:E,'Old Report'!E:J,6,FALSE)),"")</f>
        <v/>
      </c>
      <c r="L1264" t="str">
        <f>IFERROR(IF(VLOOKUP(E:E,'Old Report'!E:L,8,FALSE)="","",VLOOKUP(E:E,'Old Report'!E:L,8,FALSE)),"")</f>
        <v/>
      </c>
      <c r="M1264" s="5" t="str">
        <f t="shared" si="98"/>
        <v/>
      </c>
      <c r="N1264" s="5" t="str">
        <f t="shared" si="99"/>
        <v/>
      </c>
    </row>
    <row r="1265" spans="1:14" x14ac:dyDescent="0.25">
      <c r="A1265" s="5">
        <v>1264</v>
      </c>
      <c r="B1265" s="5">
        <f t="shared" si="96"/>
        <v>0</v>
      </c>
      <c r="C1265" s="5" t="str">
        <f t="shared" si="95"/>
        <v/>
      </c>
      <c r="D1265" s="5" t="str">
        <f>IFERROR(IF(F1265&lt;&gt;"",F1265,VLOOKUP(MAX(C$2:C1265),A$2:F1265,2,FALSE)),"")</f>
        <v/>
      </c>
      <c r="E1265" s="5" t="str">
        <f t="shared" si="97"/>
        <v/>
      </c>
      <c r="K1265" t="str">
        <f>IFERROR(IF(VLOOKUP(E:E,'Old Report'!E:J,6,FALSE)="","",VLOOKUP(E:E,'Old Report'!E:J,6,FALSE)),"")</f>
        <v/>
      </c>
      <c r="L1265" t="str">
        <f>IFERROR(IF(VLOOKUP(E:E,'Old Report'!E:L,8,FALSE)="","",VLOOKUP(E:E,'Old Report'!E:L,8,FALSE)),"")</f>
        <v/>
      </c>
      <c r="M1265" s="5" t="str">
        <f t="shared" si="98"/>
        <v/>
      </c>
      <c r="N1265" s="5" t="str">
        <f t="shared" si="99"/>
        <v/>
      </c>
    </row>
    <row r="1266" spans="1:14" x14ac:dyDescent="0.25">
      <c r="A1266" s="5">
        <v>1265</v>
      </c>
      <c r="B1266" s="5">
        <f t="shared" si="96"/>
        <v>0</v>
      </c>
      <c r="C1266" s="5" t="str">
        <f t="shared" si="95"/>
        <v/>
      </c>
      <c r="D1266" s="5" t="str">
        <f>IFERROR(IF(F1266&lt;&gt;"",F1266,VLOOKUP(MAX(C$2:C1266),A$2:F1266,2,FALSE)),"")</f>
        <v/>
      </c>
      <c r="E1266" s="5" t="str">
        <f t="shared" si="97"/>
        <v/>
      </c>
      <c r="K1266" t="str">
        <f>IFERROR(IF(VLOOKUP(E:E,'Old Report'!E:J,6,FALSE)="","",VLOOKUP(E:E,'Old Report'!E:J,6,FALSE)),"")</f>
        <v/>
      </c>
      <c r="L1266" t="str">
        <f>IFERROR(IF(VLOOKUP(E:E,'Old Report'!E:L,8,FALSE)="","",VLOOKUP(E:E,'Old Report'!E:L,8,FALSE)),"")</f>
        <v/>
      </c>
      <c r="M1266" s="5" t="str">
        <f t="shared" si="98"/>
        <v/>
      </c>
      <c r="N1266" s="5" t="str">
        <f t="shared" si="99"/>
        <v/>
      </c>
    </row>
    <row r="1267" spans="1:14" x14ac:dyDescent="0.25">
      <c r="A1267" s="5">
        <v>1266</v>
      </c>
      <c r="B1267" s="5">
        <f t="shared" si="96"/>
        <v>0</v>
      </c>
      <c r="C1267" s="5" t="str">
        <f t="shared" si="95"/>
        <v/>
      </c>
      <c r="D1267" s="5" t="str">
        <f>IFERROR(IF(F1267&lt;&gt;"",F1267,VLOOKUP(MAX(C$2:C1267),A$2:F1267,2,FALSE)),"")</f>
        <v/>
      </c>
      <c r="E1267" s="5" t="str">
        <f t="shared" si="97"/>
        <v/>
      </c>
      <c r="K1267" t="str">
        <f>IFERROR(IF(VLOOKUP(E:E,'Old Report'!E:J,6,FALSE)="","",VLOOKUP(E:E,'Old Report'!E:J,6,FALSE)),"")</f>
        <v/>
      </c>
      <c r="L1267" t="str">
        <f>IFERROR(IF(VLOOKUP(E:E,'Old Report'!E:L,8,FALSE)="","",VLOOKUP(E:E,'Old Report'!E:L,8,FALSE)),"")</f>
        <v/>
      </c>
      <c r="M1267" s="5" t="str">
        <f t="shared" si="98"/>
        <v/>
      </c>
      <c r="N1267" s="5" t="str">
        <f t="shared" si="99"/>
        <v/>
      </c>
    </row>
    <row r="1268" spans="1:14" x14ac:dyDescent="0.25">
      <c r="A1268" s="5">
        <v>1267</v>
      </c>
      <c r="B1268" s="5">
        <f t="shared" si="96"/>
        <v>0</v>
      </c>
      <c r="C1268" s="5" t="str">
        <f t="shared" si="95"/>
        <v/>
      </c>
      <c r="D1268" s="5" t="str">
        <f>IFERROR(IF(F1268&lt;&gt;"",F1268,VLOOKUP(MAX(C$2:C1268),A$2:F1268,2,FALSE)),"")</f>
        <v/>
      </c>
      <c r="E1268" s="5" t="str">
        <f t="shared" si="97"/>
        <v/>
      </c>
      <c r="K1268" t="str">
        <f>IFERROR(IF(VLOOKUP(E:E,'Old Report'!E:J,6,FALSE)="","",VLOOKUP(E:E,'Old Report'!E:J,6,FALSE)),"")</f>
        <v/>
      </c>
      <c r="L1268" t="str">
        <f>IFERROR(IF(VLOOKUP(E:E,'Old Report'!E:L,8,FALSE)="","",VLOOKUP(E:E,'Old Report'!E:L,8,FALSE)),"")</f>
        <v/>
      </c>
      <c r="M1268" s="5" t="str">
        <f t="shared" si="98"/>
        <v/>
      </c>
      <c r="N1268" s="5" t="str">
        <f t="shared" si="99"/>
        <v/>
      </c>
    </row>
    <row r="1269" spans="1:14" x14ac:dyDescent="0.25">
      <c r="A1269" s="5">
        <v>1268</v>
      </c>
      <c r="B1269" s="5">
        <f t="shared" si="96"/>
        <v>0</v>
      </c>
      <c r="C1269" s="5" t="str">
        <f t="shared" si="95"/>
        <v/>
      </c>
      <c r="D1269" s="5" t="str">
        <f>IFERROR(IF(F1269&lt;&gt;"",F1269,VLOOKUP(MAX(C$2:C1269),A$2:F1269,2,FALSE)),"")</f>
        <v/>
      </c>
      <c r="E1269" s="5" t="str">
        <f t="shared" si="97"/>
        <v/>
      </c>
      <c r="K1269" t="str">
        <f>IFERROR(IF(VLOOKUP(E:E,'Old Report'!E:J,6,FALSE)="","",VLOOKUP(E:E,'Old Report'!E:J,6,FALSE)),"")</f>
        <v/>
      </c>
      <c r="L1269" t="str">
        <f>IFERROR(IF(VLOOKUP(E:E,'Old Report'!E:L,8,FALSE)="","",VLOOKUP(E:E,'Old Report'!E:L,8,FALSE)),"")</f>
        <v/>
      </c>
      <c r="M1269" s="5" t="str">
        <f t="shared" si="98"/>
        <v/>
      </c>
      <c r="N1269" s="5" t="str">
        <f t="shared" si="99"/>
        <v/>
      </c>
    </row>
    <row r="1270" spans="1:14" x14ac:dyDescent="0.25">
      <c r="A1270" s="5">
        <v>1269</v>
      </c>
      <c r="B1270" s="5">
        <f t="shared" si="96"/>
        <v>0</v>
      </c>
      <c r="C1270" s="5" t="str">
        <f t="shared" si="95"/>
        <v/>
      </c>
      <c r="D1270" s="5" t="str">
        <f>IFERROR(IF(F1270&lt;&gt;"",F1270,VLOOKUP(MAX(C$2:C1270),A$2:F1270,2,FALSE)),"")</f>
        <v/>
      </c>
      <c r="E1270" s="5" t="str">
        <f t="shared" si="97"/>
        <v/>
      </c>
      <c r="K1270" t="str">
        <f>IFERROR(IF(VLOOKUP(E:E,'Old Report'!E:J,6,FALSE)="","",VLOOKUP(E:E,'Old Report'!E:J,6,FALSE)),"")</f>
        <v/>
      </c>
      <c r="L1270" t="str">
        <f>IFERROR(IF(VLOOKUP(E:E,'Old Report'!E:L,8,FALSE)="","",VLOOKUP(E:E,'Old Report'!E:L,8,FALSE)),"")</f>
        <v/>
      </c>
      <c r="M1270" s="5" t="str">
        <f t="shared" si="98"/>
        <v/>
      </c>
      <c r="N1270" s="5" t="str">
        <f t="shared" si="99"/>
        <v/>
      </c>
    </row>
    <row r="1271" spans="1:14" x14ac:dyDescent="0.25">
      <c r="A1271" s="5">
        <v>1270</v>
      </c>
      <c r="B1271" s="5">
        <f t="shared" si="96"/>
        <v>0</v>
      </c>
      <c r="C1271" s="5" t="str">
        <f t="shared" si="95"/>
        <v/>
      </c>
      <c r="D1271" s="5" t="str">
        <f>IFERROR(IF(F1271&lt;&gt;"",F1271,VLOOKUP(MAX(C$2:C1271),A$2:F1271,2,FALSE)),"")</f>
        <v/>
      </c>
      <c r="E1271" s="5" t="str">
        <f t="shared" si="97"/>
        <v/>
      </c>
      <c r="K1271" t="str">
        <f>IFERROR(IF(VLOOKUP(E:E,'Old Report'!E:J,6,FALSE)="","",VLOOKUP(E:E,'Old Report'!E:J,6,FALSE)),"")</f>
        <v/>
      </c>
      <c r="L1271" t="str">
        <f>IFERROR(IF(VLOOKUP(E:E,'Old Report'!E:L,8,FALSE)="","",VLOOKUP(E:E,'Old Report'!E:L,8,FALSE)),"")</f>
        <v/>
      </c>
      <c r="M1271" s="5" t="str">
        <f t="shared" si="98"/>
        <v/>
      </c>
      <c r="N1271" s="5" t="str">
        <f t="shared" si="99"/>
        <v/>
      </c>
    </row>
    <row r="1272" spans="1:14" x14ac:dyDescent="0.25">
      <c r="A1272" s="5">
        <v>1271</v>
      </c>
      <c r="B1272" s="5">
        <f t="shared" si="96"/>
        <v>0</v>
      </c>
      <c r="C1272" s="5" t="str">
        <f t="shared" si="95"/>
        <v/>
      </c>
      <c r="D1272" s="5" t="str">
        <f>IFERROR(IF(F1272&lt;&gt;"",F1272,VLOOKUP(MAX(C$2:C1272),A$2:F1272,2,FALSE)),"")</f>
        <v/>
      </c>
      <c r="E1272" s="5" t="str">
        <f t="shared" si="97"/>
        <v/>
      </c>
      <c r="K1272" t="str">
        <f>IFERROR(IF(VLOOKUP(E:E,'Old Report'!E:J,6,FALSE)="","",VLOOKUP(E:E,'Old Report'!E:J,6,FALSE)),"")</f>
        <v/>
      </c>
      <c r="L1272" t="str">
        <f>IFERROR(IF(VLOOKUP(E:E,'Old Report'!E:L,8,FALSE)="","",VLOOKUP(E:E,'Old Report'!E:L,8,FALSE)),"")</f>
        <v/>
      </c>
      <c r="M1272" s="5" t="str">
        <f t="shared" si="98"/>
        <v/>
      </c>
      <c r="N1272" s="5" t="str">
        <f t="shared" si="99"/>
        <v/>
      </c>
    </row>
    <row r="1273" spans="1:14" x14ac:dyDescent="0.25">
      <c r="A1273" s="5">
        <v>1272</v>
      </c>
      <c r="B1273" s="5">
        <f t="shared" si="96"/>
        <v>0</v>
      </c>
      <c r="C1273" s="5" t="str">
        <f t="shared" si="95"/>
        <v/>
      </c>
      <c r="D1273" s="5" t="str">
        <f>IFERROR(IF(F1273&lt;&gt;"",F1273,VLOOKUP(MAX(C$2:C1273),A$2:F1273,2,FALSE)),"")</f>
        <v/>
      </c>
      <c r="E1273" s="5" t="str">
        <f t="shared" si="97"/>
        <v/>
      </c>
      <c r="K1273" t="str">
        <f>IFERROR(IF(VLOOKUP(E:E,'Old Report'!E:J,6,FALSE)="","",VLOOKUP(E:E,'Old Report'!E:J,6,FALSE)),"")</f>
        <v/>
      </c>
      <c r="L1273" t="str">
        <f>IFERROR(IF(VLOOKUP(E:E,'Old Report'!E:L,8,FALSE)="","",VLOOKUP(E:E,'Old Report'!E:L,8,FALSE)),"")</f>
        <v/>
      </c>
      <c r="M1273" s="5" t="str">
        <f t="shared" si="98"/>
        <v/>
      </c>
      <c r="N1273" s="5" t="str">
        <f t="shared" si="99"/>
        <v/>
      </c>
    </row>
    <row r="1274" spans="1:14" x14ac:dyDescent="0.25">
      <c r="A1274" s="5">
        <v>1273</v>
      </c>
      <c r="B1274" s="5">
        <f t="shared" si="96"/>
        <v>0</v>
      </c>
      <c r="C1274" s="5" t="str">
        <f t="shared" si="95"/>
        <v/>
      </c>
      <c r="D1274" s="5" t="str">
        <f>IFERROR(IF(F1274&lt;&gt;"",F1274,VLOOKUP(MAX(C$2:C1274),A$2:F1274,2,FALSE)),"")</f>
        <v/>
      </c>
      <c r="E1274" s="5" t="str">
        <f t="shared" si="97"/>
        <v/>
      </c>
      <c r="K1274" t="str">
        <f>IFERROR(IF(VLOOKUP(E:E,'Old Report'!E:J,6,FALSE)="","",VLOOKUP(E:E,'Old Report'!E:J,6,FALSE)),"")</f>
        <v/>
      </c>
      <c r="L1274" t="str">
        <f>IFERROR(IF(VLOOKUP(E:E,'Old Report'!E:L,8,FALSE)="","",VLOOKUP(E:E,'Old Report'!E:L,8,FALSE)),"")</f>
        <v/>
      </c>
      <c r="M1274" s="5" t="str">
        <f t="shared" si="98"/>
        <v/>
      </c>
      <c r="N1274" s="5" t="str">
        <f t="shared" si="99"/>
        <v/>
      </c>
    </row>
    <row r="1275" spans="1:14" x14ac:dyDescent="0.25">
      <c r="A1275" s="5">
        <v>1274</v>
      </c>
      <c r="B1275" s="5">
        <f t="shared" si="96"/>
        <v>0</v>
      </c>
      <c r="C1275" s="5" t="str">
        <f t="shared" si="95"/>
        <v/>
      </c>
      <c r="D1275" s="5" t="str">
        <f>IFERROR(IF(F1275&lt;&gt;"",F1275,VLOOKUP(MAX(C$2:C1275),A$2:F1275,2,FALSE)),"")</f>
        <v/>
      </c>
      <c r="E1275" s="5" t="str">
        <f t="shared" si="97"/>
        <v/>
      </c>
      <c r="K1275" t="str">
        <f>IFERROR(IF(VLOOKUP(E:E,'Old Report'!E:J,6,FALSE)="","",VLOOKUP(E:E,'Old Report'!E:J,6,FALSE)),"")</f>
        <v/>
      </c>
      <c r="L1275" t="str">
        <f>IFERROR(IF(VLOOKUP(E:E,'Old Report'!E:L,8,FALSE)="","",VLOOKUP(E:E,'Old Report'!E:L,8,FALSE)),"")</f>
        <v/>
      </c>
      <c r="M1275" s="5" t="str">
        <f t="shared" si="98"/>
        <v/>
      </c>
      <c r="N1275" s="5" t="str">
        <f t="shared" si="99"/>
        <v/>
      </c>
    </row>
    <row r="1276" spans="1:14" x14ac:dyDescent="0.25">
      <c r="A1276" s="5">
        <v>1275</v>
      </c>
      <c r="B1276" s="5">
        <f t="shared" si="96"/>
        <v>0</v>
      </c>
      <c r="C1276" s="5" t="str">
        <f t="shared" si="95"/>
        <v/>
      </c>
      <c r="D1276" s="5" t="str">
        <f>IFERROR(IF(F1276&lt;&gt;"",F1276,VLOOKUP(MAX(C$2:C1276),A$2:F1276,2,FALSE)),"")</f>
        <v/>
      </c>
      <c r="E1276" s="5" t="str">
        <f t="shared" si="97"/>
        <v/>
      </c>
      <c r="K1276" t="str">
        <f>IFERROR(IF(VLOOKUP(E:E,'Old Report'!E:J,6,FALSE)="","",VLOOKUP(E:E,'Old Report'!E:J,6,FALSE)),"")</f>
        <v/>
      </c>
      <c r="L1276" t="str">
        <f>IFERROR(IF(VLOOKUP(E:E,'Old Report'!E:L,8,FALSE)="","",VLOOKUP(E:E,'Old Report'!E:L,8,FALSE)),"")</f>
        <v/>
      </c>
      <c r="M1276" s="5" t="str">
        <f t="shared" si="98"/>
        <v/>
      </c>
      <c r="N1276" s="5" t="str">
        <f t="shared" si="99"/>
        <v/>
      </c>
    </row>
    <row r="1277" spans="1:14" x14ac:dyDescent="0.25">
      <c r="A1277" s="5">
        <v>1276</v>
      </c>
      <c r="B1277" s="5">
        <f t="shared" si="96"/>
        <v>0</v>
      </c>
      <c r="C1277" s="5" t="str">
        <f t="shared" si="95"/>
        <v/>
      </c>
      <c r="D1277" s="5" t="str">
        <f>IFERROR(IF(F1277&lt;&gt;"",F1277,VLOOKUP(MAX(C$2:C1277),A$2:F1277,2,FALSE)),"")</f>
        <v/>
      </c>
      <c r="E1277" s="5" t="str">
        <f t="shared" si="97"/>
        <v/>
      </c>
      <c r="K1277" t="str">
        <f>IFERROR(IF(VLOOKUP(E:E,'Old Report'!E:J,6,FALSE)="","",VLOOKUP(E:E,'Old Report'!E:J,6,FALSE)),"")</f>
        <v/>
      </c>
      <c r="L1277" t="str">
        <f>IFERROR(IF(VLOOKUP(E:E,'Old Report'!E:L,8,FALSE)="","",VLOOKUP(E:E,'Old Report'!E:L,8,FALSE)),"")</f>
        <v/>
      </c>
      <c r="M1277" s="5" t="str">
        <f t="shared" si="98"/>
        <v/>
      </c>
      <c r="N1277" s="5" t="str">
        <f t="shared" si="99"/>
        <v/>
      </c>
    </row>
    <row r="1278" spans="1:14" x14ac:dyDescent="0.25">
      <c r="A1278" s="5">
        <v>1277</v>
      </c>
      <c r="B1278" s="5">
        <f t="shared" si="96"/>
        <v>0</v>
      </c>
      <c r="C1278" s="5" t="str">
        <f t="shared" si="95"/>
        <v/>
      </c>
      <c r="D1278" s="5" t="str">
        <f>IFERROR(IF(F1278&lt;&gt;"",F1278,VLOOKUP(MAX(C$2:C1278),A$2:F1278,2,FALSE)),"")</f>
        <v/>
      </c>
      <c r="E1278" s="5" t="str">
        <f t="shared" si="97"/>
        <v/>
      </c>
      <c r="K1278" t="str">
        <f>IFERROR(IF(VLOOKUP(E:E,'Old Report'!E:J,6,FALSE)="","",VLOOKUP(E:E,'Old Report'!E:J,6,FALSE)),"")</f>
        <v/>
      </c>
      <c r="L1278" t="str">
        <f>IFERROR(IF(VLOOKUP(E:E,'Old Report'!E:L,8,FALSE)="","",VLOOKUP(E:E,'Old Report'!E:L,8,FALSE)),"")</f>
        <v/>
      </c>
      <c r="M1278" s="5" t="str">
        <f t="shared" si="98"/>
        <v/>
      </c>
      <c r="N1278" s="5" t="str">
        <f t="shared" si="99"/>
        <v/>
      </c>
    </row>
    <row r="1279" spans="1:14" x14ac:dyDescent="0.25">
      <c r="A1279" s="5">
        <v>1278</v>
      </c>
      <c r="B1279" s="5">
        <f t="shared" si="96"/>
        <v>0</v>
      </c>
      <c r="C1279" s="5" t="str">
        <f t="shared" si="95"/>
        <v/>
      </c>
      <c r="D1279" s="5" t="str">
        <f>IFERROR(IF(F1279&lt;&gt;"",F1279,VLOOKUP(MAX(C$2:C1279),A$2:F1279,2,FALSE)),"")</f>
        <v/>
      </c>
      <c r="E1279" s="5" t="str">
        <f t="shared" si="97"/>
        <v/>
      </c>
      <c r="K1279" t="str">
        <f>IFERROR(IF(VLOOKUP(E:E,'Old Report'!E:J,6,FALSE)="","",VLOOKUP(E:E,'Old Report'!E:J,6,FALSE)),"")</f>
        <v/>
      </c>
      <c r="L1279" t="str">
        <f>IFERROR(IF(VLOOKUP(E:E,'Old Report'!E:L,8,FALSE)="","",VLOOKUP(E:E,'Old Report'!E:L,8,FALSE)),"")</f>
        <v/>
      </c>
      <c r="M1279" s="5" t="str">
        <f t="shared" si="98"/>
        <v/>
      </c>
      <c r="N1279" s="5" t="str">
        <f t="shared" si="99"/>
        <v/>
      </c>
    </row>
    <row r="1280" spans="1:14" x14ac:dyDescent="0.25">
      <c r="A1280" s="5">
        <v>1279</v>
      </c>
      <c r="B1280" s="5">
        <f t="shared" si="96"/>
        <v>0</v>
      </c>
      <c r="C1280" s="5" t="str">
        <f t="shared" si="95"/>
        <v/>
      </c>
      <c r="D1280" s="5" t="str">
        <f>IFERROR(IF(F1280&lt;&gt;"",F1280,VLOOKUP(MAX(C$2:C1280),A$2:F1280,2,FALSE)),"")</f>
        <v/>
      </c>
      <c r="E1280" s="5" t="str">
        <f t="shared" si="97"/>
        <v/>
      </c>
      <c r="K1280" t="str">
        <f>IFERROR(IF(VLOOKUP(E:E,'Old Report'!E:J,6,FALSE)="","",VLOOKUP(E:E,'Old Report'!E:J,6,FALSE)),"")</f>
        <v/>
      </c>
      <c r="L1280" t="str">
        <f>IFERROR(IF(VLOOKUP(E:E,'Old Report'!E:L,8,FALSE)="","",VLOOKUP(E:E,'Old Report'!E:L,8,FALSE)),"")</f>
        <v/>
      </c>
      <c r="M1280" s="5" t="str">
        <f t="shared" si="98"/>
        <v/>
      </c>
      <c r="N1280" s="5" t="str">
        <f t="shared" si="99"/>
        <v/>
      </c>
    </row>
    <row r="1281" spans="1:14" x14ac:dyDescent="0.25">
      <c r="A1281" s="5">
        <v>1280</v>
      </c>
      <c r="B1281" s="5">
        <f t="shared" si="96"/>
        <v>0</v>
      </c>
      <c r="C1281" s="5" t="str">
        <f t="shared" si="95"/>
        <v/>
      </c>
      <c r="D1281" s="5" t="str">
        <f>IFERROR(IF(F1281&lt;&gt;"",F1281,VLOOKUP(MAX(C$2:C1281),A$2:F1281,2,FALSE)),"")</f>
        <v/>
      </c>
      <c r="E1281" s="5" t="str">
        <f t="shared" si="97"/>
        <v/>
      </c>
      <c r="K1281" t="str">
        <f>IFERROR(IF(VLOOKUP(E:E,'Old Report'!E:J,6,FALSE)="","",VLOOKUP(E:E,'Old Report'!E:J,6,FALSE)),"")</f>
        <v/>
      </c>
      <c r="L1281" t="str">
        <f>IFERROR(IF(VLOOKUP(E:E,'Old Report'!E:L,8,FALSE)="","",VLOOKUP(E:E,'Old Report'!E:L,8,FALSE)),"")</f>
        <v/>
      </c>
      <c r="M1281" s="5" t="str">
        <f t="shared" si="98"/>
        <v/>
      </c>
      <c r="N1281" s="5" t="str">
        <f t="shared" si="99"/>
        <v/>
      </c>
    </row>
    <row r="1282" spans="1:14" x14ac:dyDescent="0.25">
      <c r="A1282" s="5">
        <v>1281</v>
      </c>
      <c r="B1282" s="5">
        <f t="shared" si="96"/>
        <v>0</v>
      </c>
      <c r="C1282" s="5" t="str">
        <f t="shared" ref="C1282:C1345" si="100">IF(F1282&lt;&gt;"",A1282,"")</f>
        <v/>
      </c>
      <c r="D1282" s="5" t="str">
        <f>IFERROR(IF(F1282&lt;&gt;"",F1282,VLOOKUP(MAX(C$2:C1282),A$2:F1282,2,FALSE)),"")</f>
        <v/>
      </c>
      <c r="E1282" s="5" t="str">
        <f t="shared" si="97"/>
        <v/>
      </c>
      <c r="K1282" t="str">
        <f>IFERROR(IF(VLOOKUP(E:E,'Old Report'!E:J,6,FALSE)="","",VLOOKUP(E:E,'Old Report'!E:J,6,FALSE)),"")</f>
        <v/>
      </c>
      <c r="L1282" t="str">
        <f>IFERROR(IF(VLOOKUP(E:E,'Old Report'!E:L,8,FALSE)="","",VLOOKUP(E:E,'Old Report'!E:L,8,FALSE)),"")</f>
        <v/>
      </c>
      <c r="M1282" s="5" t="str">
        <f t="shared" si="98"/>
        <v/>
      </c>
      <c r="N1282" s="5" t="str">
        <f t="shared" si="99"/>
        <v/>
      </c>
    </row>
    <row r="1283" spans="1:14" x14ac:dyDescent="0.25">
      <c r="A1283" s="5">
        <v>1282</v>
      </c>
      <c r="B1283" s="5">
        <f t="shared" ref="B1283:B1346" si="101">IF(F1284&lt;&gt;"",F1284,F1283)</f>
        <v>0</v>
      </c>
      <c r="C1283" s="5" t="str">
        <f t="shared" si="100"/>
        <v/>
      </c>
      <c r="D1283" s="5" t="str">
        <f>IFERROR(IF(F1283&lt;&gt;"",F1283,VLOOKUP(MAX(C$2:C1283),A$2:F1283,2,FALSE)),"")</f>
        <v/>
      </c>
      <c r="E1283" s="5" t="str">
        <f t="shared" ref="E1283:E1346" si="102">IF(H1283&lt;&gt;"",CONCATENATE(D1283,".",H1283),"")</f>
        <v/>
      </c>
      <c r="K1283" t="str">
        <f>IFERROR(IF(VLOOKUP(E:E,'Old Report'!E:J,6,FALSE)="","",VLOOKUP(E:E,'Old Report'!E:J,6,FALSE)),"")</f>
        <v/>
      </c>
      <c r="L1283" t="str">
        <f>IFERROR(IF(VLOOKUP(E:E,'Old Report'!E:L,8,FALSE)="","",VLOOKUP(E:E,'Old Report'!E:L,8,FALSE)),"")</f>
        <v/>
      </c>
      <c r="M1283" s="5" t="str">
        <f t="shared" si="98"/>
        <v/>
      </c>
      <c r="N1283" s="5" t="str">
        <f t="shared" si="99"/>
        <v/>
      </c>
    </row>
    <row r="1284" spans="1:14" x14ac:dyDescent="0.25">
      <c r="A1284" s="5">
        <v>1283</v>
      </c>
      <c r="B1284" s="5">
        <f t="shared" si="101"/>
        <v>0</v>
      </c>
      <c r="C1284" s="5" t="str">
        <f t="shared" si="100"/>
        <v/>
      </c>
      <c r="D1284" s="5" t="str">
        <f>IFERROR(IF(F1284&lt;&gt;"",F1284,VLOOKUP(MAX(C$2:C1284),A$2:F1284,2,FALSE)),"")</f>
        <v/>
      </c>
      <c r="E1284" s="5" t="str">
        <f t="shared" si="102"/>
        <v/>
      </c>
      <c r="K1284" t="str">
        <f>IFERROR(IF(VLOOKUP(E:E,'Old Report'!E:J,6,FALSE)="","",VLOOKUP(E:E,'Old Report'!E:J,6,FALSE)),"")</f>
        <v/>
      </c>
      <c r="L1284" t="str">
        <f>IFERROR(IF(VLOOKUP(E:E,'Old Report'!E:L,8,FALSE)="","",VLOOKUP(E:E,'Old Report'!E:L,8,FALSE)),"")</f>
        <v/>
      </c>
      <c r="M1284" s="5" t="str">
        <f t="shared" ref="M1284:M1347" si="103">IFERROR(L1284,"")</f>
        <v/>
      </c>
      <c r="N1284" s="5" t="str">
        <f t="shared" ref="N1284:N1347" si="104">IFERROR( IF(J1284&lt;&gt;"",IF(K1284 &lt;&gt; "",IF(J1284 = K1284,"No Change",IF(J1284 &lt; K1284,CONCATENATE("Issues reduced from ",K1284," to ",J1284),IF(J1284&gt;K1284,CONCATENATE("Issues increased from ",K1284," to ",J1284),""))),"New issue - needs to be checked"),""),"")</f>
        <v/>
      </c>
    </row>
    <row r="1285" spans="1:14" x14ac:dyDescent="0.25">
      <c r="A1285" s="5">
        <v>1284</v>
      </c>
      <c r="B1285" s="5">
        <f t="shared" si="101"/>
        <v>0</v>
      </c>
      <c r="C1285" s="5" t="str">
        <f t="shared" si="100"/>
        <v/>
      </c>
      <c r="D1285" s="5" t="str">
        <f>IFERROR(IF(F1285&lt;&gt;"",F1285,VLOOKUP(MAX(C$2:C1285),A$2:F1285,2,FALSE)),"")</f>
        <v/>
      </c>
      <c r="E1285" s="5" t="str">
        <f t="shared" si="102"/>
        <v/>
      </c>
      <c r="K1285" t="str">
        <f>IFERROR(IF(VLOOKUP(E:E,'Old Report'!E:J,6,FALSE)="","",VLOOKUP(E:E,'Old Report'!E:J,6,FALSE)),"")</f>
        <v/>
      </c>
      <c r="L1285" t="str">
        <f>IFERROR(IF(VLOOKUP(E:E,'Old Report'!E:L,8,FALSE)="","",VLOOKUP(E:E,'Old Report'!E:L,8,FALSE)),"")</f>
        <v/>
      </c>
      <c r="M1285" s="5" t="str">
        <f t="shared" si="103"/>
        <v/>
      </c>
      <c r="N1285" s="5" t="str">
        <f t="shared" si="104"/>
        <v/>
      </c>
    </row>
    <row r="1286" spans="1:14" x14ac:dyDescent="0.25">
      <c r="A1286" s="5">
        <v>1285</v>
      </c>
      <c r="B1286" s="5">
        <f t="shared" si="101"/>
        <v>0</v>
      </c>
      <c r="C1286" s="5" t="str">
        <f t="shared" si="100"/>
        <v/>
      </c>
      <c r="D1286" s="5" t="str">
        <f>IFERROR(IF(F1286&lt;&gt;"",F1286,VLOOKUP(MAX(C$2:C1286),A$2:F1286,2,FALSE)),"")</f>
        <v/>
      </c>
      <c r="E1286" s="5" t="str">
        <f t="shared" si="102"/>
        <v/>
      </c>
      <c r="K1286" t="str">
        <f>IFERROR(IF(VLOOKUP(E:E,'Old Report'!E:J,6,FALSE)="","",VLOOKUP(E:E,'Old Report'!E:J,6,FALSE)),"")</f>
        <v/>
      </c>
      <c r="L1286" t="str">
        <f>IFERROR(IF(VLOOKUP(E:E,'Old Report'!E:L,8,FALSE)="","",VLOOKUP(E:E,'Old Report'!E:L,8,FALSE)),"")</f>
        <v/>
      </c>
      <c r="M1286" s="5" t="str">
        <f t="shared" si="103"/>
        <v/>
      </c>
      <c r="N1286" s="5" t="str">
        <f t="shared" si="104"/>
        <v/>
      </c>
    </row>
    <row r="1287" spans="1:14" x14ac:dyDescent="0.25">
      <c r="A1287" s="5">
        <v>1286</v>
      </c>
      <c r="B1287" s="5">
        <f t="shared" si="101"/>
        <v>0</v>
      </c>
      <c r="C1287" s="5" t="str">
        <f t="shared" si="100"/>
        <v/>
      </c>
      <c r="D1287" s="5" t="str">
        <f>IFERROR(IF(F1287&lt;&gt;"",F1287,VLOOKUP(MAX(C$2:C1287),A$2:F1287,2,FALSE)),"")</f>
        <v/>
      </c>
      <c r="E1287" s="5" t="str">
        <f t="shared" si="102"/>
        <v/>
      </c>
      <c r="K1287" t="str">
        <f>IFERROR(IF(VLOOKUP(E:E,'Old Report'!E:J,6,FALSE)="","",VLOOKUP(E:E,'Old Report'!E:J,6,FALSE)),"")</f>
        <v/>
      </c>
      <c r="L1287" t="str">
        <f>IFERROR(IF(VLOOKUP(E:E,'Old Report'!E:L,8,FALSE)="","",VLOOKUP(E:E,'Old Report'!E:L,8,FALSE)),"")</f>
        <v/>
      </c>
      <c r="M1287" s="5" t="str">
        <f t="shared" si="103"/>
        <v/>
      </c>
      <c r="N1287" s="5" t="str">
        <f t="shared" si="104"/>
        <v/>
      </c>
    </row>
    <row r="1288" spans="1:14" x14ac:dyDescent="0.25">
      <c r="A1288" s="5">
        <v>1287</v>
      </c>
      <c r="B1288" s="5">
        <f t="shared" si="101"/>
        <v>0</v>
      </c>
      <c r="C1288" s="5" t="str">
        <f t="shared" si="100"/>
        <v/>
      </c>
      <c r="D1288" s="5" t="str">
        <f>IFERROR(IF(F1288&lt;&gt;"",F1288,VLOOKUP(MAX(C$2:C1288),A$2:F1288,2,FALSE)),"")</f>
        <v/>
      </c>
      <c r="E1288" s="5" t="str">
        <f t="shared" si="102"/>
        <v/>
      </c>
      <c r="K1288" t="str">
        <f>IFERROR(IF(VLOOKUP(E:E,'Old Report'!E:J,6,FALSE)="","",VLOOKUP(E:E,'Old Report'!E:J,6,FALSE)),"")</f>
        <v/>
      </c>
      <c r="L1288" t="str">
        <f>IFERROR(IF(VLOOKUP(E:E,'Old Report'!E:L,8,FALSE)="","",VLOOKUP(E:E,'Old Report'!E:L,8,FALSE)),"")</f>
        <v/>
      </c>
      <c r="M1288" s="5" t="str">
        <f t="shared" si="103"/>
        <v/>
      </c>
      <c r="N1288" s="5" t="str">
        <f t="shared" si="104"/>
        <v/>
      </c>
    </row>
    <row r="1289" spans="1:14" x14ac:dyDescent="0.25">
      <c r="A1289" s="5">
        <v>1288</v>
      </c>
      <c r="B1289" s="5">
        <f t="shared" si="101"/>
        <v>0</v>
      </c>
      <c r="C1289" s="5" t="str">
        <f t="shared" si="100"/>
        <v/>
      </c>
      <c r="D1289" s="5" t="str">
        <f>IFERROR(IF(F1289&lt;&gt;"",F1289,VLOOKUP(MAX(C$2:C1289),A$2:F1289,2,FALSE)),"")</f>
        <v/>
      </c>
      <c r="E1289" s="5" t="str">
        <f t="shared" si="102"/>
        <v/>
      </c>
      <c r="K1289" t="str">
        <f>IFERROR(IF(VLOOKUP(E:E,'Old Report'!E:J,6,FALSE)="","",VLOOKUP(E:E,'Old Report'!E:J,6,FALSE)),"")</f>
        <v/>
      </c>
      <c r="L1289" t="str">
        <f>IFERROR(IF(VLOOKUP(E:E,'Old Report'!E:L,8,FALSE)="","",VLOOKUP(E:E,'Old Report'!E:L,8,FALSE)),"")</f>
        <v/>
      </c>
      <c r="M1289" s="5" t="str">
        <f t="shared" si="103"/>
        <v/>
      </c>
      <c r="N1289" s="5" t="str">
        <f t="shared" si="104"/>
        <v/>
      </c>
    </row>
    <row r="1290" spans="1:14" x14ac:dyDescent="0.25">
      <c r="A1290" s="5">
        <v>1289</v>
      </c>
      <c r="B1290" s="5">
        <f t="shared" si="101"/>
        <v>0</v>
      </c>
      <c r="C1290" s="5" t="str">
        <f t="shared" si="100"/>
        <v/>
      </c>
      <c r="D1290" s="5" t="str">
        <f>IFERROR(IF(F1290&lt;&gt;"",F1290,VLOOKUP(MAX(C$2:C1290),A$2:F1290,2,FALSE)),"")</f>
        <v/>
      </c>
      <c r="E1290" s="5" t="str">
        <f t="shared" si="102"/>
        <v/>
      </c>
      <c r="K1290" t="str">
        <f>IFERROR(IF(VLOOKUP(E:E,'Old Report'!E:J,6,FALSE)="","",VLOOKUP(E:E,'Old Report'!E:J,6,FALSE)),"")</f>
        <v/>
      </c>
      <c r="L1290" t="str">
        <f>IFERROR(IF(VLOOKUP(E:E,'Old Report'!E:L,8,FALSE)="","",VLOOKUP(E:E,'Old Report'!E:L,8,FALSE)),"")</f>
        <v/>
      </c>
      <c r="M1290" s="5" t="str">
        <f t="shared" si="103"/>
        <v/>
      </c>
      <c r="N1290" s="5" t="str">
        <f t="shared" si="104"/>
        <v/>
      </c>
    </row>
    <row r="1291" spans="1:14" x14ac:dyDescent="0.25">
      <c r="A1291" s="5">
        <v>1290</v>
      </c>
      <c r="B1291" s="5">
        <f t="shared" si="101"/>
        <v>0</v>
      </c>
      <c r="C1291" s="5" t="str">
        <f t="shared" si="100"/>
        <v/>
      </c>
      <c r="D1291" s="5" t="str">
        <f>IFERROR(IF(F1291&lt;&gt;"",F1291,VLOOKUP(MAX(C$2:C1291),A$2:F1291,2,FALSE)),"")</f>
        <v/>
      </c>
      <c r="E1291" s="5" t="str">
        <f t="shared" si="102"/>
        <v/>
      </c>
      <c r="K1291" t="str">
        <f>IFERROR(IF(VLOOKUP(E:E,'Old Report'!E:J,6,FALSE)="","",VLOOKUP(E:E,'Old Report'!E:J,6,FALSE)),"")</f>
        <v/>
      </c>
      <c r="L1291" t="str">
        <f>IFERROR(IF(VLOOKUP(E:E,'Old Report'!E:L,8,FALSE)="","",VLOOKUP(E:E,'Old Report'!E:L,8,FALSE)),"")</f>
        <v/>
      </c>
      <c r="M1291" s="5" t="str">
        <f t="shared" si="103"/>
        <v/>
      </c>
      <c r="N1291" s="5" t="str">
        <f t="shared" si="104"/>
        <v/>
      </c>
    </row>
    <row r="1292" spans="1:14" x14ac:dyDescent="0.25">
      <c r="A1292" s="5">
        <v>1291</v>
      </c>
      <c r="B1292" s="5">
        <f t="shared" si="101"/>
        <v>0</v>
      </c>
      <c r="C1292" s="5" t="str">
        <f t="shared" si="100"/>
        <v/>
      </c>
      <c r="D1292" s="5" t="str">
        <f>IFERROR(IF(F1292&lt;&gt;"",F1292,VLOOKUP(MAX(C$2:C1292),A$2:F1292,2,FALSE)),"")</f>
        <v/>
      </c>
      <c r="E1292" s="5" t="str">
        <f t="shared" si="102"/>
        <v/>
      </c>
      <c r="K1292" t="str">
        <f>IFERROR(IF(VLOOKUP(E:E,'Old Report'!E:J,6,FALSE)="","",VLOOKUP(E:E,'Old Report'!E:J,6,FALSE)),"")</f>
        <v/>
      </c>
      <c r="L1292" t="str">
        <f>IFERROR(IF(VLOOKUP(E:E,'Old Report'!E:L,8,FALSE)="","",VLOOKUP(E:E,'Old Report'!E:L,8,FALSE)),"")</f>
        <v/>
      </c>
      <c r="M1292" s="5" t="str">
        <f t="shared" si="103"/>
        <v/>
      </c>
      <c r="N1292" s="5" t="str">
        <f t="shared" si="104"/>
        <v/>
      </c>
    </row>
    <row r="1293" spans="1:14" x14ac:dyDescent="0.25">
      <c r="A1293" s="5">
        <v>1292</v>
      </c>
      <c r="B1293" s="5">
        <f t="shared" si="101"/>
        <v>0</v>
      </c>
      <c r="C1293" s="5" t="str">
        <f t="shared" si="100"/>
        <v/>
      </c>
      <c r="D1293" s="5" t="str">
        <f>IFERROR(IF(F1293&lt;&gt;"",F1293,VLOOKUP(MAX(C$2:C1293),A$2:F1293,2,FALSE)),"")</f>
        <v/>
      </c>
      <c r="E1293" s="5" t="str">
        <f t="shared" si="102"/>
        <v/>
      </c>
      <c r="K1293" t="str">
        <f>IFERROR(IF(VLOOKUP(E:E,'Old Report'!E:J,6,FALSE)="","",VLOOKUP(E:E,'Old Report'!E:J,6,FALSE)),"")</f>
        <v/>
      </c>
      <c r="L1293" t="str">
        <f>IFERROR(IF(VLOOKUP(E:E,'Old Report'!E:L,8,FALSE)="","",VLOOKUP(E:E,'Old Report'!E:L,8,FALSE)),"")</f>
        <v/>
      </c>
      <c r="M1293" s="5" t="str">
        <f t="shared" si="103"/>
        <v/>
      </c>
      <c r="N1293" s="5" t="str">
        <f t="shared" si="104"/>
        <v/>
      </c>
    </row>
    <row r="1294" spans="1:14" x14ac:dyDescent="0.25">
      <c r="A1294" s="5">
        <v>1293</v>
      </c>
      <c r="B1294" s="5">
        <f t="shared" si="101"/>
        <v>0</v>
      </c>
      <c r="C1294" s="5" t="str">
        <f t="shared" si="100"/>
        <v/>
      </c>
      <c r="D1294" s="5" t="str">
        <f>IFERROR(IF(F1294&lt;&gt;"",F1294,VLOOKUP(MAX(C$2:C1294),A$2:F1294,2,FALSE)),"")</f>
        <v/>
      </c>
      <c r="E1294" s="5" t="str">
        <f t="shared" si="102"/>
        <v/>
      </c>
      <c r="K1294" t="str">
        <f>IFERROR(IF(VLOOKUP(E:E,'Old Report'!E:J,6,FALSE)="","",VLOOKUP(E:E,'Old Report'!E:J,6,FALSE)),"")</f>
        <v/>
      </c>
      <c r="L1294" t="str">
        <f>IFERROR(IF(VLOOKUP(E:E,'Old Report'!E:L,8,FALSE)="","",VLOOKUP(E:E,'Old Report'!E:L,8,FALSE)),"")</f>
        <v/>
      </c>
      <c r="M1294" s="5" t="str">
        <f t="shared" si="103"/>
        <v/>
      </c>
      <c r="N1294" s="5" t="str">
        <f t="shared" si="104"/>
        <v/>
      </c>
    </row>
    <row r="1295" spans="1:14" x14ac:dyDescent="0.25">
      <c r="A1295" s="5">
        <v>1294</v>
      </c>
      <c r="B1295" s="5">
        <f t="shared" si="101"/>
        <v>0</v>
      </c>
      <c r="C1295" s="5" t="str">
        <f t="shared" si="100"/>
        <v/>
      </c>
      <c r="D1295" s="5" t="str">
        <f>IFERROR(IF(F1295&lt;&gt;"",F1295,VLOOKUP(MAX(C$2:C1295),A$2:F1295,2,FALSE)),"")</f>
        <v/>
      </c>
      <c r="E1295" s="5" t="str">
        <f t="shared" si="102"/>
        <v/>
      </c>
      <c r="K1295" t="str">
        <f>IFERROR(IF(VLOOKUP(E:E,'Old Report'!E:J,6,FALSE)="","",VLOOKUP(E:E,'Old Report'!E:J,6,FALSE)),"")</f>
        <v/>
      </c>
      <c r="L1295" t="str">
        <f>IFERROR(IF(VLOOKUP(E:E,'Old Report'!E:L,8,FALSE)="","",VLOOKUP(E:E,'Old Report'!E:L,8,FALSE)),"")</f>
        <v/>
      </c>
      <c r="M1295" s="5" t="str">
        <f t="shared" si="103"/>
        <v/>
      </c>
      <c r="N1295" s="5" t="str">
        <f t="shared" si="104"/>
        <v/>
      </c>
    </row>
    <row r="1296" spans="1:14" x14ac:dyDescent="0.25">
      <c r="A1296" s="5">
        <v>1295</v>
      </c>
      <c r="B1296" s="5">
        <f t="shared" si="101"/>
        <v>0</v>
      </c>
      <c r="C1296" s="5" t="str">
        <f t="shared" si="100"/>
        <v/>
      </c>
      <c r="D1296" s="5" t="str">
        <f>IFERROR(IF(F1296&lt;&gt;"",F1296,VLOOKUP(MAX(C$2:C1296),A$2:F1296,2,FALSE)),"")</f>
        <v/>
      </c>
      <c r="E1296" s="5" t="str">
        <f t="shared" si="102"/>
        <v/>
      </c>
      <c r="K1296" t="str">
        <f>IFERROR(IF(VLOOKUP(E:E,'Old Report'!E:J,6,FALSE)="","",VLOOKUP(E:E,'Old Report'!E:J,6,FALSE)),"")</f>
        <v/>
      </c>
      <c r="L1296" t="str">
        <f>IFERROR(IF(VLOOKUP(E:E,'Old Report'!E:L,8,FALSE)="","",VLOOKUP(E:E,'Old Report'!E:L,8,FALSE)),"")</f>
        <v/>
      </c>
      <c r="M1296" s="5" t="str">
        <f t="shared" si="103"/>
        <v/>
      </c>
      <c r="N1296" s="5" t="str">
        <f t="shared" si="104"/>
        <v/>
      </c>
    </row>
    <row r="1297" spans="1:14" x14ac:dyDescent="0.25">
      <c r="A1297" s="5">
        <v>1296</v>
      </c>
      <c r="B1297" s="5">
        <f t="shared" si="101"/>
        <v>0</v>
      </c>
      <c r="C1297" s="5" t="str">
        <f t="shared" si="100"/>
        <v/>
      </c>
      <c r="D1297" s="5" t="str">
        <f>IFERROR(IF(F1297&lt;&gt;"",F1297,VLOOKUP(MAX(C$2:C1297),A$2:F1297,2,FALSE)),"")</f>
        <v/>
      </c>
      <c r="E1297" s="5" t="str">
        <f t="shared" si="102"/>
        <v/>
      </c>
      <c r="K1297" t="str">
        <f>IFERROR(IF(VLOOKUP(E:E,'Old Report'!E:J,6,FALSE)="","",VLOOKUP(E:E,'Old Report'!E:J,6,FALSE)),"")</f>
        <v/>
      </c>
      <c r="L1297" t="str">
        <f>IFERROR(IF(VLOOKUP(E:E,'Old Report'!E:L,8,FALSE)="","",VLOOKUP(E:E,'Old Report'!E:L,8,FALSE)),"")</f>
        <v/>
      </c>
      <c r="M1297" s="5" t="str">
        <f t="shared" si="103"/>
        <v/>
      </c>
      <c r="N1297" s="5" t="str">
        <f t="shared" si="104"/>
        <v/>
      </c>
    </row>
    <row r="1298" spans="1:14" x14ac:dyDescent="0.25">
      <c r="A1298" s="5">
        <v>1297</v>
      </c>
      <c r="B1298" s="5">
        <f t="shared" si="101"/>
        <v>0</v>
      </c>
      <c r="C1298" s="5" t="str">
        <f t="shared" si="100"/>
        <v/>
      </c>
      <c r="D1298" s="5" t="str">
        <f>IFERROR(IF(F1298&lt;&gt;"",F1298,VLOOKUP(MAX(C$2:C1298),A$2:F1298,2,FALSE)),"")</f>
        <v/>
      </c>
      <c r="E1298" s="5" t="str">
        <f t="shared" si="102"/>
        <v/>
      </c>
      <c r="K1298" t="str">
        <f>IFERROR(IF(VLOOKUP(E:E,'Old Report'!E:J,6,FALSE)="","",VLOOKUP(E:E,'Old Report'!E:J,6,FALSE)),"")</f>
        <v/>
      </c>
      <c r="L1298" t="str">
        <f>IFERROR(IF(VLOOKUP(E:E,'Old Report'!E:L,8,FALSE)="","",VLOOKUP(E:E,'Old Report'!E:L,8,FALSE)),"")</f>
        <v/>
      </c>
      <c r="M1298" s="5" t="str">
        <f t="shared" si="103"/>
        <v/>
      </c>
      <c r="N1298" s="5" t="str">
        <f t="shared" si="104"/>
        <v/>
      </c>
    </row>
    <row r="1299" spans="1:14" x14ac:dyDescent="0.25">
      <c r="A1299" s="5">
        <v>1298</v>
      </c>
      <c r="B1299" s="5">
        <f t="shared" si="101"/>
        <v>0</v>
      </c>
      <c r="C1299" s="5" t="str">
        <f t="shared" si="100"/>
        <v/>
      </c>
      <c r="D1299" s="5" t="str">
        <f>IFERROR(IF(F1299&lt;&gt;"",F1299,VLOOKUP(MAX(C$2:C1299),A$2:F1299,2,FALSE)),"")</f>
        <v/>
      </c>
      <c r="E1299" s="5" t="str">
        <f t="shared" si="102"/>
        <v/>
      </c>
      <c r="K1299" t="str">
        <f>IFERROR(IF(VLOOKUP(E:E,'Old Report'!E:J,6,FALSE)="","",VLOOKUP(E:E,'Old Report'!E:J,6,FALSE)),"")</f>
        <v/>
      </c>
      <c r="L1299" t="str">
        <f>IFERROR(IF(VLOOKUP(E:E,'Old Report'!E:L,8,FALSE)="","",VLOOKUP(E:E,'Old Report'!E:L,8,FALSE)),"")</f>
        <v/>
      </c>
      <c r="M1299" s="5" t="str">
        <f t="shared" si="103"/>
        <v/>
      </c>
      <c r="N1299" s="5" t="str">
        <f t="shared" si="104"/>
        <v/>
      </c>
    </row>
    <row r="1300" spans="1:14" x14ac:dyDescent="0.25">
      <c r="A1300" s="5">
        <v>1299</v>
      </c>
      <c r="B1300" s="5">
        <f t="shared" si="101"/>
        <v>0</v>
      </c>
      <c r="C1300" s="5" t="str">
        <f t="shared" si="100"/>
        <v/>
      </c>
      <c r="D1300" s="5" t="str">
        <f>IFERROR(IF(F1300&lt;&gt;"",F1300,VLOOKUP(MAX(C$2:C1300),A$2:F1300,2,FALSE)),"")</f>
        <v/>
      </c>
      <c r="E1300" s="5" t="str">
        <f t="shared" si="102"/>
        <v/>
      </c>
      <c r="K1300" t="str">
        <f>IFERROR(IF(VLOOKUP(E:E,'Old Report'!E:J,6,FALSE)="","",VLOOKUP(E:E,'Old Report'!E:J,6,FALSE)),"")</f>
        <v/>
      </c>
      <c r="L1300" t="str">
        <f>IFERROR(IF(VLOOKUP(E:E,'Old Report'!E:L,8,FALSE)="","",VLOOKUP(E:E,'Old Report'!E:L,8,FALSE)),"")</f>
        <v/>
      </c>
      <c r="M1300" s="5" t="str">
        <f t="shared" si="103"/>
        <v/>
      </c>
      <c r="N1300" s="5" t="str">
        <f t="shared" si="104"/>
        <v/>
      </c>
    </row>
    <row r="1301" spans="1:14" x14ac:dyDescent="0.25">
      <c r="A1301" s="5">
        <v>1300</v>
      </c>
      <c r="B1301" s="5">
        <f t="shared" si="101"/>
        <v>0</v>
      </c>
      <c r="C1301" s="5" t="str">
        <f t="shared" si="100"/>
        <v/>
      </c>
      <c r="D1301" s="5" t="str">
        <f>IFERROR(IF(F1301&lt;&gt;"",F1301,VLOOKUP(MAX(C$2:C1301),A$2:F1301,2,FALSE)),"")</f>
        <v/>
      </c>
      <c r="E1301" s="5" t="str">
        <f t="shared" si="102"/>
        <v/>
      </c>
      <c r="K1301" t="str">
        <f>IFERROR(IF(VLOOKUP(E:E,'Old Report'!E:J,6,FALSE)="","",VLOOKUP(E:E,'Old Report'!E:J,6,FALSE)),"")</f>
        <v/>
      </c>
      <c r="L1301" t="str">
        <f>IFERROR(IF(VLOOKUP(E:E,'Old Report'!E:L,8,FALSE)="","",VLOOKUP(E:E,'Old Report'!E:L,8,FALSE)),"")</f>
        <v/>
      </c>
      <c r="M1301" s="5" t="str">
        <f t="shared" si="103"/>
        <v/>
      </c>
      <c r="N1301" s="5" t="str">
        <f t="shared" si="104"/>
        <v/>
      </c>
    </row>
    <row r="1302" spans="1:14" x14ac:dyDescent="0.25">
      <c r="A1302" s="5">
        <v>1301</v>
      </c>
      <c r="B1302" s="5">
        <f t="shared" si="101"/>
        <v>0</v>
      </c>
      <c r="C1302" s="5" t="str">
        <f t="shared" si="100"/>
        <v/>
      </c>
      <c r="D1302" s="5" t="str">
        <f>IFERROR(IF(F1302&lt;&gt;"",F1302,VLOOKUP(MAX(C$2:C1302),A$2:F1302,2,FALSE)),"")</f>
        <v/>
      </c>
      <c r="E1302" s="5" t="str">
        <f t="shared" si="102"/>
        <v/>
      </c>
      <c r="K1302" t="str">
        <f>IFERROR(IF(VLOOKUP(E:E,'Old Report'!E:J,6,FALSE)="","",VLOOKUP(E:E,'Old Report'!E:J,6,FALSE)),"")</f>
        <v/>
      </c>
      <c r="L1302" t="str">
        <f>IFERROR(IF(VLOOKUP(E:E,'Old Report'!E:L,8,FALSE)="","",VLOOKUP(E:E,'Old Report'!E:L,8,FALSE)),"")</f>
        <v/>
      </c>
      <c r="M1302" s="5" t="str">
        <f t="shared" si="103"/>
        <v/>
      </c>
      <c r="N1302" s="5" t="str">
        <f t="shared" si="104"/>
        <v/>
      </c>
    </row>
    <row r="1303" spans="1:14" x14ac:dyDescent="0.25">
      <c r="A1303" s="5">
        <v>1302</v>
      </c>
      <c r="B1303" s="5">
        <f t="shared" si="101"/>
        <v>0</v>
      </c>
      <c r="C1303" s="5" t="str">
        <f t="shared" si="100"/>
        <v/>
      </c>
      <c r="D1303" s="5" t="str">
        <f>IFERROR(IF(F1303&lt;&gt;"",F1303,VLOOKUP(MAX(C$2:C1303),A$2:F1303,2,FALSE)),"")</f>
        <v/>
      </c>
      <c r="E1303" s="5" t="str">
        <f t="shared" si="102"/>
        <v/>
      </c>
      <c r="K1303" t="str">
        <f>IFERROR(IF(VLOOKUP(E:E,'Old Report'!E:J,6,FALSE)="","",VLOOKUP(E:E,'Old Report'!E:J,6,FALSE)),"")</f>
        <v/>
      </c>
      <c r="L1303" t="str">
        <f>IFERROR(IF(VLOOKUP(E:E,'Old Report'!E:L,8,FALSE)="","",VLOOKUP(E:E,'Old Report'!E:L,8,FALSE)),"")</f>
        <v/>
      </c>
      <c r="M1303" s="5" t="str">
        <f t="shared" si="103"/>
        <v/>
      </c>
      <c r="N1303" s="5" t="str">
        <f t="shared" si="104"/>
        <v/>
      </c>
    </row>
    <row r="1304" spans="1:14" x14ac:dyDescent="0.25">
      <c r="A1304" s="5">
        <v>1303</v>
      </c>
      <c r="B1304" s="5">
        <f t="shared" si="101"/>
        <v>0</v>
      </c>
      <c r="C1304" s="5" t="str">
        <f t="shared" si="100"/>
        <v/>
      </c>
      <c r="D1304" s="5" t="str">
        <f>IFERROR(IF(F1304&lt;&gt;"",F1304,VLOOKUP(MAX(C$2:C1304),A$2:F1304,2,FALSE)),"")</f>
        <v/>
      </c>
      <c r="E1304" s="5" t="str">
        <f t="shared" si="102"/>
        <v/>
      </c>
      <c r="K1304" t="str">
        <f>IFERROR(IF(VLOOKUP(E:E,'Old Report'!E:J,6,FALSE)="","",VLOOKUP(E:E,'Old Report'!E:J,6,FALSE)),"")</f>
        <v/>
      </c>
      <c r="L1304" t="str">
        <f>IFERROR(IF(VLOOKUP(E:E,'Old Report'!E:L,8,FALSE)="","",VLOOKUP(E:E,'Old Report'!E:L,8,FALSE)),"")</f>
        <v/>
      </c>
      <c r="M1304" s="5" t="str">
        <f t="shared" si="103"/>
        <v/>
      </c>
      <c r="N1304" s="5" t="str">
        <f t="shared" si="104"/>
        <v/>
      </c>
    </row>
    <row r="1305" spans="1:14" x14ac:dyDescent="0.25">
      <c r="A1305" s="5">
        <v>1304</v>
      </c>
      <c r="B1305" s="5">
        <f t="shared" si="101"/>
        <v>0</v>
      </c>
      <c r="C1305" s="5" t="str">
        <f t="shared" si="100"/>
        <v/>
      </c>
      <c r="D1305" s="5" t="str">
        <f>IFERROR(IF(F1305&lt;&gt;"",F1305,VLOOKUP(MAX(C$2:C1305),A$2:F1305,2,FALSE)),"")</f>
        <v/>
      </c>
      <c r="E1305" s="5" t="str">
        <f t="shared" si="102"/>
        <v/>
      </c>
      <c r="K1305" t="str">
        <f>IFERROR(IF(VLOOKUP(E:E,'Old Report'!E:J,6,FALSE)="","",VLOOKUP(E:E,'Old Report'!E:J,6,FALSE)),"")</f>
        <v/>
      </c>
      <c r="L1305" t="str">
        <f>IFERROR(IF(VLOOKUP(E:E,'Old Report'!E:L,8,FALSE)="","",VLOOKUP(E:E,'Old Report'!E:L,8,FALSE)),"")</f>
        <v/>
      </c>
      <c r="M1305" s="5" t="str">
        <f t="shared" si="103"/>
        <v/>
      </c>
      <c r="N1305" s="5" t="str">
        <f t="shared" si="104"/>
        <v/>
      </c>
    </row>
    <row r="1306" spans="1:14" x14ac:dyDescent="0.25">
      <c r="A1306" s="5">
        <v>1305</v>
      </c>
      <c r="B1306" s="5">
        <f t="shared" si="101"/>
        <v>0</v>
      </c>
      <c r="C1306" s="5" t="str">
        <f t="shared" si="100"/>
        <v/>
      </c>
      <c r="D1306" s="5" t="str">
        <f>IFERROR(IF(F1306&lt;&gt;"",F1306,VLOOKUP(MAX(C$2:C1306),A$2:F1306,2,FALSE)),"")</f>
        <v/>
      </c>
      <c r="E1306" s="5" t="str">
        <f t="shared" si="102"/>
        <v/>
      </c>
      <c r="K1306" t="str">
        <f>IFERROR(IF(VLOOKUP(E:E,'Old Report'!E:J,6,FALSE)="","",VLOOKUP(E:E,'Old Report'!E:J,6,FALSE)),"")</f>
        <v/>
      </c>
      <c r="L1306" t="str">
        <f>IFERROR(IF(VLOOKUP(E:E,'Old Report'!E:L,8,FALSE)="","",VLOOKUP(E:E,'Old Report'!E:L,8,FALSE)),"")</f>
        <v/>
      </c>
      <c r="M1306" s="5" t="str">
        <f t="shared" si="103"/>
        <v/>
      </c>
      <c r="N1306" s="5" t="str">
        <f t="shared" si="104"/>
        <v/>
      </c>
    </row>
    <row r="1307" spans="1:14" x14ac:dyDescent="0.25">
      <c r="A1307" s="5">
        <v>1306</v>
      </c>
      <c r="B1307" s="5">
        <f t="shared" si="101"/>
        <v>0</v>
      </c>
      <c r="C1307" s="5" t="str">
        <f t="shared" si="100"/>
        <v/>
      </c>
      <c r="D1307" s="5" t="str">
        <f>IFERROR(IF(F1307&lt;&gt;"",F1307,VLOOKUP(MAX(C$2:C1307),A$2:F1307,2,FALSE)),"")</f>
        <v/>
      </c>
      <c r="E1307" s="5" t="str">
        <f t="shared" si="102"/>
        <v/>
      </c>
      <c r="K1307" t="str">
        <f>IFERROR(IF(VLOOKUP(E:E,'Old Report'!E:J,6,FALSE)="","",VLOOKUP(E:E,'Old Report'!E:J,6,FALSE)),"")</f>
        <v/>
      </c>
      <c r="L1307" t="str">
        <f>IFERROR(IF(VLOOKUP(E:E,'Old Report'!E:L,8,FALSE)="","",VLOOKUP(E:E,'Old Report'!E:L,8,FALSE)),"")</f>
        <v/>
      </c>
      <c r="M1307" s="5" t="str">
        <f t="shared" si="103"/>
        <v/>
      </c>
      <c r="N1307" s="5" t="str">
        <f t="shared" si="104"/>
        <v/>
      </c>
    </row>
    <row r="1308" spans="1:14" x14ac:dyDescent="0.25">
      <c r="A1308" s="5">
        <v>1307</v>
      </c>
      <c r="B1308" s="5">
        <f t="shared" si="101"/>
        <v>0</v>
      </c>
      <c r="C1308" s="5" t="str">
        <f t="shared" si="100"/>
        <v/>
      </c>
      <c r="D1308" s="5" t="str">
        <f>IFERROR(IF(F1308&lt;&gt;"",F1308,VLOOKUP(MAX(C$2:C1308),A$2:F1308,2,FALSE)),"")</f>
        <v/>
      </c>
      <c r="E1308" s="5" t="str">
        <f t="shared" si="102"/>
        <v/>
      </c>
      <c r="K1308" t="str">
        <f>IFERROR(IF(VLOOKUP(E:E,'Old Report'!E:J,6,FALSE)="","",VLOOKUP(E:E,'Old Report'!E:J,6,FALSE)),"")</f>
        <v/>
      </c>
      <c r="L1308" t="str">
        <f>IFERROR(IF(VLOOKUP(E:E,'Old Report'!E:L,8,FALSE)="","",VLOOKUP(E:E,'Old Report'!E:L,8,FALSE)),"")</f>
        <v/>
      </c>
      <c r="M1308" s="5" t="str">
        <f t="shared" si="103"/>
        <v/>
      </c>
      <c r="N1308" s="5" t="str">
        <f t="shared" si="104"/>
        <v/>
      </c>
    </row>
    <row r="1309" spans="1:14" x14ac:dyDescent="0.25">
      <c r="A1309" s="5">
        <v>1308</v>
      </c>
      <c r="B1309" s="5">
        <f t="shared" si="101"/>
        <v>0</v>
      </c>
      <c r="C1309" s="5" t="str">
        <f t="shared" si="100"/>
        <v/>
      </c>
      <c r="D1309" s="5" t="str">
        <f>IFERROR(IF(F1309&lt;&gt;"",F1309,VLOOKUP(MAX(C$2:C1309),A$2:F1309,2,FALSE)),"")</f>
        <v/>
      </c>
      <c r="E1309" s="5" t="str">
        <f t="shared" si="102"/>
        <v/>
      </c>
      <c r="K1309" t="str">
        <f>IFERROR(IF(VLOOKUP(E:E,'Old Report'!E:J,6,FALSE)="","",VLOOKUP(E:E,'Old Report'!E:J,6,FALSE)),"")</f>
        <v/>
      </c>
      <c r="L1309" t="str">
        <f>IFERROR(IF(VLOOKUP(E:E,'Old Report'!E:L,8,FALSE)="","",VLOOKUP(E:E,'Old Report'!E:L,8,FALSE)),"")</f>
        <v/>
      </c>
      <c r="M1309" s="5" t="str">
        <f t="shared" si="103"/>
        <v/>
      </c>
      <c r="N1309" s="5" t="str">
        <f t="shared" si="104"/>
        <v/>
      </c>
    </row>
    <row r="1310" spans="1:14" x14ac:dyDescent="0.25">
      <c r="A1310" s="5">
        <v>1309</v>
      </c>
      <c r="B1310" s="5">
        <f t="shared" si="101"/>
        <v>0</v>
      </c>
      <c r="C1310" s="5" t="str">
        <f t="shared" si="100"/>
        <v/>
      </c>
      <c r="D1310" s="5" t="str">
        <f>IFERROR(IF(F1310&lt;&gt;"",F1310,VLOOKUP(MAX(C$2:C1310),A$2:F1310,2,FALSE)),"")</f>
        <v/>
      </c>
      <c r="E1310" s="5" t="str">
        <f t="shared" si="102"/>
        <v/>
      </c>
      <c r="K1310" t="str">
        <f>IFERROR(IF(VLOOKUP(E:E,'Old Report'!E:J,6,FALSE)="","",VLOOKUP(E:E,'Old Report'!E:J,6,FALSE)),"")</f>
        <v/>
      </c>
      <c r="L1310" t="str">
        <f>IFERROR(IF(VLOOKUP(E:E,'Old Report'!E:L,8,FALSE)="","",VLOOKUP(E:E,'Old Report'!E:L,8,FALSE)),"")</f>
        <v/>
      </c>
      <c r="M1310" s="5" t="str">
        <f t="shared" si="103"/>
        <v/>
      </c>
      <c r="N1310" s="5" t="str">
        <f t="shared" si="104"/>
        <v/>
      </c>
    </row>
    <row r="1311" spans="1:14" x14ac:dyDescent="0.25">
      <c r="A1311" s="5">
        <v>1310</v>
      </c>
      <c r="B1311" s="5">
        <f t="shared" si="101"/>
        <v>0</v>
      </c>
      <c r="C1311" s="5" t="str">
        <f t="shared" si="100"/>
        <v/>
      </c>
      <c r="D1311" s="5" t="str">
        <f>IFERROR(IF(F1311&lt;&gt;"",F1311,VLOOKUP(MAX(C$2:C1311),A$2:F1311,2,FALSE)),"")</f>
        <v/>
      </c>
      <c r="E1311" s="5" t="str">
        <f t="shared" si="102"/>
        <v/>
      </c>
      <c r="K1311" t="str">
        <f>IFERROR(IF(VLOOKUP(E:E,'Old Report'!E:J,6,FALSE)="","",VLOOKUP(E:E,'Old Report'!E:J,6,FALSE)),"")</f>
        <v/>
      </c>
      <c r="L1311" t="str">
        <f>IFERROR(IF(VLOOKUP(E:E,'Old Report'!E:L,8,FALSE)="","",VLOOKUP(E:E,'Old Report'!E:L,8,FALSE)),"")</f>
        <v/>
      </c>
      <c r="M1311" s="5" t="str">
        <f t="shared" si="103"/>
        <v/>
      </c>
      <c r="N1311" s="5" t="str">
        <f t="shared" si="104"/>
        <v/>
      </c>
    </row>
    <row r="1312" spans="1:14" x14ac:dyDescent="0.25">
      <c r="A1312" s="5">
        <v>1311</v>
      </c>
      <c r="B1312" s="5">
        <f t="shared" si="101"/>
        <v>0</v>
      </c>
      <c r="C1312" s="5" t="str">
        <f t="shared" si="100"/>
        <v/>
      </c>
      <c r="D1312" s="5" t="str">
        <f>IFERROR(IF(F1312&lt;&gt;"",F1312,VLOOKUP(MAX(C$2:C1312),A$2:F1312,2,FALSE)),"")</f>
        <v/>
      </c>
      <c r="E1312" s="5" t="str">
        <f t="shared" si="102"/>
        <v/>
      </c>
      <c r="K1312" t="str">
        <f>IFERROR(IF(VLOOKUP(E:E,'Old Report'!E:J,6,FALSE)="","",VLOOKUP(E:E,'Old Report'!E:J,6,FALSE)),"")</f>
        <v/>
      </c>
      <c r="L1312" t="str">
        <f>IFERROR(IF(VLOOKUP(E:E,'Old Report'!E:L,8,FALSE)="","",VLOOKUP(E:E,'Old Report'!E:L,8,FALSE)),"")</f>
        <v/>
      </c>
      <c r="M1312" s="5" t="str">
        <f t="shared" si="103"/>
        <v/>
      </c>
      <c r="N1312" s="5" t="str">
        <f t="shared" si="104"/>
        <v/>
      </c>
    </row>
    <row r="1313" spans="1:14" x14ac:dyDescent="0.25">
      <c r="A1313" s="5">
        <v>1312</v>
      </c>
      <c r="B1313" s="5">
        <f t="shared" si="101"/>
        <v>0</v>
      </c>
      <c r="C1313" s="5" t="str">
        <f t="shared" si="100"/>
        <v/>
      </c>
      <c r="D1313" s="5" t="str">
        <f>IFERROR(IF(F1313&lt;&gt;"",F1313,VLOOKUP(MAX(C$2:C1313),A$2:F1313,2,FALSE)),"")</f>
        <v/>
      </c>
      <c r="E1313" s="5" t="str">
        <f t="shared" si="102"/>
        <v/>
      </c>
      <c r="K1313" t="str">
        <f>IFERROR(IF(VLOOKUP(E:E,'Old Report'!E:J,6,FALSE)="","",VLOOKUP(E:E,'Old Report'!E:J,6,FALSE)),"")</f>
        <v/>
      </c>
      <c r="L1313" t="str">
        <f>IFERROR(IF(VLOOKUP(E:E,'Old Report'!E:L,8,FALSE)="","",VLOOKUP(E:E,'Old Report'!E:L,8,FALSE)),"")</f>
        <v/>
      </c>
      <c r="M1313" s="5" t="str">
        <f t="shared" si="103"/>
        <v/>
      </c>
      <c r="N1313" s="5" t="str">
        <f t="shared" si="104"/>
        <v/>
      </c>
    </row>
    <row r="1314" spans="1:14" x14ac:dyDescent="0.25">
      <c r="A1314" s="5">
        <v>1313</v>
      </c>
      <c r="B1314" s="5">
        <f t="shared" si="101"/>
        <v>0</v>
      </c>
      <c r="C1314" s="5" t="str">
        <f t="shared" si="100"/>
        <v/>
      </c>
      <c r="D1314" s="5" t="str">
        <f>IFERROR(IF(F1314&lt;&gt;"",F1314,VLOOKUP(MAX(C$2:C1314),A$2:F1314,2,FALSE)),"")</f>
        <v/>
      </c>
      <c r="E1314" s="5" t="str">
        <f t="shared" si="102"/>
        <v/>
      </c>
      <c r="K1314" t="str">
        <f>IFERROR(IF(VLOOKUP(E:E,'Old Report'!E:J,6,FALSE)="","",VLOOKUP(E:E,'Old Report'!E:J,6,FALSE)),"")</f>
        <v/>
      </c>
      <c r="L1314" t="str">
        <f>IFERROR(IF(VLOOKUP(E:E,'Old Report'!E:L,8,FALSE)="","",VLOOKUP(E:E,'Old Report'!E:L,8,FALSE)),"")</f>
        <v/>
      </c>
      <c r="M1314" s="5" t="str">
        <f t="shared" si="103"/>
        <v/>
      </c>
      <c r="N1314" s="5" t="str">
        <f t="shared" si="104"/>
        <v/>
      </c>
    </row>
    <row r="1315" spans="1:14" x14ac:dyDescent="0.25">
      <c r="A1315" s="5">
        <v>1314</v>
      </c>
      <c r="B1315" s="5">
        <f t="shared" si="101"/>
        <v>0</v>
      </c>
      <c r="C1315" s="5" t="str">
        <f t="shared" si="100"/>
        <v/>
      </c>
      <c r="D1315" s="5" t="str">
        <f>IFERROR(IF(F1315&lt;&gt;"",F1315,VLOOKUP(MAX(C$2:C1315),A$2:F1315,2,FALSE)),"")</f>
        <v/>
      </c>
      <c r="E1315" s="5" t="str">
        <f t="shared" si="102"/>
        <v/>
      </c>
      <c r="K1315" t="str">
        <f>IFERROR(IF(VLOOKUP(E:E,'Old Report'!E:J,6,FALSE)="","",VLOOKUP(E:E,'Old Report'!E:J,6,FALSE)),"")</f>
        <v/>
      </c>
      <c r="L1315" t="str">
        <f>IFERROR(IF(VLOOKUP(E:E,'Old Report'!E:L,8,FALSE)="","",VLOOKUP(E:E,'Old Report'!E:L,8,FALSE)),"")</f>
        <v/>
      </c>
      <c r="M1315" s="5" t="str">
        <f t="shared" si="103"/>
        <v/>
      </c>
      <c r="N1315" s="5" t="str">
        <f t="shared" si="104"/>
        <v/>
      </c>
    </row>
    <row r="1316" spans="1:14" x14ac:dyDescent="0.25">
      <c r="A1316" s="5">
        <v>1315</v>
      </c>
      <c r="B1316" s="5">
        <f t="shared" si="101"/>
        <v>0</v>
      </c>
      <c r="C1316" s="5" t="str">
        <f t="shared" si="100"/>
        <v/>
      </c>
      <c r="D1316" s="5" t="str">
        <f>IFERROR(IF(F1316&lt;&gt;"",F1316,VLOOKUP(MAX(C$2:C1316),A$2:F1316,2,FALSE)),"")</f>
        <v/>
      </c>
      <c r="E1316" s="5" t="str">
        <f t="shared" si="102"/>
        <v/>
      </c>
      <c r="K1316" t="str">
        <f>IFERROR(IF(VLOOKUP(E:E,'Old Report'!E:J,6,FALSE)="","",VLOOKUP(E:E,'Old Report'!E:J,6,FALSE)),"")</f>
        <v/>
      </c>
      <c r="L1316" t="str">
        <f>IFERROR(IF(VLOOKUP(E:E,'Old Report'!E:L,8,FALSE)="","",VLOOKUP(E:E,'Old Report'!E:L,8,FALSE)),"")</f>
        <v/>
      </c>
      <c r="M1316" s="5" t="str">
        <f t="shared" si="103"/>
        <v/>
      </c>
      <c r="N1316" s="5" t="str">
        <f t="shared" si="104"/>
        <v/>
      </c>
    </row>
    <row r="1317" spans="1:14" x14ac:dyDescent="0.25">
      <c r="A1317" s="5">
        <v>1316</v>
      </c>
      <c r="B1317" s="5">
        <f t="shared" si="101"/>
        <v>0</v>
      </c>
      <c r="C1317" s="5" t="str">
        <f t="shared" si="100"/>
        <v/>
      </c>
      <c r="D1317" s="5" t="str">
        <f>IFERROR(IF(F1317&lt;&gt;"",F1317,VLOOKUP(MAX(C$2:C1317),A$2:F1317,2,FALSE)),"")</f>
        <v/>
      </c>
      <c r="E1317" s="5" t="str">
        <f t="shared" si="102"/>
        <v/>
      </c>
      <c r="K1317" t="str">
        <f>IFERROR(IF(VLOOKUP(E:E,'Old Report'!E:J,6,FALSE)="","",VLOOKUP(E:E,'Old Report'!E:J,6,FALSE)),"")</f>
        <v/>
      </c>
      <c r="L1317" t="str">
        <f>IFERROR(IF(VLOOKUP(E:E,'Old Report'!E:L,8,FALSE)="","",VLOOKUP(E:E,'Old Report'!E:L,8,FALSE)),"")</f>
        <v/>
      </c>
      <c r="M1317" s="5" t="str">
        <f t="shared" si="103"/>
        <v/>
      </c>
      <c r="N1317" s="5" t="str">
        <f t="shared" si="104"/>
        <v/>
      </c>
    </row>
    <row r="1318" spans="1:14" x14ac:dyDescent="0.25">
      <c r="A1318" s="5">
        <v>1317</v>
      </c>
      <c r="B1318" s="5">
        <f t="shared" si="101"/>
        <v>0</v>
      </c>
      <c r="C1318" s="5" t="str">
        <f t="shared" si="100"/>
        <v/>
      </c>
      <c r="D1318" s="5" t="str">
        <f>IFERROR(IF(F1318&lt;&gt;"",F1318,VLOOKUP(MAX(C$2:C1318),A$2:F1318,2,FALSE)),"")</f>
        <v/>
      </c>
      <c r="E1318" s="5" t="str">
        <f t="shared" si="102"/>
        <v/>
      </c>
      <c r="K1318" t="str">
        <f>IFERROR(IF(VLOOKUP(E:E,'Old Report'!E:J,6,FALSE)="","",VLOOKUP(E:E,'Old Report'!E:J,6,FALSE)),"")</f>
        <v/>
      </c>
      <c r="L1318" t="str">
        <f>IFERROR(IF(VLOOKUP(E:E,'Old Report'!E:L,8,FALSE)="","",VLOOKUP(E:E,'Old Report'!E:L,8,FALSE)),"")</f>
        <v/>
      </c>
      <c r="M1318" s="5" t="str">
        <f t="shared" si="103"/>
        <v/>
      </c>
      <c r="N1318" s="5" t="str">
        <f t="shared" si="104"/>
        <v/>
      </c>
    </row>
    <row r="1319" spans="1:14" x14ac:dyDescent="0.25">
      <c r="A1319" s="5">
        <v>1318</v>
      </c>
      <c r="B1319" s="5">
        <f t="shared" si="101"/>
        <v>0</v>
      </c>
      <c r="C1319" s="5" t="str">
        <f t="shared" si="100"/>
        <v/>
      </c>
      <c r="D1319" s="5" t="str">
        <f>IFERROR(IF(F1319&lt;&gt;"",F1319,VLOOKUP(MAX(C$2:C1319),A$2:F1319,2,FALSE)),"")</f>
        <v/>
      </c>
      <c r="E1319" s="5" t="str">
        <f t="shared" si="102"/>
        <v/>
      </c>
      <c r="K1319" t="str">
        <f>IFERROR(IF(VLOOKUP(E:E,'Old Report'!E:J,6,FALSE)="","",VLOOKUP(E:E,'Old Report'!E:J,6,FALSE)),"")</f>
        <v/>
      </c>
      <c r="L1319" t="str">
        <f>IFERROR(IF(VLOOKUP(E:E,'Old Report'!E:L,8,FALSE)="","",VLOOKUP(E:E,'Old Report'!E:L,8,FALSE)),"")</f>
        <v/>
      </c>
      <c r="M1319" s="5" t="str">
        <f t="shared" si="103"/>
        <v/>
      </c>
      <c r="N1319" s="5" t="str">
        <f t="shared" si="104"/>
        <v/>
      </c>
    </row>
    <row r="1320" spans="1:14" x14ac:dyDescent="0.25">
      <c r="A1320" s="5">
        <v>1319</v>
      </c>
      <c r="B1320" s="5">
        <f t="shared" si="101"/>
        <v>0</v>
      </c>
      <c r="C1320" s="5" t="str">
        <f t="shared" si="100"/>
        <v/>
      </c>
      <c r="D1320" s="5" t="str">
        <f>IFERROR(IF(F1320&lt;&gt;"",F1320,VLOOKUP(MAX(C$2:C1320),A$2:F1320,2,FALSE)),"")</f>
        <v/>
      </c>
      <c r="E1320" s="5" t="str">
        <f t="shared" si="102"/>
        <v/>
      </c>
      <c r="K1320" t="str">
        <f>IFERROR(IF(VLOOKUP(E:E,'Old Report'!E:J,6,FALSE)="","",VLOOKUP(E:E,'Old Report'!E:J,6,FALSE)),"")</f>
        <v/>
      </c>
      <c r="L1320" t="str">
        <f>IFERROR(IF(VLOOKUP(E:E,'Old Report'!E:L,8,FALSE)="","",VLOOKUP(E:E,'Old Report'!E:L,8,FALSE)),"")</f>
        <v/>
      </c>
      <c r="M1320" s="5" t="str">
        <f t="shared" si="103"/>
        <v/>
      </c>
      <c r="N1320" s="5" t="str">
        <f t="shared" si="104"/>
        <v/>
      </c>
    </row>
    <row r="1321" spans="1:14" x14ac:dyDescent="0.25">
      <c r="A1321" s="5">
        <v>1320</v>
      </c>
      <c r="B1321" s="5">
        <f t="shared" si="101"/>
        <v>0</v>
      </c>
      <c r="C1321" s="5" t="str">
        <f t="shared" si="100"/>
        <v/>
      </c>
      <c r="D1321" s="5" t="str">
        <f>IFERROR(IF(F1321&lt;&gt;"",F1321,VLOOKUP(MAX(C$2:C1321),A$2:F1321,2,FALSE)),"")</f>
        <v/>
      </c>
      <c r="E1321" s="5" t="str">
        <f t="shared" si="102"/>
        <v/>
      </c>
      <c r="K1321" t="str">
        <f>IFERROR(IF(VLOOKUP(E:E,'Old Report'!E:J,6,FALSE)="","",VLOOKUP(E:E,'Old Report'!E:J,6,FALSE)),"")</f>
        <v/>
      </c>
      <c r="L1321" t="str">
        <f>IFERROR(IF(VLOOKUP(E:E,'Old Report'!E:L,8,FALSE)="","",VLOOKUP(E:E,'Old Report'!E:L,8,FALSE)),"")</f>
        <v/>
      </c>
      <c r="M1321" s="5" t="str">
        <f t="shared" si="103"/>
        <v/>
      </c>
      <c r="N1321" s="5" t="str">
        <f t="shared" si="104"/>
        <v/>
      </c>
    </row>
    <row r="1322" spans="1:14" x14ac:dyDescent="0.25">
      <c r="A1322" s="5">
        <v>1321</v>
      </c>
      <c r="B1322" s="5">
        <f t="shared" si="101"/>
        <v>0</v>
      </c>
      <c r="C1322" s="5" t="str">
        <f t="shared" si="100"/>
        <v/>
      </c>
      <c r="D1322" s="5" t="str">
        <f>IFERROR(IF(F1322&lt;&gt;"",F1322,VLOOKUP(MAX(C$2:C1322),A$2:F1322,2,FALSE)),"")</f>
        <v/>
      </c>
      <c r="E1322" s="5" t="str">
        <f t="shared" si="102"/>
        <v/>
      </c>
      <c r="K1322" t="str">
        <f>IFERROR(IF(VLOOKUP(E:E,'Old Report'!E:J,6,FALSE)="","",VLOOKUP(E:E,'Old Report'!E:J,6,FALSE)),"")</f>
        <v/>
      </c>
      <c r="L1322" t="str">
        <f>IFERROR(IF(VLOOKUP(E:E,'Old Report'!E:L,8,FALSE)="","",VLOOKUP(E:E,'Old Report'!E:L,8,FALSE)),"")</f>
        <v/>
      </c>
      <c r="M1322" s="5" t="str">
        <f t="shared" si="103"/>
        <v/>
      </c>
      <c r="N1322" s="5" t="str">
        <f t="shared" si="104"/>
        <v/>
      </c>
    </row>
    <row r="1323" spans="1:14" x14ac:dyDescent="0.25">
      <c r="A1323" s="5">
        <v>1322</v>
      </c>
      <c r="B1323" s="5">
        <f t="shared" si="101"/>
        <v>0</v>
      </c>
      <c r="C1323" s="5" t="str">
        <f t="shared" si="100"/>
        <v/>
      </c>
      <c r="D1323" s="5" t="str">
        <f>IFERROR(IF(F1323&lt;&gt;"",F1323,VLOOKUP(MAX(C$2:C1323),A$2:F1323,2,FALSE)),"")</f>
        <v/>
      </c>
      <c r="E1323" s="5" t="str">
        <f t="shared" si="102"/>
        <v/>
      </c>
      <c r="K1323" t="str">
        <f>IFERROR(IF(VLOOKUP(E:E,'Old Report'!E:J,6,FALSE)="","",VLOOKUP(E:E,'Old Report'!E:J,6,FALSE)),"")</f>
        <v/>
      </c>
      <c r="L1323" t="str">
        <f>IFERROR(IF(VLOOKUP(E:E,'Old Report'!E:L,8,FALSE)="","",VLOOKUP(E:E,'Old Report'!E:L,8,FALSE)),"")</f>
        <v/>
      </c>
      <c r="M1323" s="5" t="str">
        <f t="shared" si="103"/>
        <v/>
      </c>
      <c r="N1323" s="5" t="str">
        <f t="shared" si="104"/>
        <v/>
      </c>
    </row>
    <row r="1324" spans="1:14" x14ac:dyDescent="0.25">
      <c r="A1324" s="5">
        <v>1323</v>
      </c>
      <c r="B1324" s="5">
        <f t="shared" si="101"/>
        <v>0</v>
      </c>
      <c r="C1324" s="5" t="str">
        <f t="shared" si="100"/>
        <v/>
      </c>
      <c r="D1324" s="5" t="str">
        <f>IFERROR(IF(F1324&lt;&gt;"",F1324,VLOOKUP(MAX(C$2:C1324),A$2:F1324,2,FALSE)),"")</f>
        <v/>
      </c>
      <c r="E1324" s="5" t="str">
        <f t="shared" si="102"/>
        <v/>
      </c>
      <c r="K1324" t="str">
        <f>IFERROR(IF(VLOOKUP(E:E,'Old Report'!E:J,6,FALSE)="","",VLOOKUP(E:E,'Old Report'!E:J,6,FALSE)),"")</f>
        <v/>
      </c>
      <c r="L1324" t="str">
        <f>IFERROR(IF(VLOOKUP(E:E,'Old Report'!E:L,8,FALSE)="","",VLOOKUP(E:E,'Old Report'!E:L,8,FALSE)),"")</f>
        <v/>
      </c>
      <c r="M1324" s="5" t="str">
        <f t="shared" si="103"/>
        <v/>
      </c>
      <c r="N1324" s="5" t="str">
        <f t="shared" si="104"/>
        <v/>
      </c>
    </row>
    <row r="1325" spans="1:14" x14ac:dyDescent="0.25">
      <c r="A1325" s="5">
        <v>1324</v>
      </c>
      <c r="B1325" s="5">
        <f t="shared" si="101"/>
        <v>0</v>
      </c>
      <c r="C1325" s="5" t="str">
        <f t="shared" si="100"/>
        <v/>
      </c>
      <c r="D1325" s="5" t="str">
        <f>IFERROR(IF(F1325&lt;&gt;"",F1325,VLOOKUP(MAX(C$2:C1325),A$2:F1325,2,FALSE)),"")</f>
        <v/>
      </c>
      <c r="E1325" s="5" t="str">
        <f t="shared" si="102"/>
        <v/>
      </c>
      <c r="K1325" t="str">
        <f>IFERROR(IF(VLOOKUP(E:E,'Old Report'!E:J,6,FALSE)="","",VLOOKUP(E:E,'Old Report'!E:J,6,FALSE)),"")</f>
        <v/>
      </c>
      <c r="L1325" t="str">
        <f>IFERROR(IF(VLOOKUP(E:E,'Old Report'!E:L,8,FALSE)="","",VLOOKUP(E:E,'Old Report'!E:L,8,FALSE)),"")</f>
        <v/>
      </c>
      <c r="M1325" s="5" t="str">
        <f t="shared" si="103"/>
        <v/>
      </c>
      <c r="N1325" s="5" t="str">
        <f t="shared" si="104"/>
        <v/>
      </c>
    </row>
    <row r="1326" spans="1:14" x14ac:dyDescent="0.25">
      <c r="A1326" s="5">
        <v>1325</v>
      </c>
      <c r="B1326" s="5">
        <f t="shared" si="101"/>
        <v>0</v>
      </c>
      <c r="C1326" s="5" t="str">
        <f t="shared" si="100"/>
        <v/>
      </c>
      <c r="D1326" s="5" t="str">
        <f>IFERROR(IF(F1326&lt;&gt;"",F1326,VLOOKUP(MAX(C$2:C1326),A$2:F1326,2,FALSE)),"")</f>
        <v/>
      </c>
      <c r="E1326" s="5" t="str">
        <f t="shared" si="102"/>
        <v/>
      </c>
      <c r="K1326" t="str">
        <f>IFERROR(IF(VLOOKUP(E:E,'Old Report'!E:J,6,FALSE)="","",VLOOKUP(E:E,'Old Report'!E:J,6,FALSE)),"")</f>
        <v/>
      </c>
      <c r="L1326" t="str">
        <f>IFERROR(IF(VLOOKUP(E:E,'Old Report'!E:L,8,FALSE)="","",VLOOKUP(E:E,'Old Report'!E:L,8,FALSE)),"")</f>
        <v/>
      </c>
      <c r="M1326" s="5" t="str">
        <f t="shared" si="103"/>
        <v/>
      </c>
      <c r="N1326" s="5" t="str">
        <f t="shared" si="104"/>
        <v/>
      </c>
    </row>
    <row r="1327" spans="1:14" x14ac:dyDescent="0.25">
      <c r="A1327" s="5">
        <v>1326</v>
      </c>
      <c r="B1327" s="5">
        <f t="shared" si="101"/>
        <v>0</v>
      </c>
      <c r="C1327" s="5" t="str">
        <f t="shared" si="100"/>
        <v/>
      </c>
      <c r="D1327" s="5" t="str">
        <f>IFERROR(IF(F1327&lt;&gt;"",F1327,VLOOKUP(MAX(C$2:C1327),A$2:F1327,2,FALSE)),"")</f>
        <v/>
      </c>
      <c r="E1327" s="5" t="str">
        <f t="shared" si="102"/>
        <v/>
      </c>
      <c r="K1327" t="str">
        <f>IFERROR(IF(VLOOKUP(E:E,'Old Report'!E:J,6,FALSE)="","",VLOOKUP(E:E,'Old Report'!E:J,6,FALSE)),"")</f>
        <v/>
      </c>
      <c r="L1327" t="str">
        <f>IFERROR(IF(VLOOKUP(E:E,'Old Report'!E:L,8,FALSE)="","",VLOOKUP(E:E,'Old Report'!E:L,8,FALSE)),"")</f>
        <v/>
      </c>
      <c r="M1327" s="5" t="str">
        <f t="shared" si="103"/>
        <v/>
      </c>
      <c r="N1327" s="5" t="str">
        <f t="shared" si="104"/>
        <v/>
      </c>
    </row>
    <row r="1328" spans="1:14" x14ac:dyDescent="0.25">
      <c r="A1328" s="5">
        <v>1327</v>
      </c>
      <c r="B1328" s="5">
        <f t="shared" si="101"/>
        <v>0</v>
      </c>
      <c r="C1328" s="5" t="str">
        <f t="shared" si="100"/>
        <v/>
      </c>
      <c r="D1328" s="5" t="str">
        <f>IFERROR(IF(F1328&lt;&gt;"",F1328,VLOOKUP(MAX(C$2:C1328),A$2:F1328,2,FALSE)),"")</f>
        <v/>
      </c>
      <c r="E1328" s="5" t="str">
        <f t="shared" si="102"/>
        <v/>
      </c>
      <c r="K1328" t="str">
        <f>IFERROR(IF(VLOOKUP(E:E,'Old Report'!E:J,6,FALSE)="","",VLOOKUP(E:E,'Old Report'!E:J,6,FALSE)),"")</f>
        <v/>
      </c>
      <c r="L1328" t="str">
        <f>IFERROR(IF(VLOOKUP(E:E,'Old Report'!E:L,8,FALSE)="","",VLOOKUP(E:E,'Old Report'!E:L,8,FALSE)),"")</f>
        <v/>
      </c>
      <c r="M1328" s="5" t="str">
        <f t="shared" si="103"/>
        <v/>
      </c>
      <c r="N1328" s="5" t="str">
        <f t="shared" si="104"/>
        <v/>
      </c>
    </row>
    <row r="1329" spans="1:14" x14ac:dyDescent="0.25">
      <c r="A1329" s="5">
        <v>1328</v>
      </c>
      <c r="B1329" s="5">
        <f t="shared" si="101"/>
        <v>0</v>
      </c>
      <c r="C1329" s="5" t="str">
        <f t="shared" si="100"/>
        <v/>
      </c>
      <c r="D1329" s="5" t="str">
        <f>IFERROR(IF(F1329&lt;&gt;"",F1329,VLOOKUP(MAX(C$2:C1329),A$2:F1329,2,FALSE)),"")</f>
        <v/>
      </c>
      <c r="E1329" s="5" t="str">
        <f t="shared" si="102"/>
        <v/>
      </c>
      <c r="K1329" t="str">
        <f>IFERROR(IF(VLOOKUP(E:E,'Old Report'!E:J,6,FALSE)="","",VLOOKUP(E:E,'Old Report'!E:J,6,FALSE)),"")</f>
        <v/>
      </c>
      <c r="L1329" t="str">
        <f>IFERROR(IF(VLOOKUP(E:E,'Old Report'!E:L,8,FALSE)="","",VLOOKUP(E:E,'Old Report'!E:L,8,FALSE)),"")</f>
        <v/>
      </c>
      <c r="M1329" s="5" t="str">
        <f t="shared" si="103"/>
        <v/>
      </c>
      <c r="N1329" s="5" t="str">
        <f t="shared" si="104"/>
        <v/>
      </c>
    </row>
    <row r="1330" spans="1:14" x14ac:dyDescent="0.25">
      <c r="A1330" s="5">
        <v>1329</v>
      </c>
      <c r="B1330" s="5">
        <f t="shared" si="101"/>
        <v>0</v>
      </c>
      <c r="C1330" s="5" t="str">
        <f t="shared" si="100"/>
        <v/>
      </c>
      <c r="D1330" s="5" t="str">
        <f>IFERROR(IF(F1330&lt;&gt;"",F1330,VLOOKUP(MAX(C$2:C1330),A$2:F1330,2,FALSE)),"")</f>
        <v/>
      </c>
      <c r="E1330" s="5" t="str">
        <f t="shared" si="102"/>
        <v/>
      </c>
      <c r="K1330" t="str">
        <f>IFERROR(IF(VLOOKUP(E:E,'Old Report'!E:J,6,FALSE)="","",VLOOKUP(E:E,'Old Report'!E:J,6,FALSE)),"")</f>
        <v/>
      </c>
      <c r="L1330" t="str">
        <f>IFERROR(IF(VLOOKUP(E:E,'Old Report'!E:L,8,FALSE)="","",VLOOKUP(E:E,'Old Report'!E:L,8,FALSE)),"")</f>
        <v/>
      </c>
      <c r="M1330" s="5" t="str">
        <f t="shared" si="103"/>
        <v/>
      </c>
      <c r="N1330" s="5" t="str">
        <f t="shared" si="104"/>
        <v/>
      </c>
    </row>
    <row r="1331" spans="1:14" x14ac:dyDescent="0.25">
      <c r="A1331" s="5">
        <v>1330</v>
      </c>
      <c r="B1331" s="5">
        <f t="shared" si="101"/>
        <v>0</v>
      </c>
      <c r="C1331" s="5" t="str">
        <f t="shared" si="100"/>
        <v/>
      </c>
      <c r="D1331" s="5" t="str">
        <f>IFERROR(IF(F1331&lt;&gt;"",F1331,VLOOKUP(MAX(C$2:C1331),A$2:F1331,2,FALSE)),"")</f>
        <v/>
      </c>
      <c r="E1331" s="5" t="str">
        <f t="shared" si="102"/>
        <v/>
      </c>
      <c r="K1331" t="str">
        <f>IFERROR(IF(VLOOKUP(E:E,'Old Report'!E:J,6,FALSE)="","",VLOOKUP(E:E,'Old Report'!E:J,6,FALSE)),"")</f>
        <v/>
      </c>
      <c r="L1331" t="str">
        <f>IFERROR(IF(VLOOKUP(E:E,'Old Report'!E:L,8,FALSE)="","",VLOOKUP(E:E,'Old Report'!E:L,8,FALSE)),"")</f>
        <v/>
      </c>
      <c r="M1331" s="5" t="str">
        <f t="shared" si="103"/>
        <v/>
      </c>
      <c r="N1331" s="5" t="str">
        <f t="shared" si="104"/>
        <v/>
      </c>
    </row>
    <row r="1332" spans="1:14" x14ac:dyDescent="0.25">
      <c r="A1332" s="5">
        <v>1331</v>
      </c>
      <c r="B1332" s="5">
        <f t="shared" si="101"/>
        <v>0</v>
      </c>
      <c r="C1332" s="5" t="str">
        <f t="shared" si="100"/>
        <v/>
      </c>
      <c r="D1332" s="5" t="str">
        <f>IFERROR(IF(F1332&lt;&gt;"",F1332,VLOOKUP(MAX(C$2:C1332),A$2:F1332,2,FALSE)),"")</f>
        <v/>
      </c>
      <c r="E1332" s="5" t="str">
        <f t="shared" si="102"/>
        <v/>
      </c>
      <c r="K1332" t="str">
        <f>IFERROR(IF(VLOOKUP(E:E,'Old Report'!E:J,6,FALSE)="","",VLOOKUP(E:E,'Old Report'!E:J,6,FALSE)),"")</f>
        <v/>
      </c>
      <c r="L1332" t="str">
        <f>IFERROR(IF(VLOOKUP(E:E,'Old Report'!E:L,8,FALSE)="","",VLOOKUP(E:E,'Old Report'!E:L,8,FALSE)),"")</f>
        <v/>
      </c>
      <c r="M1332" s="5" t="str">
        <f t="shared" si="103"/>
        <v/>
      </c>
      <c r="N1332" s="5" t="str">
        <f t="shared" si="104"/>
        <v/>
      </c>
    </row>
    <row r="1333" spans="1:14" x14ac:dyDescent="0.25">
      <c r="A1333" s="5">
        <v>1332</v>
      </c>
      <c r="B1333" s="5">
        <f t="shared" si="101"/>
        <v>0</v>
      </c>
      <c r="C1333" s="5" t="str">
        <f t="shared" si="100"/>
        <v/>
      </c>
      <c r="D1333" s="5" t="str">
        <f>IFERROR(IF(F1333&lt;&gt;"",F1333,VLOOKUP(MAX(C$2:C1333),A$2:F1333,2,FALSE)),"")</f>
        <v/>
      </c>
      <c r="E1333" s="5" t="str">
        <f t="shared" si="102"/>
        <v/>
      </c>
      <c r="K1333" t="str">
        <f>IFERROR(IF(VLOOKUP(E:E,'Old Report'!E:J,6,FALSE)="","",VLOOKUP(E:E,'Old Report'!E:J,6,FALSE)),"")</f>
        <v/>
      </c>
      <c r="L1333" t="str">
        <f>IFERROR(IF(VLOOKUP(E:E,'Old Report'!E:L,8,FALSE)="","",VLOOKUP(E:E,'Old Report'!E:L,8,FALSE)),"")</f>
        <v/>
      </c>
      <c r="M1333" s="5" t="str">
        <f t="shared" si="103"/>
        <v/>
      </c>
      <c r="N1333" s="5" t="str">
        <f t="shared" si="104"/>
        <v/>
      </c>
    </row>
    <row r="1334" spans="1:14" x14ac:dyDescent="0.25">
      <c r="A1334" s="5">
        <v>1333</v>
      </c>
      <c r="B1334" s="5">
        <f t="shared" si="101"/>
        <v>0</v>
      </c>
      <c r="C1334" s="5" t="str">
        <f t="shared" si="100"/>
        <v/>
      </c>
      <c r="D1334" s="5" t="str">
        <f>IFERROR(IF(F1334&lt;&gt;"",F1334,VLOOKUP(MAX(C$2:C1334),A$2:F1334,2,FALSE)),"")</f>
        <v/>
      </c>
      <c r="E1334" s="5" t="str">
        <f t="shared" si="102"/>
        <v/>
      </c>
      <c r="K1334" t="str">
        <f>IFERROR(IF(VLOOKUP(E:E,'Old Report'!E:J,6,FALSE)="","",VLOOKUP(E:E,'Old Report'!E:J,6,FALSE)),"")</f>
        <v/>
      </c>
      <c r="L1334" t="str">
        <f>IFERROR(IF(VLOOKUP(E:E,'Old Report'!E:L,8,FALSE)="","",VLOOKUP(E:E,'Old Report'!E:L,8,FALSE)),"")</f>
        <v/>
      </c>
      <c r="M1334" s="5" t="str">
        <f t="shared" si="103"/>
        <v/>
      </c>
      <c r="N1334" s="5" t="str">
        <f t="shared" si="104"/>
        <v/>
      </c>
    </row>
    <row r="1335" spans="1:14" x14ac:dyDescent="0.25">
      <c r="A1335" s="5">
        <v>1334</v>
      </c>
      <c r="B1335" s="5">
        <f t="shared" si="101"/>
        <v>0</v>
      </c>
      <c r="C1335" s="5" t="str">
        <f t="shared" si="100"/>
        <v/>
      </c>
      <c r="D1335" s="5" t="str">
        <f>IFERROR(IF(F1335&lt;&gt;"",F1335,VLOOKUP(MAX(C$2:C1335),A$2:F1335,2,FALSE)),"")</f>
        <v/>
      </c>
      <c r="E1335" s="5" t="str">
        <f t="shared" si="102"/>
        <v/>
      </c>
      <c r="K1335" t="str">
        <f>IFERROR(IF(VLOOKUP(E:E,'Old Report'!E:J,6,FALSE)="","",VLOOKUP(E:E,'Old Report'!E:J,6,FALSE)),"")</f>
        <v/>
      </c>
      <c r="L1335" t="str">
        <f>IFERROR(IF(VLOOKUP(E:E,'Old Report'!E:L,8,FALSE)="","",VLOOKUP(E:E,'Old Report'!E:L,8,FALSE)),"")</f>
        <v/>
      </c>
      <c r="M1335" s="5" t="str">
        <f t="shared" si="103"/>
        <v/>
      </c>
      <c r="N1335" s="5" t="str">
        <f t="shared" si="104"/>
        <v/>
      </c>
    </row>
    <row r="1336" spans="1:14" x14ac:dyDescent="0.25">
      <c r="A1336" s="5">
        <v>1335</v>
      </c>
      <c r="B1336" s="5">
        <f t="shared" si="101"/>
        <v>0</v>
      </c>
      <c r="C1336" s="5" t="str">
        <f t="shared" si="100"/>
        <v/>
      </c>
      <c r="D1336" s="5" t="str">
        <f>IFERROR(IF(F1336&lt;&gt;"",F1336,VLOOKUP(MAX(C$2:C1336),A$2:F1336,2,FALSE)),"")</f>
        <v/>
      </c>
      <c r="E1336" s="5" t="str">
        <f t="shared" si="102"/>
        <v/>
      </c>
      <c r="K1336" t="str">
        <f>IFERROR(IF(VLOOKUP(E:E,'Old Report'!E:J,6,FALSE)="","",VLOOKUP(E:E,'Old Report'!E:J,6,FALSE)),"")</f>
        <v/>
      </c>
      <c r="L1336" t="str">
        <f>IFERROR(IF(VLOOKUP(E:E,'Old Report'!E:L,8,FALSE)="","",VLOOKUP(E:E,'Old Report'!E:L,8,FALSE)),"")</f>
        <v/>
      </c>
      <c r="M1336" s="5" t="str">
        <f t="shared" si="103"/>
        <v/>
      </c>
      <c r="N1336" s="5" t="str">
        <f t="shared" si="104"/>
        <v/>
      </c>
    </row>
    <row r="1337" spans="1:14" x14ac:dyDescent="0.25">
      <c r="A1337" s="5">
        <v>1336</v>
      </c>
      <c r="B1337" s="5">
        <f t="shared" si="101"/>
        <v>0</v>
      </c>
      <c r="C1337" s="5" t="str">
        <f t="shared" si="100"/>
        <v/>
      </c>
      <c r="D1337" s="5" t="str">
        <f>IFERROR(IF(F1337&lt;&gt;"",F1337,VLOOKUP(MAX(C$2:C1337),A$2:F1337,2,FALSE)),"")</f>
        <v/>
      </c>
      <c r="E1337" s="5" t="str">
        <f t="shared" si="102"/>
        <v/>
      </c>
      <c r="K1337" t="str">
        <f>IFERROR(IF(VLOOKUP(E:E,'Old Report'!E:J,6,FALSE)="","",VLOOKUP(E:E,'Old Report'!E:J,6,FALSE)),"")</f>
        <v/>
      </c>
      <c r="L1337" t="str">
        <f>IFERROR(IF(VLOOKUP(E:E,'Old Report'!E:L,8,FALSE)="","",VLOOKUP(E:E,'Old Report'!E:L,8,FALSE)),"")</f>
        <v/>
      </c>
      <c r="M1337" s="5" t="str">
        <f t="shared" si="103"/>
        <v/>
      </c>
      <c r="N1337" s="5" t="str">
        <f t="shared" si="104"/>
        <v/>
      </c>
    </row>
    <row r="1338" spans="1:14" x14ac:dyDescent="0.25">
      <c r="A1338" s="5">
        <v>1337</v>
      </c>
      <c r="B1338" s="5">
        <f t="shared" si="101"/>
        <v>0</v>
      </c>
      <c r="C1338" s="5" t="str">
        <f t="shared" si="100"/>
        <v/>
      </c>
      <c r="D1338" s="5" t="str">
        <f>IFERROR(IF(F1338&lt;&gt;"",F1338,VLOOKUP(MAX(C$2:C1338),A$2:F1338,2,FALSE)),"")</f>
        <v/>
      </c>
      <c r="E1338" s="5" t="str">
        <f t="shared" si="102"/>
        <v/>
      </c>
      <c r="K1338" t="str">
        <f>IFERROR(IF(VLOOKUP(E:E,'Old Report'!E:J,6,FALSE)="","",VLOOKUP(E:E,'Old Report'!E:J,6,FALSE)),"")</f>
        <v/>
      </c>
      <c r="L1338" t="str">
        <f>IFERROR(IF(VLOOKUP(E:E,'Old Report'!E:L,8,FALSE)="","",VLOOKUP(E:E,'Old Report'!E:L,8,FALSE)),"")</f>
        <v/>
      </c>
      <c r="M1338" s="5" t="str">
        <f t="shared" si="103"/>
        <v/>
      </c>
      <c r="N1338" s="5" t="str">
        <f t="shared" si="104"/>
        <v/>
      </c>
    </row>
    <row r="1339" spans="1:14" x14ac:dyDescent="0.25">
      <c r="A1339" s="5">
        <v>1338</v>
      </c>
      <c r="B1339" s="5">
        <f t="shared" si="101"/>
        <v>0</v>
      </c>
      <c r="C1339" s="5" t="str">
        <f t="shared" si="100"/>
        <v/>
      </c>
      <c r="D1339" s="5" t="str">
        <f>IFERROR(IF(F1339&lt;&gt;"",F1339,VLOOKUP(MAX(C$2:C1339),A$2:F1339,2,FALSE)),"")</f>
        <v/>
      </c>
      <c r="E1339" s="5" t="str">
        <f t="shared" si="102"/>
        <v/>
      </c>
      <c r="K1339" t="str">
        <f>IFERROR(IF(VLOOKUP(E:E,'Old Report'!E:J,6,FALSE)="","",VLOOKUP(E:E,'Old Report'!E:J,6,FALSE)),"")</f>
        <v/>
      </c>
      <c r="L1339" t="str">
        <f>IFERROR(IF(VLOOKUP(E:E,'Old Report'!E:L,8,FALSE)="","",VLOOKUP(E:E,'Old Report'!E:L,8,FALSE)),"")</f>
        <v/>
      </c>
      <c r="M1339" s="5" t="str">
        <f t="shared" si="103"/>
        <v/>
      </c>
      <c r="N1339" s="5" t="str">
        <f t="shared" si="104"/>
        <v/>
      </c>
    </row>
    <row r="1340" spans="1:14" x14ac:dyDescent="0.25">
      <c r="A1340" s="5">
        <v>1339</v>
      </c>
      <c r="B1340" s="5">
        <f t="shared" si="101"/>
        <v>0</v>
      </c>
      <c r="C1340" s="5" t="str">
        <f t="shared" si="100"/>
        <v/>
      </c>
      <c r="D1340" s="5" t="str">
        <f>IFERROR(IF(F1340&lt;&gt;"",F1340,VLOOKUP(MAX(C$2:C1340),A$2:F1340,2,FALSE)),"")</f>
        <v/>
      </c>
      <c r="E1340" s="5" t="str">
        <f t="shared" si="102"/>
        <v/>
      </c>
      <c r="K1340" t="str">
        <f>IFERROR(IF(VLOOKUP(E:E,'Old Report'!E:J,6,FALSE)="","",VLOOKUP(E:E,'Old Report'!E:J,6,FALSE)),"")</f>
        <v/>
      </c>
      <c r="L1340" t="str">
        <f>IFERROR(IF(VLOOKUP(E:E,'Old Report'!E:L,8,FALSE)="","",VLOOKUP(E:E,'Old Report'!E:L,8,FALSE)),"")</f>
        <v/>
      </c>
      <c r="M1340" s="5" t="str">
        <f t="shared" si="103"/>
        <v/>
      </c>
      <c r="N1340" s="5" t="str">
        <f t="shared" si="104"/>
        <v/>
      </c>
    </row>
    <row r="1341" spans="1:14" x14ac:dyDescent="0.25">
      <c r="A1341" s="5">
        <v>1340</v>
      </c>
      <c r="B1341" s="5">
        <f t="shared" si="101"/>
        <v>0</v>
      </c>
      <c r="C1341" s="5" t="str">
        <f t="shared" si="100"/>
        <v/>
      </c>
      <c r="D1341" s="5" t="str">
        <f>IFERROR(IF(F1341&lt;&gt;"",F1341,VLOOKUP(MAX(C$2:C1341),A$2:F1341,2,FALSE)),"")</f>
        <v/>
      </c>
      <c r="E1341" s="5" t="str">
        <f t="shared" si="102"/>
        <v/>
      </c>
      <c r="K1341" t="str">
        <f>IFERROR(IF(VLOOKUP(E:E,'Old Report'!E:J,6,FALSE)="","",VLOOKUP(E:E,'Old Report'!E:J,6,FALSE)),"")</f>
        <v/>
      </c>
      <c r="L1341" t="str">
        <f>IFERROR(IF(VLOOKUP(E:E,'Old Report'!E:L,8,FALSE)="","",VLOOKUP(E:E,'Old Report'!E:L,8,FALSE)),"")</f>
        <v/>
      </c>
      <c r="M1341" s="5" t="str">
        <f t="shared" si="103"/>
        <v/>
      </c>
      <c r="N1341" s="5" t="str">
        <f t="shared" si="104"/>
        <v/>
      </c>
    </row>
    <row r="1342" spans="1:14" x14ac:dyDescent="0.25">
      <c r="A1342" s="5">
        <v>1341</v>
      </c>
      <c r="B1342" s="5">
        <f t="shared" si="101"/>
        <v>0</v>
      </c>
      <c r="C1342" s="5" t="str">
        <f t="shared" si="100"/>
        <v/>
      </c>
      <c r="D1342" s="5" t="str">
        <f>IFERROR(IF(F1342&lt;&gt;"",F1342,VLOOKUP(MAX(C$2:C1342),A$2:F1342,2,FALSE)),"")</f>
        <v/>
      </c>
      <c r="E1342" s="5" t="str">
        <f t="shared" si="102"/>
        <v/>
      </c>
      <c r="K1342" t="str">
        <f>IFERROR(IF(VLOOKUP(E:E,'Old Report'!E:J,6,FALSE)="","",VLOOKUP(E:E,'Old Report'!E:J,6,FALSE)),"")</f>
        <v/>
      </c>
      <c r="L1342" t="str">
        <f>IFERROR(IF(VLOOKUP(E:E,'Old Report'!E:L,8,FALSE)="","",VLOOKUP(E:E,'Old Report'!E:L,8,FALSE)),"")</f>
        <v/>
      </c>
      <c r="M1342" s="5" t="str">
        <f t="shared" si="103"/>
        <v/>
      </c>
      <c r="N1342" s="5" t="str">
        <f t="shared" si="104"/>
        <v/>
      </c>
    </row>
    <row r="1343" spans="1:14" x14ac:dyDescent="0.25">
      <c r="A1343" s="5">
        <v>1342</v>
      </c>
      <c r="B1343" s="5">
        <f t="shared" si="101"/>
        <v>0</v>
      </c>
      <c r="C1343" s="5" t="str">
        <f t="shared" si="100"/>
        <v/>
      </c>
      <c r="D1343" s="5" t="str">
        <f>IFERROR(IF(F1343&lt;&gt;"",F1343,VLOOKUP(MAX(C$2:C1343),A$2:F1343,2,FALSE)),"")</f>
        <v/>
      </c>
      <c r="E1343" s="5" t="str">
        <f t="shared" si="102"/>
        <v/>
      </c>
      <c r="K1343" t="str">
        <f>IFERROR(IF(VLOOKUP(E:E,'Old Report'!E:J,6,FALSE)="","",VLOOKUP(E:E,'Old Report'!E:J,6,FALSE)),"")</f>
        <v/>
      </c>
      <c r="L1343" t="str">
        <f>IFERROR(IF(VLOOKUP(E:E,'Old Report'!E:L,8,FALSE)="","",VLOOKUP(E:E,'Old Report'!E:L,8,FALSE)),"")</f>
        <v/>
      </c>
      <c r="M1343" s="5" t="str">
        <f t="shared" si="103"/>
        <v/>
      </c>
      <c r="N1343" s="5" t="str">
        <f t="shared" si="104"/>
        <v/>
      </c>
    </row>
    <row r="1344" spans="1:14" x14ac:dyDescent="0.25">
      <c r="A1344" s="5">
        <v>1343</v>
      </c>
      <c r="B1344" s="5">
        <f t="shared" si="101"/>
        <v>0</v>
      </c>
      <c r="C1344" s="5" t="str">
        <f t="shared" si="100"/>
        <v/>
      </c>
      <c r="D1344" s="5" t="str">
        <f>IFERROR(IF(F1344&lt;&gt;"",F1344,VLOOKUP(MAX(C$2:C1344),A$2:F1344,2,FALSE)),"")</f>
        <v/>
      </c>
      <c r="E1344" s="5" t="str">
        <f t="shared" si="102"/>
        <v/>
      </c>
      <c r="K1344" t="str">
        <f>IFERROR(IF(VLOOKUP(E:E,'Old Report'!E:J,6,FALSE)="","",VLOOKUP(E:E,'Old Report'!E:J,6,FALSE)),"")</f>
        <v/>
      </c>
      <c r="L1344" t="str">
        <f>IFERROR(IF(VLOOKUP(E:E,'Old Report'!E:L,8,FALSE)="","",VLOOKUP(E:E,'Old Report'!E:L,8,FALSE)),"")</f>
        <v/>
      </c>
      <c r="M1344" s="5" t="str">
        <f t="shared" si="103"/>
        <v/>
      </c>
      <c r="N1344" s="5" t="str">
        <f t="shared" si="104"/>
        <v/>
      </c>
    </row>
    <row r="1345" spans="1:14" x14ac:dyDescent="0.25">
      <c r="A1345" s="5">
        <v>1344</v>
      </c>
      <c r="B1345" s="5">
        <f t="shared" si="101"/>
        <v>0</v>
      </c>
      <c r="C1345" s="5" t="str">
        <f t="shared" si="100"/>
        <v/>
      </c>
      <c r="D1345" s="5" t="str">
        <f>IFERROR(IF(F1345&lt;&gt;"",F1345,VLOOKUP(MAX(C$2:C1345),A$2:F1345,2,FALSE)),"")</f>
        <v/>
      </c>
      <c r="E1345" s="5" t="str">
        <f t="shared" si="102"/>
        <v/>
      </c>
      <c r="K1345" t="str">
        <f>IFERROR(IF(VLOOKUP(E:E,'Old Report'!E:J,6,FALSE)="","",VLOOKUP(E:E,'Old Report'!E:J,6,FALSE)),"")</f>
        <v/>
      </c>
      <c r="L1345" t="str">
        <f>IFERROR(IF(VLOOKUP(E:E,'Old Report'!E:L,8,FALSE)="","",VLOOKUP(E:E,'Old Report'!E:L,8,FALSE)),"")</f>
        <v/>
      </c>
      <c r="M1345" s="5" t="str">
        <f t="shared" si="103"/>
        <v/>
      </c>
      <c r="N1345" s="5" t="str">
        <f t="shared" si="104"/>
        <v/>
      </c>
    </row>
    <row r="1346" spans="1:14" x14ac:dyDescent="0.25">
      <c r="A1346" s="5">
        <v>1345</v>
      </c>
      <c r="B1346" s="5">
        <f t="shared" si="101"/>
        <v>0</v>
      </c>
      <c r="C1346" s="5" t="str">
        <f t="shared" ref="C1346:C1409" si="105">IF(F1346&lt;&gt;"",A1346,"")</f>
        <v/>
      </c>
      <c r="D1346" s="5" t="str">
        <f>IFERROR(IF(F1346&lt;&gt;"",F1346,VLOOKUP(MAX(C$2:C1346),A$2:F1346,2,FALSE)),"")</f>
        <v/>
      </c>
      <c r="E1346" s="5" t="str">
        <f t="shared" si="102"/>
        <v/>
      </c>
      <c r="K1346" t="str">
        <f>IFERROR(IF(VLOOKUP(E:E,'Old Report'!E:J,6,FALSE)="","",VLOOKUP(E:E,'Old Report'!E:J,6,FALSE)),"")</f>
        <v/>
      </c>
      <c r="L1346" t="str">
        <f>IFERROR(IF(VLOOKUP(E:E,'Old Report'!E:L,8,FALSE)="","",VLOOKUP(E:E,'Old Report'!E:L,8,FALSE)),"")</f>
        <v/>
      </c>
      <c r="M1346" s="5" t="str">
        <f t="shared" si="103"/>
        <v/>
      </c>
      <c r="N1346" s="5" t="str">
        <f t="shared" si="104"/>
        <v/>
      </c>
    </row>
    <row r="1347" spans="1:14" x14ac:dyDescent="0.25">
      <c r="A1347" s="5">
        <v>1346</v>
      </c>
      <c r="B1347" s="5">
        <f t="shared" ref="B1347:B1410" si="106">IF(F1348&lt;&gt;"",F1348,F1347)</f>
        <v>0</v>
      </c>
      <c r="C1347" s="5" t="str">
        <f t="shared" si="105"/>
        <v/>
      </c>
      <c r="D1347" s="5" t="str">
        <f>IFERROR(IF(F1347&lt;&gt;"",F1347,VLOOKUP(MAX(C$2:C1347),A$2:F1347,2,FALSE)),"")</f>
        <v/>
      </c>
      <c r="E1347" s="5" t="str">
        <f t="shared" ref="E1347:E1410" si="107">IF(H1347&lt;&gt;"",CONCATENATE(D1347,".",H1347),"")</f>
        <v/>
      </c>
      <c r="K1347" t="str">
        <f>IFERROR(IF(VLOOKUP(E:E,'Old Report'!E:J,6,FALSE)="","",VLOOKUP(E:E,'Old Report'!E:J,6,FALSE)),"")</f>
        <v/>
      </c>
      <c r="L1347" t="str">
        <f>IFERROR(IF(VLOOKUP(E:E,'Old Report'!E:L,8,FALSE)="","",VLOOKUP(E:E,'Old Report'!E:L,8,FALSE)),"")</f>
        <v/>
      </c>
      <c r="M1347" s="5" t="str">
        <f t="shared" si="103"/>
        <v/>
      </c>
      <c r="N1347" s="5" t="str">
        <f t="shared" si="104"/>
        <v/>
      </c>
    </row>
    <row r="1348" spans="1:14" x14ac:dyDescent="0.25">
      <c r="A1348" s="5">
        <v>1347</v>
      </c>
      <c r="B1348" s="5">
        <f t="shared" si="106"/>
        <v>0</v>
      </c>
      <c r="C1348" s="5" t="str">
        <f t="shared" si="105"/>
        <v/>
      </c>
      <c r="D1348" s="5" t="str">
        <f>IFERROR(IF(F1348&lt;&gt;"",F1348,VLOOKUP(MAX(C$2:C1348),A$2:F1348,2,FALSE)),"")</f>
        <v/>
      </c>
      <c r="E1348" s="5" t="str">
        <f t="shared" si="107"/>
        <v/>
      </c>
      <c r="K1348" t="str">
        <f>IFERROR(IF(VLOOKUP(E:E,'Old Report'!E:J,6,FALSE)="","",VLOOKUP(E:E,'Old Report'!E:J,6,FALSE)),"")</f>
        <v/>
      </c>
      <c r="L1348" t="str">
        <f>IFERROR(IF(VLOOKUP(E:E,'Old Report'!E:L,8,FALSE)="","",VLOOKUP(E:E,'Old Report'!E:L,8,FALSE)),"")</f>
        <v/>
      </c>
      <c r="M1348" s="5" t="str">
        <f t="shared" ref="M1348:M1411" si="108">IFERROR(L1348,"")</f>
        <v/>
      </c>
      <c r="N1348" s="5" t="str">
        <f t="shared" ref="N1348:N1411" si="109">IFERROR( IF(J1348&lt;&gt;"",IF(K1348 &lt;&gt; "",IF(J1348 = K1348,"No Change",IF(J1348 &lt; K1348,CONCATENATE("Issues reduced from ",K1348," to ",J1348),IF(J1348&gt;K1348,CONCATENATE("Issues increased from ",K1348," to ",J1348),""))),"New issue - needs to be checked"),""),"")</f>
        <v/>
      </c>
    </row>
    <row r="1349" spans="1:14" x14ac:dyDescent="0.25">
      <c r="A1349" s="5">
        <v>1348</v>
      </c>
      <c r="B1349" s="5">
        <f t="shared" si="106"/>
        <v>0</v>
      </c>
      <c r="C1349" s="5" t="str">
        <f t="shared" si="105"/>
        <v/>
      </c>
      <c r="D1349" s="5" t="str">
        <f>IFERROR(IF(F1349&lt;&gt;"",F1349,VLOOKUP(MAX(C$2:C1349),A$2:F1349,2,FALSE)),"")</f>
        <v/>
      </c>
      <c r="E1349" s="5" t="str">
        <f t="shared" si="107"/>
        <v/>
      </c>
      <c r="K1349" t="str">
        <f>IFERROR(IF(VLOOKUP(E:E,'Old Report'!E:J,6,FALSE)="","",VLOOKUP(E:E,'Old Report'!E:J,6,FALSE)),"")</f>
        <v/>
      </c>
      <c r="L1349" t="str">
        <f>IFERROR(IF(VLOOKUP(E:E,'Old Report'!E:L,8,FALSE)="","",VLOOKUP(E:E,'Old Report'!E:L,8,FALSE)),"")</f>
        <v/>
      </c>
      <c r="M1349" s="5" t="str">
        <f t="shared" si="108"/>
        <v/>
      </c>
      <c r="N1349" s="5" t="str">
        <f t="shared" si="109"/>
        <v/>
      </c>
    </row>
    <row r="1350" spans="1:14" x14ac:dyDescent="0.25">
      <c r="A1350" s="5">
        <v>1349</v>
      </c>
      <c r="B1350" s="5">
        <f t="shared" si="106"/>
        <v>0</v>
      </c>
      <c r="C1350" s="5" t="str">
        <f t="shared" si="105"/>
        <v/>
      </c>
      <c r="D1350" s="5" t="str">
        <f>IFERROR(IF(F1350&lt;&gt;"",F1350,VLOOKUP(MAX(C$2:C1350),A$2:F1350,2,FALSE)),"")</f>
        <v/>
      </c>
      <c r="E1350" s="5" t="str">
        <f t="shared" si="107"/>
        <v/>
      </c>
      <c r="K1350" t="str">
        <f>IFERROR(IF(VLOOKUP(E:E,'Old Report'!E:J,6,FALSE)="","",VLOOKUP(E:E,'Old Report'!E:J,6,FALSE)),"")</f>
        <v/>
      </c>
      <c r="L1350" t="str">
        <f>IFERROR(IF(VLOOKUP(E:E,'Old Report'!E:L,8,FALSE)="","",VLOOKUP(E:E,'Old Report'!E:L,8,FALSE)),"")</f>
        <v/>
      </c>
      <c r="M1350" s="5" t="str">
        <f t="shared" si="108"/>
        <v/>
      </c>
      <c r="N1350" s="5" t="str">
        <f t="shared" si="109"/>
        <v/>
      </c>
    </row>
    <row r="1351" spans="1:14" x14ac:dyDescent="0.25">
      <c r="A1351" s="5">
        <v>1350</v>
      </c>
      <c r="B1351" s="5">
        <f t="shared" si="106"/>
        <v>0</v>
      </c>
      <c r="C1351" s="5" t="str">
        <f t="shared" si="105"/>
        <v/>
      </c>
      <c r="D1351" s="5" t="str">
        <f>IFERROR(IF(F1351&lt;&gt;"",F1351,VLOOKUP(MAX(C$2:C1351),A$2:F1351,2,FALSE)),"")</f>
        <v/>
      </c>
      <c r="E1351" s="5" t="str">
        <f t="shared" si="107"/>
        <v/>
      </c>
      <c r="K1351" t="str">
        <f>IFERROR(IF(VLOOKUP(E:E,'Old Report'!E:J,6,FALSE)="","",VLOOKUP(E:E,'Old Report'!E:J,6,FALSE)),"")</f>
        <v/>
      </c>
      <c r="L1351" t="str">
        <f>IFERROR(IF(VLOOKUP(E:E,'Old Report'!E:L,8,FALSE)="","",VLOOKUP(E:E,'Old Report'!E:L,8,FALSE)),"")</f>
        <v/>
      </c>
      <c r="M1351" s="5" t="str">
        <f t="shared" si="108"/>
        <v/>
      </c>
      <c r="N1351" s="5" t="str">
        <f t="shared" si="109"/>
        <v/>
      </c>
    </row>
    <row r="1352" spans="1:14" x14ac:dyDescent="0.25">
      <c r="A1352" s="5">
        <v>1351</v>
      </c>
      <c r="B1352" s="5">
        <f t="shared" si="106"/>
        <v>0</v>
      </c>
      <c r="C1352" s="5" t="str">
        <f t="shared" si="105"/>
        <v/>
      </c>
      <c r="D1352" s="5" t="str">
        <f>IFERROR(IF(F1352&lt;&gt;"",F1352,VLOOKUP(MAX(C$2:C1352),A$2:F1352,2,FALSE)),"")</f>
        <v/>
      </c>
      <c r="E1352" s="5" t="str">
        <f t="shared" si="107"/>
        <v/>
      </c>
      <c r="K1352" t="str">
        <f>IFERROR(IF(VLOOKUP(E:E,'Old Report'!E:J,6,FALSE)="","",VLOOKUP(E:E,'Old Report'!E:J,6,FALSE)),"")</f>
        <v/>
      </c>
      <c r="L1352" t="str">
        <f>IFERROR(IF(VLOOKUP(E:E,'Old Report'!E:L,8,FALSE)="","",VLOOKUP(E:E,'Old Report'!E:L,8,FALSE)),"")</f>
        <v/>
      </c>
      <c r="M1352" s="5" t="str">
        <f t="shared" si="108"/>
        <v/>
      </c>
      <c r="N1352" s="5" t="str">
        <f t="shared" si="109"/>
        <v/>
      </c>
    </row>
    <row r="1353" spans="1:14" x14ac:dyDescent="0.25">
      <c r="A1353" s="5">
        <v>1352</v>
      </c>
      <c r="B1353" s="5">
        <f t="shared" si="106"/>
        <v>0</v>
      </c>
      <c r="C1353" s="5" t="str">
        <f t="shared" si="105"/>
        <v/>
      </c>
      <c r="D1353" s="5" t="str">
        <f>IFERROR(IF(F1353&lt;&gt;"",F1353,VLOOKUP(MAX(C$2:C1353),A$2:F1353,2,FALSE)),"")</f>
        <v/>
      </c>
      <c r="E1353" s="5" t="str">
        <f t="shared" si="107"/>
        <v/>
      </c>
      <c r="K1353" t="str">
        <f>IFERROR(IF(VLOOKUP(E:E,'Old Report'!E:J,6,FALSE)="","",VLOOKUP(E:E,'Old Report'!E:J,6,FALSE)),"")</f>
        <v/>
      </c>
      <c r="L1353" t="str">
        <f>IFERROR(IF(VLOOKUP(E:E,'Old Report'!E:L,8,FALSE)="","",VLOOKUP(E:E,'Old Report'!E:L,8,FALSE)),"")</f>
        <v/>
      </c>
      <c r="M1353" s="5" t="str">
        <f t="shared" si="108"/>
        <v/>
      </c>
      <c r="N1353" s="5" t="str">
        <f t="shared" si="109"/>
        <v/>
      </c>
    </row>
    <row r="1354" spans="1:14" x14ac:dyDescent="0.25">
      <c r="A1354" s="5">
        <v>1353</v>
      </c>
      <c r="B1354" s="5">
        <f t="shared" si="106"/>
        <v>0</v>
      </c>
      <c r="C1354" s="5" t="str">
        <f t="shared" si="105"/>
        <v/>
      </c>
      <c r="D1354" s="5" t="str">
        <f>IFERROR(IF(F1354&lt;&gt;"",F1354,VLOOKUP(MAX(C$2:C1354),A$2:F1354,2,FALSE)),"")</f>
        <v/>
      </c>
      <c r="E1354" s="5" t="str">
        <f t="shared" si="107"/>
        <v/>
      </c>
      <c r="K1354" t="str">
        <f>IFERROR(IF(VLOOKUP(E:E,'Old Report'!E:J,6,FALSE)="","",VLOOKUP(E:E,'Old Report'!E:J,6,FALSE)),"")</f>
        <v/>
      </c>
      <c r="L1354" t="str">
        <f>IFERROR(IF(VLOOKUP(E:E,'Old Report'!E:L,8,FALSE)="","",VLOOKUP(E:E,'Old Report'!E:L,8,FALSE)),"")</f>
        <v/>
      </c>
      <c r="M1354" s="5" t="str">
        <f t="shared" si="108"/>
        <v/>
      </c>
      <c r="N1354" s="5" t="str">
        <f t="shared" si="109"/>
        <v/>
      </c>
    </row>
    <row r="1355" spans="1:14" x14ac:dyDescent="0.25">
      <c r="A1355" s="5">
        <v>1354</v>
      </c>
      <c r="B1355" s="5">
        <f t="shared" si="106"/>
        <v>0</v>
      </c>
      <c r="C1355" s="5" t="str">
        <f t="shared" si="105"/>
        <v/>
      </c>
      <c r="D1355" s="5" t="str">
        <f>IFERROR(IF(F1355&lt;&gt;"",F1355,VLOOKUP(MAX(C$2:C1355),A$2:F1355,2,FALSE)),"")</f>
        <v/>
      </c>
      <c r="E1355" s="5" t="str">
        <f t="shared" si="107"/>
        <v/>
      </c>
      <c r="K1355" t="str">
        <f>IFERROR(IF(VLOOKUP(E:E,'Old Report'!E:J,6,FALSE)="","",VLOOKUP(E:E,'Old Report'!E:J,6,FALSE)),"")</f>
        <v/>
      </c>
      <c r="L1355" t="str">
        <f>IFERROR(IF(VLOOKUP(E:E,'Old Report'!E:L,8,FALSE)="","",VLOOKUP(E:E,'Old Report'!E:L,8,FALSE)),"")</f>
        <v/>
      </c>
      <c r="M1355" s="5" t="str">
        <f t="shared" si="108"/>
        <v/>
      </c>
      <c r="N1355" s="5" t="str">
        <f t="shared" si="109"/>
        <v/>
      </c>
    </row>
    <row r="1356" spans="1:14" x14ac:dyDescent="0.25">
      <c r="A1356" s="5">
        <v>1355</v>
      </c>
      <c r="B1356" s="5">
        <f t="shared" si="106"/>
        <v>0</v>
      </c>
      <c r="C1356" s="5" t="str">
        <f t="shared" si="105"/>
        <v/>
      </c>
      <c r="D1356" s="5" t="str">
        <f>IFERROR(IF(F1356&lt;&gt;"",F1356,VLOOKUP(MAX(C$2:C1356),A$2:F1356,2,FALSE)),"")</f>
        <v/>
      </c>
      <c r="E1356" s="5" t="str">
        <f t="shared" si="107"/>
        <v/>
      </c>
      <c r="K1356" t="str">
        <f>IFERROR(IF(VLOOKUP(E:E,'Old Report'!E:J,6,FALSE)="","",VLOOKUP(E:E,'Old Report'!E:J,6,FALSE)),"")</f>
        <v/>
      </c>
      <c r="L1356" t="str">
        <f>IFERROR(IF(VLOOKUP(E:E,'Old Report'!E:L,8,FALSE)="","",VLOOKUP(E:E,'Old Report'!E:L,8,FALSE)),"")</f>
        <v/>
      </c>
      <c r="M1356" s="5" t="str">
        <f t="shared" si="108"/>
        <v/>
      </c>
      <c r="N1356" s="5" t="str">
        <f t="shared" si="109"/>
        <v/>
      </c>
    </row>
    <row r="1357" spans="1:14" x14ac:dyDescent="0.25">
      <c r="A1357" s="5">
        <v>1356</v>
      </c>
      <c r="B1357" s="5">
        <f t="shared" si="106"/>
        <v>0</v>
      </c>
      <c r="C1357" s="5" t="str">
        <f t="shared" si="105"/>
        <v/>
      </c>
      <c r="D1357" s="5" t="str">
        <f>IFERROR(IF(F1357&lt;&gt;"",F1357,VLOOKUP(MAX(C$2:C1357),A$2:F1357,2,FALSE)),"")</f>
        <v/>
      </c>
      <c r="E1357" s="5" t="str">
        <f t="shared" si="107"/>
        <v/>
      </c>
      <c r="K1357" t="str">
        <f>IFERROR(IF(VLOOKUP(E:E,'Old Report'!E:J,6,FALSE)="","",VLOOKUP(E:E,'Old Report'!E:J,6,FALSE)),"")</f>
        <v/>
      </c>
      <c r="L1357" t="str">
        <f>IFERROR(IF(VLOOKUP(E:E,'Old Report'!E:L,8,FALSE)="","",VLOOKUP(E:E,'Old Report'!E:L,8,FALSE)),"")</f>
        <v/>
      </c>
      <c r="M1357" s="5" t="str">
        <f t="shared" si="108"/>
        <v/>
      </c>
      <c r="N1357" s="5" t="str">
        <f t="shared" si="109"/>
        <v/>
      </c>
    </row>
    <row r="1358" spans="1:14" x14ac:dyDescent="0.25">
      <c r="A1358" s="5">
        <v>1357</v>
      </c>
      <c r="B1358" s="5">
        <f t="shared" si="106"/>
        <v>0</v>
      </c>
      <c r="C1358" s="5" t="str">
        <f t="shared" si="105"/>
        <v/>
      </c>
      <c r="D1358" s="5" t="str">
        <f>IFERROR(IF(F1358&lt;&gt;"",F1358,VLOOKUP(MAX(C$2:C1358),A$2:F1358,2,FALSE)),"")</f>
        <v/>
      </c>
      <c r="E1358" s="5" t="str">
        <f t="shared" si="107"/>
        <v/>
      </c>
      <c r="K1358" t="str">
        <f>IFERROR(IF(VLOOKUP(E:E,'Old Report'!E:J,6,FALSE)="","",VLOOKUP(E:E,'Old Report'!E:J,6,FALSE)),"")</f>
        <v/>
      </c>
      <c r="L1358" t="str">
        <f>IFERROR(IF(VLOOKUP(E:E,'Old Report'!E:L,8,FALSE)="","",VLOOKUP(E:E,'Old Report'!E:L,8,FALSE)),"")</f>
        <v/>
      </c>
      <c r="M1358" s="5" t="str">
        <f t="shared" si="108"/>
        <v/>
      </c>
      <c r="N1358" s="5" t="str">
        <f t="shared" si="109"/>
        <v/>
      </c>
    </row>
    <row r="1359" spans="1:14" x14ac:dyDescent="0.25">
      <c r="A1359" s="5">
        <v>1358</v>
      </c>
      <c r="B1359" s="5">
        <f t="shared" si="106"/>
        <v>0</v>
      </c>
      <c r="C1359" s="5" t="str">
        <f t="shared" si="105"/>
        <v/>
      </c>
      <c r="D1359" s="5" t="str">
        <f>IFERROR(IF(F1359&lt;&gt;"",F1359,VLOOKUP(MAX(C$2:C1359),A$2:F1359,2,FALSE)),"")</f>
        <v/>
      </c>
      <c r="E1359" s="5" t="str">
        <f t="shared" si="107"/>
        <v/>
      </c>
      <c r="K1359" t="str">
        <f>IFERROR(IF(VLOOKUP(E:E,'Old Report'!E:J,6,FALSE)="","",VLOOKUP(E:E,'Old Report'!E:J,6,FALSE)),"")</f>
        <v/>
      </c>
      <c r="L1359" t="str">
        <f>IFERROR(IF(VLOOKUP(E:E,'Old Report'!E:L,8,FALSE)="","",VLOOKUP(E:E,'Old Report'!E:L,8,FALSE)),"")</f>
        <v/>
      </c>
      <c r="M1359" s="5" t="str">
        <f t="shared" si="108"/>
        <v/>
      </c>
      <c r="N1359" s="5" t="str">
        <f t="shared" si="109"/>
        <v/>
      </c>
    </row>
    <row r="1360" spans="1:14" x14ac:dyDescent="0.25">
      <c r="A1360" s="5">
        <v>1359</v>
      </c>
      <c r="B1360" s="5">
        <f t="shared" si="106"/>
        <v>0</v>
      </c>
      <c r="C1360" s="5" t="str">
        <f t="shared" si="105"/>
        <v/>
      </c>
      <c r="D1360" s="5" t="str">
        <f>IFERROR(IF(F1360&lt;&gt;"",F1360,VLOOKUP(MAX(C$2:C1360),A$2:F1360,2,FALSE)),"")</f>
        <v/>
      </c>
      <c r="E1360" s="5" t="str">
        <f t="shared" si="107"/>
        <v/>
      </c>
      <c r="K1360" t="str">
        <f>IFERROR(IF(VLOOKUP(E:E,'Old Report'!E:J,6,FALSE)="","",VLOOKUP(E:E,'Old Report'!E:J,6,FALSE)),"")</f>
        <v/>
      </c>
      <c r="L1360" t="str">
        <f>IFERROR(IF(VLOOKUP(E:E,'Old Report'!E:L,8,FALSE)="","",VLOOKUP(E:E,'Old Report'!E:L,8,FALSE)),"")</f>
        <v/>
      </c>
      <c r="M1360" s="5" t="str">
        <f t="shared" si="108"/>
        <v/>
      </c>
      <c r="N1360" s="5" t="str">
        <f t="shared" si="109"/>
        <v/>
      </c>
    </row>
    <row r="1361" spans="1:14" x14ac:dyDescent="0.25">
      <c r="A1361" s="5">
        <v>1360</v>
      </c>
      <c r="B1361" s="5">
        <f t="shared" si="106"/>
        <v>0</v>
      </c>
      <c r="C1361" s="5" t="str">
        <f t="shared" si="105"/>
        <v/>
      </c>
      <c r="D1361" s="5" t="str">
        <f>IFERROR(IF(F1361&lt;&gt;"",F1361,VLOOKUP(MAX(C$2:C1361),A$2:F1361,2,FALSE)),"")</f>
        <v/>
      </c>
      <c r="E1361" s="5" t="str">
        <f t="shared" si="107"/>
        <v/>
      </c>
      <c r="K1361" t="str">
        <f>IFERROR(IF(VLOOKUP(E:E,'Old Report'!E:J,6,FALSE)="","",VLOOKUP(E:E,'Old Report'!E:J,6,FALSE)),"")</f>
        <v/>
      </c>
      <c r="L1361" t="str">
        <f>IFERROR(IF(VLOOKUP(E:E,'Old Report'!E:L,8,FALSE)="","",VLOOKUP(E:E,'Old Report'!E:L,8,FALSE)),"")</f>
        <v/>
      </c>
      <c r="M1361" s="5" t="str">
        <f t="shared" si="108"/>
        <v/>
      </c>
      <c r="N1361" s="5" t="str">
        <f t="shared" si="109"/>
        <v/>
      </c>
    </row>
    <row r="1362" spans="1:14" x14ac:dyDescent="0.25">
      <c r="A1362" s="5">
        <v>1361</v>
      </c>
      <c r="B1362" s="5">
        <f t="shared" si="106"/>
        <v>0</v>
      </c>
      <c r="C1362" s="5" t="str">
        <f t="shared" si="105"/>
        <v/>
      </c>
      <c r="D1362" s="5" t="str">
        <f>IFERROR(IF(F1362&lt;&gt;"",F1362,VLOOKUP(MAX(C$2:C1362),A$2:F1362,2,FALSE)),"")</f>
        <v/>
      </c>
      <c r="E1362" s="5" t="str">
        <f t="shared" si="107"/>
        <v/>
      </c>
      <c r="K1362" t="str">
        <f>IFERROR(IF(VLOOKUP(E:E,'Old Report'!E:J,6,FALSE)="","",VLOOKUP(E:E,'Old Report'!E:J,6,FALSE)),"")</f>
        <v/>
      </c>
      <c r="L1362" t="str">
        <f>IFERROR(IF(VLOOKUP(E:E,'Old Report'!E:L,8,FALSE)="","",VLOOKUP(E:E,'Old Report'!E:L,8,FALSE)),"")</f>
        <v/>
      </c>
      <c r="M1362" s="5" t="str">
        <f t="shared" si="108"/>
        <v/>
      </c>
      <c r="N1362" s="5" t="str">
        <f t="shared" si="109"/>
        <v/>
      </c>
    </row>
    <row r="1363" spans="1:14" x14ac:dyDescent="0.25">
      <c r="A1363" s="5">
        <v>1362</v>
      </c>
      <c r="B1363" s="5">
        <f t="shared" si="106"/>
        <v>0</v>
      </c>
      <c r="C1363" s="5" t="str">
        <f t="shared" si="105"/>
        <v/>
      </c>
      <c r="D1363" s="5" t="str">
        <f>IFERROR(IF(F1363&lt;&gt;"",F1363,VLOOKUP(MAX(C$2:C1363),A$2:F1363,2,FALSE)),"")</f>
        <v/>
      </c>
      <c r="E1363" s="5" t="str">
        <f t="shared" si="107"/>
        <v/>
      </c>
      <c r="K1363" t="str">
        <f>IFERROR(IF(VLOOKUP(E:E,'Old Report'!E:J,6,FALSE)="","",VLOOKUP(E:E,'Old Report'!E:J,6,FALSE)),"")</f>
        <v/>
      </c>
      <c r="L1363" t="str">
        <f>IFERROR(IF(VLOOKUP(E:E,'Old Report'!E:L,8,FALSE)="","",VLOOKUP(E:E,'Old Report'!E:L,8,FALSE)),"")</f>
        <v/>
      </c>
      <c r="M1363" s="5" t="str">
        <f t="shared" si="108"/>
        <v/>
      </c>
      <c r="N1363" s="5" t="str">
        <f t="shared" si="109"/>
        <v/>
      </c>
    </row>
    <row r="1364" spans="1:14" x14ac:dyDescent="0.25">
      <c r="A1364" s="5">
        <v>1363</v>
      </c>
      <c r="B1364" s="5">
        <f t="shared" si="106"/>
        <v>0</v>
      </c>
      <c r="C1364" s="5" t="str">
        <f t="shared" si="105"/>
        <v/>
      </c>
      <c r="D1364" s="5" t="str">
        <f>IFERROR(IF(F1364&lt;&gt;"",F1364,VLOOKUP(MAX(C$2:C1364),A$2:F1364,2,FALSE)),"")</f>
        <v/>
      </c>
      <c r="E1364" s="5" t="str">
        <f t="shared" si="107"/>
        <v/>
      </c>
      <c r="K1364" t="str">
        <f>IFERROR(IF(VLOOKUP(E:E,'Old Report'!E:J,6,FALSE)="","",VLOOKUP(E:E,'Old Report'!E:J,6,FALSE)),"")</f>
        <v/>
      </c>
      <c r="L1364" t="str">
        <f>IFERROR(IF(VLOOKUP(E:E,'Old Report'!E:L,8,FALSE)="","",VLOOKUP(E:E,'Old Report'!E:L,8,FALSE)),"")</f>
        <v/>
      </c>
      <c r="M1364" s="5" t="str">
        <f t="shared" si="108"/>
        <v/>
      </c>
      <c r="N1364" s="5" t="str">
        <f t="shared" si="109"/>
        <v/>
      </c>
    </row>
    <row r="1365" spans="1:14" x14ac:dyDescent="0.25">
      <c r="A1365" s="5">
        <v>1364</v>
      </c>
      <c r="B1365" s="5">
        <f t="shared" si="106"/>
        <v>0</v>
      </c>
      <c r="C1365" s="5" t="str">
        <f t="shared" si="105"/>
        <v/>
      </c>
      <c r="D1365" s="5" t="str">
        <f>IFERROR(IF(F1365&lt;&gt;"",F1365,VLOOKUP(MAX(C$2:C1365),A$2:F1365,2,FALSE)),"")</f>
        <v/>
      </c>
      <c r="E1365" s="5" t="str">
        <f t="shared" si="107"/>
        <v/>
      </c>
      <c r="K1365" t="str">
        <f>IFERROR(IF(VLOOKUP(E:E,'Old Report'!E:J,6,FALSE)="","",VLOOKUP(E:E,'Old Report'!E:J,6,FALSE)),"")</f>
        <v/>
      </c>
      <c r="L1365" t="str">
        <f>IFERROR(IF(VLOOKUP(E:E,'Old Report'!E:L,8,FALSE)="","",VLOOKUP(E:E,'Old Report'!E:L,8,FALSE)),"")</f>
        <v/>
      </c>
      <c r="M1365" s="5" t="str">
        <f t="shared" si="108"/>
        <v/>
      </c>
      <c r="N1365" s="5" t="str">
        <f t="shared" si="109"/>
        <v/>
      </c>
    </row>
    <row r="1366" spans="1:14" x14ac:dyDescent="0.25">
      <c r="A1366" s="5">
        <v>1365</v>
      </c>
      <c r="B1366" s="5">
        <f t="shared" si="106"/>
        <v>0</v>
      </c>
      <c r="C1366" s="5" t="str">
        <f t="shared" si="105"/>
        <v/>
      </c>
      <c r="D1366" s="5" t="str">
        <f>IFERROR(IF(F1366&lt;&gt;"",F1366,VLOOKUP(MAX(C$2:C1366),A$2:F1366,2,FALSE)),"")</f>
        <v/>
      </c>
      <c r="E1366" s="5" t="str">
        <f t="shared" si="107"/>
        <v/>
      </c>
      <c r="K1366" t="str">
        <f>IFERROR(IF(VLOOKUP(E:E,'Old Report'!E:J,6,FALSE)="","",VLOOKUP(E:E,'Old Report'!E:J,6,FALSE)),"")</f>
        <v/>
      </c>
      <c r="L1366" t="str">
        <f>IFERROR(IF(VLOOKUP(E:E,'Old Report'!E:L,8,FALSE)="","",VLOOKUP(E:E,'Old Report'!E:L,8,FALSE)),"")</f>
        <v/>
      </c>
      <c r="M1366" s="5" t="str">
        <f t="shared" si="108"/>
        <v/>
      </c>
      <c r="N1366" s="5" t="str">
        <f t="shared" si="109"/>
        <v/>
      </c>
    </row>
    <row r="1367" spans="1:14" x14ac:dyDescent="0.25">
      <c r="A1367" s="5">
        <v>1366</v>
      </c>
      <c r="B1367" s="5">
        <f t="shared" si="106"/>
        <v>0</v>
      </c>
      <c r="C1367" s="5" t="str">
        <f t="shared" si="105"/>
        <v/>
      </c>
      <c r="D1367" s="5" t="str">
        <f>IFERROR(IF(F1367&lt;&gt;"",F1367,VLOOKUP(MAX(C$2:C1367),A$2:F1367,2,FALSE)),"")</f>
        <v/>
      </c>
      <c r="E1367" s="5" t="str">
        <f t="shared" si="107"/>
        <v/>
      </c>
      <c r="K1367" t="str">
        <f>IFERROR(IF(VLOOKUP(E:E,'Old Report'!E:J,6,FALSE)="","",VLOOKUP(E:E,'Old Report'!E:J,6,FALSE)),"")</f>
        <v/>
      </c>
      <c r="L1367" t="str">
        <f>IFERROR(IF(VLOOKUP(E:E,'Old Report'!E:L,8,FALSE)="","",VLOOKUP(E:E,'Old Report'!E:L,8,FALSE)),"")</f>
        <v/>
      </c>
      <c r="M1367" s="5" t="str">
        <f t="shared" si="108"/>
        <v/>
      </c>
      <c r="N1367" s="5" t="str">
        <f t="shared" si="109"/>
        <v/>
      </c>
    </row>
    <row r="1368" spans="1:14" x14ac:dyDescent="0.25">
      <c r="A1368" s="5">
        <v>1367</v>
      </c>
      <c r="B1368" s="5">
        <f t="shared" si="106"/>
        <v>0</v>
      </c>
      <c r="C1368" s="5" t="str">
        <f t="shared" si="105"/>
        <v/>
      </c>
      <c r="D1368" s="5" t="str">
        <f>IFERROR(IF(F1368&lt;&gt;"",F1368,VLOOKUP(MAX(C$2:C1368),A$2:F1368,2,FALSE)),"")</f>
        <v/>
      </c>
      <c r="E1368" s="5" t="str">
        <f t="shared" si="107"/>
        <v/>
      </c>
      <c r="K1368" t="str">
        <f>IFERROR(IF(VLOOKUP(E:E,'Old Report'!E:J,6,FALSE)="","",VLOOKUP(E:E,'Old Report'!E:J,6,FALSE)),"")</f>
        <v/>
      </c>
      <c r="L1368" t="str">
        <f>IFERROR(IF(VLOOKUP(E:E,'Old Report'!E:L,8,FALSE)="","",VLOOKUP(E:E,'Old Report'!E:L,8,FALSE)),"")</f>
        <v/>
      </c>
      <c r="M1368" s="5" t="str">
        <f t="shared" si="108"/>
        <v/>
      </c>
      <c r="N1368" s="5" t="str">
        <f t="shared" si="109"/>
        <v/>
      </c>
    </row>
    <row r="1369" spans="1:14" x14ac:dyDescent="0.25">
      <c r="A1369" s="5">
        <v>1368</v>
      </c>
      <c r="B1369" s="5">
        <f t="shared" si="106"/>
        <v>0</v>
      </c>
      <c r="C1369" s="5" t="str">
        <f t="shared" si="105"/>
        <v/>
      </c>
      <c r="D1369" s="5" t="str">
        <f>IFERROR(IF(F1369&lt;&gt;"",F1369,VLOOKUP(MAX(C$2:C1369),A$2:F1369,2,FALSE)),"")</f>
        <v/>
      </c>
      <c r="E1369" s="5" t="str">
        <f t="shared" si="107"/>
        <v/>
      </c>
      <c r="K1369" t="str">
        <f>IFERROR(IF(VLOOKUP(E:E,'Old Report'!E:J,6,FALSE)="","",VLOOKUP(E:E,'Old Report'!E:J,6,FALSE)),"")</f>
        <v/>
      </c>
      <c r="L1369" t="str">
        <f>IFERROR(IF(VLOOKUP(E:E,'Old Report'!E:L,8,FALSE)="","",VLOOKUP(E:E,'Old Report'!E:L,8,FALSE)),"")</f>
        <v/>
      </c>
      <c r="M1369" s="5" t="str">
        <f t="shared" si="108"/>
        <v/>
      </c>
      <c r="N1369" s="5" t="str">
        <f t="shared" si="109"/>
        <v/>
      </c>
    </row>
    <row r="1370" spans="1:14" x14ac:dyDescent="0.25">
      <c r="A1370" s="5">
        <v>1369</v>
      </c>
      <c r="B1370" s="5">
        <f t="shared" si="106"/>
        <v>0</v>
      </c>
      <c r="C1370" s="5" t="str">
        <f t="shared" si="105"/>
        <v/>
      </c>
      <c r="D1370" s="5" t="str">
        <f>IFERROR(IF(F1370&lt;&gt;"",F1370,VLOOKUP(MAX(C$2:C1370),A$2:F1370,2,FALSE)),"")</f>
        <v/>
      </c>
      <c r="E1370" s="5" t="str">
        <f t="shared" si="107"/>
        <v/>
      </c>
      <c r="K1370" t="str">
        <f>IFERROR(IF(VLOOKUP(E:E,'Old Report'!E:J,6,FALSE)="","",VLOOKUP(E:E,'Old Report'!E:J,6,FALSE)),"")</f>
        <v/>
      </c>
      <c r="L1370" t="str">
        <f>IFERROR(IF(VLOOKUP(E:E,'Old Report'!E:L,8,FALSE)="","",VLOOKUP(E:E,'Old Report'!E:L,8,FALSE)),"")</f>
        <v/>
      </c>
      <c r="M1370" s="5" t="str">
        <f t="shared" si="108"/>
        <v/>
      </c>
      <c r="N1370" s="5" t="str">
        <f t="shared" si="109"/>
        <v/>
      </c>
    </row>
    <row r="1371" spans="1:14" x14ac:dyDescent="0.25">
      <c r="A1371" s="5">
        <v>1370</v>
      </c>
      <c r="B1371" s="5">
        <f t="shared" si="106"/>
        <v>0</v>
      </c>
      <c r="C1371" s="5" t="str">
        <f t="shared" si="105"/>
        <v/>
      </c>
      <c r="D1371" s="5" t="str">
        <f>IFERROR(IF(F1371&lt;&gt;"",F1371,VLOOKUP(MAX(C$2:C1371),A$2:F1371,2,FALSE)),"")</f>
        <v/>
      </c>
      <c r="E1371" s="5" t="str">
        <f t="shared" si="107"/>
        <v/>
      </c>
      <c r="K1371" t="str">
        <f>IFERROR(IF(VLOOKUP(E:E,'Old Report'!E:J,6,FALSE)="","",VLOOKUP(E:E,'Old Report'!E:J,6,FALSE)),"")</f>
        <v/>
      </c>
      <c r="L1371" t="str">
        <f>IFERROR(IF(VLOOKUP(E:E,'Old Report'!E:L,8,FALSE)="","",VLOOKUP(E:E,'Old Report'!E:L,8,FALSE)),"")</f>
        <v/>
      </c>
      <c r="M1371" s="5" t="str">
        <f t="shared" si="108"/>
        <v/>
      </c>
      <c r="N1371" s="5" t="str">
        <f t="shared" si="109"/>
        <v/>
      </c>
    </row>
    <row r="1372" spans="1:14" x14ac:dyDescent="0.25">
      <c r="A1372" s="5">
        <v>1371</v>
      </c>
      <c r="B1372" s="5">
        <f t="shared" si="106"/>
        <v>0</v>
      </c>
      <c r="C1372" s="5" t="str">
        <f t="shared" si="105"/>
        <v/>
      </c>
      <c r="D1372" s="5" t="str">
        <f>IFERROR(IF(F1372&lt;&gt;"",F1372,VLOOKUP(MAX(C$2:C1372),A$2:F1372,2,FALSE)),"")</f>
        <v/>
      </c>
      <c r="E1372" s="5" t="str">
        <f t="shared" si="107"/>
        <v/>
      </c>
      <c r="K1372" t="str">
        <f>IFERROR(IF(VLOOKUP(E:E,'Old Report'!E:J,6,FALSE)="","",VLOOKUP(E:E,'Old Report'!E:J,6,FALSE)),"")</f>
        <v/>
      </c>
      <c r="L1372" t="str">
        <f>IFERROR(IF(VLOOKUP(E:E,'Old Report'!E:L,8,FALSE)="","",VLOOKUP(E:E,'Old Report'!E:L,8,FALSE)),"")</f>
        <v/>
      </c>
      <c r="M1372" s="5" t="str">
        <f t="shared" si="108"/>
        <v/>
      </c>
      <c r="N1372" s="5" t="str">
        <f t="shared" si="109"/>
        <v/>
      </c>
    </row>
    <row r="1373" spans="1:14" x14ac:dyDescent="0.25">
      <c r="A1373" s="5">
        <v>1372</v>
      </c>
      <c r="B1373" s="5">
        <f t="shared" si="106"/>
        <v>0</v>
      </c>
      <c r="C1373" s="5" t="str">
        <f t="shared" si="105"/>
        <v/>
      </c>
      <c r="D1373" s="5" t="str">
        <f>IFERROR(IF(F1373&lt;&gt;"",F1373,VLOOKUP(MAX(C$2:C1373),A$2:F1373,2,FALSE)),"")</f>
        <v/>
      </c>
      <c r="E1373" s="5" t="str">
        <f t="shared" si="107"/>
        <v/>
      </c>
      <c r="K1373" t="str">
        <f>IFERROR(IF(VLOOKUP(E:E,'Old Report'!E:J,6,FALSE)="","",VLOOKUP(E:E,'Old Report'!E:J,6,FALSE)),"")</f>
        <v/>
      </c>
      <c r="L1373" t="str">
        <f>IFERROR(IF(VLOOKUP(E:E,'Old Report'!E:L,8,FALSE)="","",VLOOKUP(E:E,'Old Report'!E:L,8,FALSE)),"")</f>
        <v/>
      </c>
      <c r="M1373" s="5" t="str">
        <f t="shared" si="108"/>
        <v/>
      </c>
      <c r="N1373" s="5" t="str">
        <f t="shared" si="109"/>
        <v/>
      </c>
    </row>
    <row r="1374" spans="1:14" x14ac:dyDescent="0.25">
      <c r="A1374" s="5">
        <v>1373</v>
      </c>
      <c r="B1374" s="5">
        <f t="shared" si="106"/>
        <v>0</v>
      </c>
      <c r="C1374" s="5" t="str">
        <f t="shared" si="105"/>
        <v/>
      </c>
      <c r="D1374" s="5" t="str">
        <f>IFERROR(IF(F1374&lt;&gt;"",F1374,VLOOKUP(MAX(C$2:C1374),A$2:F1374,2,FALSE)),"")</f>
        <v/>
      </c>
      <c r="E1374" s="5" t="str">
        <f t="shared" si="107"/>
        <v/>
      </c>
      <c r="K1374" t="str">
        <f>IFERROR(IF(VLOOKUP(E:E,'Old Report'!E:J,6,FALSE)="","",VLOOKUP(E:E,'Old Report'!E:J,6,FALSE)),"")</f>
        <v/>
      </c>
      <c r="L1374" t="str">
        <f>IFERROR(IF(VLOOKUP(E:E,'Old Report'!E:L,8,FALSE)="","",VLOOKUP(E:E,'Old Report'!E:L,8,FALSE)),"")</f>
        <v/>
      </c>
      <c r="M1374" s="5" t="str">
        <f t="shared" si="108"/>
        <v/>
      </c>
      <c r="N1374" s="5" t="str">
        <f t="shared" si="109"/>
        <v/>
      </c>
    </row>
    <row r="1375" spans="1:14" x14ac:dyDescent="0.25">
      <c r="A1375" s="5">
        <v>1374</v>
      </c>
      <c r="B1375" s="5">
        <f t="shared" si="106"/>
        <v>0</v>
      </c>
      <c r="C1375" s="5" t="str">
        <f t="shared" si="105"/>
        <v/>
      </c>
      <c r="D1375" s="5" t="str">
        <f>IFERROR(IF(F1375&lt;&gt;"",F1375,VLOOKUP(MAX(C$2:C1375),A$2:F1375,2,FALSE)),"")</f>
        <v/>
      </c>
      <c r="E1375" s="5" t="str">
        <f t="shared" si="107"/>
        <v/>
      </c>
      <c r="K1375" t="str">
        <f>IFERROR(IF(VLOOKUP(E:E,'Old Report'!E:J,6,FALSE)="","",VLOOKUP(E:E,'Old Report'!E:J,6,FALSE)),"")</f>
        <v/>
      </c>
      <c r="L1375" t="str">
        <f>IFERROR(IF(VLOOKUP(E:E,'Old Report'!E:L,8,FALSE)="","",VLOOKUP(E:E,'Old Report'!E:L,8,FALSE)),"")</f>
        <v/>
      </c>
      <c r="M1375" s="5" t="str">
        <f t="shared" si="108"/>
        <v/>
      </c>
      <c r="N1375" s="5" t="str">
        <f t="shared" si="109"/>
        <v/>
      </c>
    </row>
    <row r="1376" spans="1:14" x14ac:dyDescent="0.25">
      <c r="A1376" s="5">
        <v>1375</v>
      </c>
      <c r="B1376" s="5">
        <f t="shared" si="106"/>
        <v>0</v>
      </c>
      <c r="C1376" s="5" t="str">
        <f t="shared" si="105"/>
        <v/>
      </c>
      <c r="D1376" s="5" t="str">
        <f>IFERROR(IF(F1376&lt;&gt;"",F1376,VLOOKUP(MAX(C$2:C1376),A$2:F1376,2,FALSE)),"")</f>
        <v/>
      </c>
      <c r="E1376" s="5" t="str">
        <f t="shared" si="107"/>
        <v/>
      </c>
      <c r="K1376" t="str">
        <f>IFERROR(IF(VLOOKUP(E:E,'Old Report'!E:J,6,FALSE)="","",VLOOKUP(E:E,'Old Report'!E:J,6,FALSE)),"")</f>
        <v/>
      </c>
      <c r="L1376" t="str">
        <f>IFERROR(IF(VLOOKUP(E:E,'Old Report'!E:L,8,FALSE)="","",VLOOKUP(E:E,'Old Report'!E:L,8,FALSE)),"")</f>
        <v/>
      </c>
      <c r="M1376" s="5" t="str">
        <f t="shared" si="108"/>
        <v/>
      </c>
      <c r="N1376" s="5" t="str">
        <f t="shared" si="109"/>
        <v/>
      </c>
    </row>
    <row r="1377" spans="1:14" x14ac:dyDescent="0.25">
      <c r="A1377" s="5">
        <v>1376</v>
      </c>
      <c r="B1377" s="5">
        <f t="shared" si="106"/>
        <v>0</v>
      </c>
      <c r="C1377" s="5" t="str">
        <f t="shared" si="105"/>
        <v/>
      </c>
      <c r="D1377" s="5" t="str">
        <f>IFERROR(IF(F1377&lt;&gt;"",F1377,VLOOKUP(MAX(C$2:C1377),A$2:F1377,2,FALSE)),"")</f>
        <v/>
      </c>
      <c r="E1377" s="5" t="str">
        <f t="shared" si="107"/>
        <v/>
      </c>
      <c r="K1377" t="str">
        <f>IFERROR(IF(VLOOKUP(E:E,'Old Report'!E:J,6,FALSE)="","",VLOOKUP(E:E,'Old Report'!E:J,6,FALSE)),"")</f>
        <v/>
      </c>
      <c r="L1377" t="str">
        <f>IFERROR(IF(VLOOKUP(E:E,'Old Report'!E:L,8,FALSE)="","",VLOOKUP(E:E,'Old Report'!E:L,8,FALSE)),"")</f>
        <v/>
      </c>
      <c r="M1377" s="5" t="str">
        <f t="shared" si="108"/>
        <v/>
      </c>
      <c r="N1377" s="5" t="str">
        <f t="shared" si="109"/>
        <v/>
      </c>
    </row>
    <row r="1378" spans="1:14" x14ac:dyDescent="0.25">
      <c r="A1378" s="5">
        <v>1377</v>
      </c>
      <c r="B1378" s="5">
        <f t="shared" si="106"/>
        <v>0</v>
      </c>
      <c r="C1378" s="5" t="str">
        <f t="shared" si="105"/>
        <v/>
      </c>
      <c r="D1378" s="5" t="str">
        <f>IFERROR(IF(F1378&lt;&gt;"",F1378,VLOOKUP(MAX(C$2:C1378),A$2:F1378,2,FALSE)),"")</f>
        <v/>
      </c>
      <c r="E1378" s="5" t="str">
        <f t="shared" si="107"/>
        <v/>
      </c>
      <c r="K1378" t="str">
        <f>IFERROR(IF(VLOOKUP(E:E,'Old Report'!E:J,6,FALSE)="","",VLOOKUP(E:E,'Old Report'!E:J,6,FALSE)),"")</f>
        <v/>
      </c>
      <c r="L1378" t="str">
        <f>IFERROR(IF(VLOOKUP(E:E,'Old Report'!E:L,8,FALSE)="","",VLOOKUP(E:E,'Old Report'!E:L,8,FALSE)),"")</f>
        <v/>
      </c>
      <c r="M1378" s="5" t="str">
        <f t="shared" si="108"/>
        <v/>
      </c>
      <c r="N1378" s="5" t="str">
        <f t="shared" si="109"/>
        <v/>
      </c>
    </row>
    <row r="1379" spans="1:14" x14ac:dyDescent="0.25">
      <c r="A1379" s="5">
        <v>1378</v>
      </c>
      <c r="B1379" s="5">
        <f t="shared" si="106"/>
        <v>0</v>
      </c>
      <c r="C1379" s="5" t="str">
        <f t="shared" si="105"/>
        <v/>
      </c>
      <c r="D1379" s="5" t="str">
        <f>IFERROR(IF(F1379&lt;&gt;"",F1379,VLOOKUP(MAX(C$2:C1379),A$2:F1379,2,FALSE)),"")</f>
        <v/>
      </c>
      <c r="E1379" s="5" t="str">
        <f t="shared" si="107"/>
        <v/>
      </c>
      <c r="K1379" t="str">
        <f>IFERROR(IF(VLOOKUP(E:E,'Old Report'!E:J,6,FALSE)="","",VLOOKUP(E:E,'Old Report'!E:J,6,FALSE)),"")</f>
        <v/>
      </c>
      <c r="L1379" t="str">
        <f>IFERROR(IF(VLOOKUP(E:E,'Old Report'!E:L,8,FALSE)="","",VLOOKUP(E:E,'Old Report'!E:L,8,FALSE)),"")</f>
        <v/>
      </c>
      <c r="M1379" s="5" t="str">
        <f t="shared" si="108"/>
        <v/>
      </c>
      <c r="N1379" s="5" t="str">
        <f t="shared" si="109"/>
        <v/>
      </c>
    </row>
    <row r="1380" spans="1:14" x14ac:dyDescent="0.25">
      <c r="A1380" s="5">
        <v>1379</v>
      </c>
      <c r="B1380" s="5">
        <f t="shared" si="106"/>
        <v>0</v>
      </c>
      <c r="C1380" s="5" t="str">
        <f t="shared" si="105"/>
        <v/>
      </c>
      <c r="D1380" s="5" t="str">
        <f>IFERROR(IF(F1380&lt;&gt;"",F1380,VLOOKUP(MAX(C$2:C1380),A$2:F1380,2,FALSE)),"")</f>
        <v/>
      </c>
      <c r="E1380" s="5" t="str">
        <f t="shared" si="107"/>
        <v/>
      </c>
      <c r="K1380" t="str">
        <f>IFERROR(IF(VLOOKUP(E:E,'Old Report'!E:J,6,FALSE)="","",VLOOKUP(E:E,'Old Report'!E:J,6,FALSE)),"")</f>
        <v/>
      </c>
      <c r="L1380" t="str">
        <f>IFERROR(IF(VLOOKUP(E:E,'Old Report'!E:L,8,FALSE)="","",VLOOKUP(E:E,'Old Report'!E:L,8,FALSE)),"")</f>
        <v/>
      </c>
      <c r="M1380" s="5" t="str">
        <f t="shared" si="108"/>
        <v/>
      </c>
      <c r="N1380" s="5" t="str">
        <f t="shared" si="109"/>
        <v/>
      </c>
    </row>
    <row r="1381" spans="1:14" x14ac:dyDescent="0.25">
      <c r="A1381" s="5">
        <v>1380</v>
      </c>
      <c r="B1381" s="5">
        <f t="shared" si="106"/>
        <v>0</v>
      </c>
      <c r="C1381" s="5" t="str">
        <f t="shared" si="105"/>
        <v/>
      </c>
      <c r="D1381" s="5" t="str">
        <f>IFERROR(IF(F1381&lt;&gt;"",F1381,VLOOKUP(MAX(C$2:C1381),A$2:F1381,2,FALSE)),"")</f>
        <v/>
      </c>
      <c r="E1381" s="5" t="str">
        <f t="shared" si="107"/>
        <v/>
      </c>
      <c r="K1381" t="str">
        <f>IFERROR(IF(VLOOKUP(E:E,'Old Report'!E:J,6,FALSE)="","",VLOOKUP(E:E,'Old Report'!E:J,6,FALSE)),"")</f>
        <v/>
      </c>
      <c r="L1381" t="str">
        <f>IFERROR(IF(VLOOKUP(E:E,'Old Report'!E:L,8,FALSE)="","",VLOOKUP(E:E,'Old Report'!E:L,8,FALSE)),"")</f>
        <v/>
      </c>
      <c r="M1381" s="5" t="str">
        <f t="shared" si="108"/>
        <v/>
      </c>
      <c r="N1381" s="5" t="str">
        <f t="shared" si="109"/>
        <v/>
      </c>
    </row>
    <row r="1382" spans="1:14" x14ac:dyDescent="0.25">
      <c r="A1382" s="5">
        <v>1381</v>
      </c>
      <c r="B1382" s="5">
        <f t="shared" si="106"/>
        <v>0</v>
      </c>
      <c r="C1382" s="5" t="str">
        <f t="shared" si="105"/>
        <v/>
      </c>
      <c r="D1382" s="5" t="str">
        <f>IFERROR(IF(F1382&lt;&gt;"",F1382,VLOOKUP(MAX(C$2:C1382),A$2:F1382,2,FALSE)),"")</f>
        <v/>
      </c>
      <c r="E1382" s="5" t="str">
        <f t="shared" si="107"/>
        <v/>
      </c>
      <c r="K1382" t="str">
        <f>IFERROR(IF(VLOOKUP(E:E,'Old Report'!E:J,6,FALSE)="","",VLOOKUP(E:E,'Old Report'!E:J,6,FALSE)),"")</f>
        <v/>
      </c>
      <c r="L1382" t="str">
        <f>IFERROR(IF(VLOOKUP(E:E,'Old Report'!E:L,8,FALSE)="","",VLOOKUP(E:E,'Old Report'!E:L,8,FALSE)),"")</f>
        <v/>
      </c>
      <c r="M1382" s="5" t="str">
        <f t="shared" si="108"/>
        <v/>
      </c>
      <c r="N1382" s="5" t="str">
        <f t="shared" si="109"/>
        <v/>
      </c>
    </row>
    <row r="1383" spans="1:14" x14ac:dyDescent="0.25">
      <c r="A1383" s="5">
        <v>1382</v>
      </c>
      <c r="B1383" s="5">
        <f t="shared" si="106"/>
        <v>0</v>
      </c>
      <c r="C1383" s="5" t="str">
        <f t="shared" si="105"/>
        <v/>
      </c>
      <c r="D1383" s="5" t="str">
        <f>IFERROR(IF(F1383&lt;&gt;"",F1383,VLOOKUP(MAX(C$2:C1383),A$2:F1383,2,FALSE)),"")</f>
        <v/>
      </c>
      <c r="E1383" s="5" t="str">
        <f t="shared" si="107"/>
        <v/>
      </c>
      <c r="K1383" t="str">
        <f>IFERROR(IF(VLOOKUP(E:E,'Old Report'!E:J,6,FALSE)="","",VLOOKUP(E:E,'Old Report'!E:J,6,FALSE)),"")</f>
        <v/>
      </c>
      <c r="L1383" t="str">
        <f>IFERROR(IF(VLOOKUP(E:E,'Old Report'!E:L,8,FALSE)="","",VLOOKUP(E:E,'Old Report'!E:L,8,FALSE)),"")</f>
        <v/>
      </c>
      <c r="M1383" s="5" t="str">
        <f t="shared" si="108"/>
        <v/>
      </c>
      <c r="N1383" s="5" t="str">
        <f t="shared" si="109"/>
        <v/>
      </c>
    </row>
    <row r="1384" spans="1:14" x14ac:dyDescent="0.25">
      <c r="A1384" s="5">
        <v>1383</v>
      </c>
      <c r="B1384" s="5">
        <f t="shared" si="106"/>
        <v>0</v>
      </c>
      <c r="C1384" s="5" t="str">
        <f t="shared" si="105"/>
        <v/>
      </c>
      <c r="D1384" s="5" t="str">
        <f>IFERROR(IF(F1384&lt;&gt;"",F1384,VLOOKUP(MAX(C$2:C1384),A$2:F1384,2,FALSE)),"")</f>
        <v/>
      </c>
      <c r="E1384" s="5" t="str">
        <f t="shared" si="107"/>
        <v/>
      </c>
      <c r="K1384" t="str">
        <f>IFERROR(IF(VLOOKUP(E:E,'Old Report'!E:J,6,FALSE)="","",VLOOKUP(E:E,'Old Report'!E:J,6,FALSE)),"")</f>
        <v/>
      </c>
      <c r="L1384" t="str">
        <f>IFERROR(IF(VLOOKUP(E:E,'Old Report'!E:L,8,FALSE)="","",VLOOKUP(E:E,'Old Report'!E:L,8,FALSE)),"")</f>
        <v/>
      </c>
      <c r="M1384" s="5" t="str">
        <f t="shared" si="108"/>
        <v/>
      </c>
      <c r="N1384" s="5" t="str">
        <f t="shared" si="109"/>
        <v/>
      </c>
    </row>
    <row r="1385" spans="1:14" x14ac:dyDescent="0.25">
      <c r="A1385" s="5">
        <v>1384</v>
      </c>
      <c r="B1385" s="5">
        <f t="shared" si="106"/>
        <v>0</v>
      </c>
      <c r="C1385" s="5" t="str">
        <f t="shared" si="105"/>
        <v/>
      </c>
      <c r="D1385" s="5" t="str">
        <f>IFERROR(IF(F1385&lt;&gt;"",F1385,VLOOKUP(MAX(C$2:C1385),A$2:F1385,2,FALSE)),"")</f>
        <v/>
      </c>
      <c r="E1385" s="5" t="str">
        <f t="shared" si="107"/>
        <v/>
      </c>
      <c r="K1385" t="str">
        <f>IFERROR(IF(VLOOKUP(E:E,'Old Report'!E:J,6,FALSE)="","",VLOOKUP(E:E,'Old Report'!E:J,6,FALSE)),"")</f>
        <v/>
      </c>
      <c r="L1385" t="str">
        <f>IFERROR(IF(VLOOKUP(E:E,'Old Report'!E:L,8,FALSE)="","",VLOOKUP(E:E,'Old Report'!E:L,8,FALSE)),"")</f>
        <v/>
      </c>
      <c r="M1385" s="5" t="str">
        <f t="shared" si="108"/>
        <v/>
      </c>
      <c r="N1385" s="5" t="str">
        <f t="shared" si="109"/>
        <v/>
      </c>
    </row>
    <row r="1386" spans="1:14" x14ac:dyDescent="0.25">
      <c r="A1386" s="5">
        <v>1385</v>
      </c>
      <c r="B1386" s="5">
        <f t="shared" si="106"/>
        <v>0</v>
      </c>
      <c r="C1386" s="5" t="str">
        <f t="shared" si="105"/>
        <v/>
      </c>
      <c r="D1386" s="5" t="str">
        <f>IFERROR(IF(F1386&lt;&gt;"",F1386,VLOOKUP(MAX(C$2:C1386),A$2:F1386,2,FALSE)),"")</f>
        <v/>
      </c>
      <c r="E1386" s="5" t="str">
        <f t="shared" si="107"/>
        <v/>
      </c>
      <c r="K1386" t="str">
        <f>IFERROR(IF(VLOOKUP(E:E,'Old Report'!E:J,6,FALSE)="","",VLOOKUP(E:E,'Old Report'!E:J,6,FALSE)),"")</f>
        <v/>
      </c>
      <c r="L1386" t="str">
        <f>IFERROR(IF(VLOOKUP(E:E,'Old Report'!E:L,8,FALSE)="","",VLOOKUP(E:E,'Old Report'!E:L,8,FALSE)),"")</f>
        <v/>
      </c>
      <c r="M1386" s="5" t="str">
        <f t="shared" si="108"/>
        <v/>
      </c>
      <c r="N1386" s="5" t="str">
        <f t="shared" si="109"/>
        <v/>
      </c>
    </row>
    <row r="1387" spans="1:14" x14ac:dyDescent="0.25">
      <c r="A1387" s="5">
        <v>1386</v>
      </c>
      <c r="B1387" s="5">
        <f t="shared" si="106"/>
        <v>0</v>
      </c>
      <c r="C1387" s="5" t="str">
        <f t="shared" si="105"/>
        <v/>
      </c>
      <c r="D1387" s="5" t="str">
        <f>IFERROR(IF(F1387&lt;&gt;"",F1387,VLOOKUP(MAX(C$2:C1387),A$2:F1387,2,FALSE)),"")</f>
        <v/>
      </c>
      <c r="E1387" s="5" t="str">
        <f t="shared" si="107"/>
        <v/>
      </c>
      <c r="K1387" t="str">
        <f>IFERROR(IF(VLOOKUP(E:E,'Old Report'!E:J,6,FALSE)="","",VLOOKUP(E:E,'Old Report'!E:J,6,FALSE)),"")</f>
        <v/>
      </c>
      <c r="L1387" t="str">
        <f>IFERROR(IF(VLOOKUP(E:E,'Old Report'!E:L,8,FALSE)="","",VLOOKUP(E:E,'Old Report'!E:L,8,FALSE)),"")</f>
        <v/>
      </c>
      <c r="M1387" s="5" t="str">
        <f t="shared" si="108"/>
        <v/>
      </c>
      <c r="N1387" s="5" t="str">
        <f t="shared" si="109"/>
        <v/>
      </c>
    </row>
    <row r="1388" spans="1:14" x14ac:dyDescent="0.25">
      <c r="A1388" s="5">
        <v>1387</v>
      </c>
      <c r="B1388" s="5">
        <f t="shared" si="106"/>
        <v>0</v>
      </c>
      <c r="C1388" s="5" t="str">
        <f t="shared" si="105"/>
        <v/>
      </c>
      <c r="D1388" s="5" t="str">
        <f>IFERROR(IF(F1388&lt;&gt;"",F1388,VLOOKUP(MAX(C$2:C1388),A$2:F1388,2,FALSE)),"")</f>
        <v/>
      </c>
      <c r="E1388" s="5" t="str">
        <f t="shared" si="107"/>
        <v/>
      </c>
      <c r="K1388" t="str">
        <f>IFERROR(IF(VLOOKUP(E:E,'Old Report'!E:J,6,FALSE)="","",VLOOKUP(E:E,'Old Report'!E:J,6,FALSE)),"")</f>
        <v/>
      </c>
      <c r="L1388" t="str">
        <f>IFERROR(IF(VLOOKUP(E:E,'Old Report'!E:L,8,FALSE)="","",VLOOKUP(E:E,'Old Report'!E:L,8,FALSE)),"")</f>
        <v/>
      </c>
      <c r="M1388" s="5" t="str">
        <f t="shared" si="108"/>
        <v/>
      </c>
      <c r="N1388" s="5" t="str">
        <f t="shared" si="109"/>
        <v/>
      </c>
    </row>
    <row r="1389" spans="1:14" x14ac:dyDescent="0.25">
      <c r="A1389" s="5">
        <v>1388</v>
      </c>
      <c r="B1389" s="5">
        <f t="shared" si="106"/>
        <v>0</v>
      </c>
      <c r="C1389" s="5" t="str">
        <f t="shared" si="105"/>
        <v/>
      </c>
      <c r="D1389" s="5" t="str">
        <f>IFERROR(IF(F1389&lt;&gt;"",F1389,VLOOKUP(MAX(C$2:C1389),A$2:F1389,2,FALSE)),"")</f>
        <v/>
      </c>
      <c r="E1389" s="5" t="str">
        <f t="shared" si="107"/>
        <v/>
      </c>
      <c r="K1389" t="str">
        <f>IFERROR(IF(VLOOKUP(E:E,'Old Report'!E:J,6,FALSE)="","",VLOOKUP(E:E,'Old Report'!E:J,6,FALSE)),"")</f>
        <v/>
      </c>
      <c r="L1389" t="str">
        <f>IFERROR(IF(VLOOKUP(E:E,'Old Report'!E:L,8,FALSE)="","",VLOOKUP(E:E,'Old Report'!E:L,8,FALSE)),"")</f>
        <v/>
      </c>
      <c r="M1389" s="5" t="str">
        <f t="shared" si="108"/>
        <v/>
      </c>
      <c r="N1389" s="5" t="str">
        <f t="shared" si="109"/>
        <v/>
      </c>
    </row>
    <row r="1390" spans="1:14" x14ac:dyDescent="0.25">
      <c r="A1390" s="5">
        <v>1389</v>
      </c>
      <c r="B1390" s="5">
        <f t="shared" si="106"/>
        <v>0</v>
      </c>
      <c r="C1390" s="5" t="str">
        <f t="shared" si="105"/>
        <v/>
      </c>
      <c r="D1390" s="5" t="str">
        <f>IFERROR(IF(F1390&lt;&gt;"",F1390,VLOOKUP(MAX(C$2:C1390),A$2:F1390,2,FALSE)),"")</f>
        <v/>
      </c>
      <c r="E1390" s="5" t="str">
        <f t="shared" si="107"/>
        <v/>
      </c>
      <c r="K1390" t="str">
        <f>IFERROR(IF(VLOOKUP(E:E,'Old Report'!E:J,6,FALSE)="","",VLOOKUP(E:E,'Old Report'!E:J,6,FALSE)),"")</f>
        <v/>
      </c>
      <c r="L1390" t="str">
        <f>IFERROR(IF(VLOOKUP(E:E,'Old Report'!E:L,8,FALSE)="","",VLOOKUP(E:E,'Old Report'!E:L,8,FALSE)),"")</f>
        <v/>
      </c>
      <c r="M1390" s="5" t="str">
        <f t="shared" si="108"/>
        <v/>
      </c>
      <c r="N1390" s="5" t="str">
        <f t="shared" si="109"/>
        <v/>
      </c>
    </row>
    <row r="1391" spans="1:14" x14ac:dyDescent="0.25">
      <c r="A1391" s="5">
        <v>1390</v>
      </c>
      <c r="B1391" s="5">
        <f t="shared" si="106"/>
        <v>0</v>
      </c>
      <c r="C1391" s="5" t="str">
        <f t="shared" si="105"/>
        <v/>
      </c>
      <c r="D1391" s="5" t="str">
        <f>IFERROR(IF(F1391&lt;&gt;"",F1391,VLOOKUP(MAX(C$2:C1391),A$2:F1391,2,FALSE)),"")</f>
        <v/>
      </c>
      <c r="E1391" s="5" t="str">
        <f t="shared" si="107"/>
        <v/>
      </c>
      <c r="K1391" t="str">
        <f>IFERROR(IF(VLOOKUP(E:E,'Old Report'!E:J,6,FALSE)="","",VLOOKUP(E:E,'Old Report'!E:J,6,FALSE)),"")</f>
        <v/>
      </c>
      <c r="L1391" t="str">
        <f>IFERROR(IF(VLOOKUP(E:E,'Old Report'!E:L,8,FALSE)="","",VLOOKUP(E:E,'Old Report'!E:L,8,FALSE)),"")</f>
        <v/>
      </c>
      <c r="M1391" s="5" t="str">
        <f t="shared" si="108"/>
        <v/>
      </c>
      <c r="N1391" s="5" t="str">
        <f t="shared" si="109"/>
        <v/>
      </c>
    </row>
    <row r="1392" spans="1:14" x14ac:dyDescent="0.25">
      <c r="A1392" s="5">
        <v>1391</v>
      </c>
      <c r="B1392" s="5">
        <f t="shared" si="106"/>
        <v>0</v>
      </c>
      <c r="C1392" s="5" t="str">
        <f t="shared" si="105"/>
        <v/>
      </c>
      <c r="D1392" s="5" t="str">
        <f>IFERROR(IF(F1392&lt;&gt;"",F1392,VLOOKUP(MAX(C$2:C1392),A$2:F1392,2,FALSE)),"")</f>
        <v/>
      </c>
      <c r="E1392" s="5" t="str">
        <f t="shared" si="107"/>
        <v/>
      </c>
      <c r="K1392" t="str">
        <f>IFERROR(IF(VLOOKUP(E:E,'Old Report'!E:J,6,FALSE)="","",VLOOKUP(E:E,'Old Report'!E:J,6,FALSE)),"")</f>
        <v/>
      </c>
      <c r="L1392" t="str">
        <f>IFERROR(IF(VLOOKUP(E:E,'Old Report'!E:L,8,FALSE)="","",VLOOKUP(E:E,'Old Report'!E:L,8,FALSE)),"")</f>
        <v/>
      </c>
      <c r="M1392" s="5" t="str">
        <f t="shared" si="108"/>
        <v/>
      </c>
      <c r="N1392" s="5" t="str">
        <f t="shared" si="109"/>
        <v/>
      </c>
    </row>
    <row r="1393" spans="1:14" x14ac:dyDescent="0.25">
      <c r="A1393" s="5">
        <v>1392</v>
      </c>
      <c r="B1393" s="5">
        <f t="shared" si="106"/>
        <v>0</v>
      </c>
      <c r="C1393" s="5" t="str">
        <f t="shared" si="105"/>
        <v/>
      </c>
      <c r="D1393" s="5" t="str">
        <f>IFERROR(IF(F1393&lt;&gt;"",F1393,VLOOKUP(MAX(C$2:C1393),A$2:F1393,2,FALSE)),"")</f>
        <v/>
      </c>
      <c r="E1393" s="5" t="str">
        <f t="shared" si="107"/>
        <v/>
      </c>
      <c r="K1393" t="str">
        <f>IFERROR(IF(VLOOKUP(E:E,'Old Report'!E:J,6,FALSE)="","",VLOOKUP(E:E,'Old Report'!E:J,6,FALSE)),"")</f>
        <v/>
      </c>
      <c r="L1393" t="str">
        <f>IFERROR(IF(VLOOKUP(E:E,'Old Report'!E:L,8,FALSE)="","",VLOOKUP(E:E,'Old Report'!E:L,8,FALSE)),"")</f>
        <v/>
      </c>
      <c r="M1393" s="5" t="str">
        <f t="shared" si="108"/>
        <v/>
      </c>
      <c r="N1393" s="5" t="str">
        <f t="shared" si="109"/>
        <v/>
      </c>
    </row>
    <row r="1394" spans="1:14" x14ac:dyDescent="0.25">
      <c r="A1394" s="5">
        <v>1393</v>
      </c>
      <c r="B1394" s="5">
        <f t="shared" si="106"/>
        <v>0</v>
      </c>
      <c r="C1394" s="5" t="str">
        <f t="shared" si="105"/>
        <v/>
      </c>
      <c r="D1394" s="5" t="str">
        <f>IFERROR(IF(F1394&lt;&gt;"",F1394,VLOOKUP(MAX(C$2:C1394),A$2:F1394,2,FALSE)),"")</f>
        <v/>
      </c>
      <c r="E1394" s="5" t="str">
        <f t="shared" si="107"/>
        <v/>
      </c>
      <c r="K1394" t="str">
        <f>IFERROR(IF(VLOOKUP(E:E,'Old Report'!E:J,6,FALSE)="","",VLOOKUP(E:E,'Old Report'!E:J,6,FALSE)),"")</f>
        <v/>
      </c>
      <c r="L1394" t="str">
        <f>IFERROR(IF(VLOOKUP(E:E,'Old Report'!E:L,8,FALSE)="","",VLOOKUP(E:E,'Old Report'!E:L,8,FALSE)),"")</f>
        <v/>
      </c>
      <c r="M1394" s="5" t="str">
        <f t="shared" si="108"/>
        <v/>
      </c>
      <c r="N1394" s="5" t="str">
        <f t="shared" si="109"/>
        <v/>
      </c>
    </row>
    <row r="1395" spans="1:14" x14ac:dyDescent="0.25">
      <c r="A1395" s="5">
        <v>1394</v>
      </c>
      <c r="B1395" s="5">
        <f t="shared" si="106"/>
        <v>0</v>
      </c>
      <c r="C1395" s="5" t="str">
        <f t="shared" si="105"/>
        <v/>
      </c>
      <c r="D1395" s="5" t="str">
        <f>IFERROR(IF(F1395&lt;&gt;"",F1395,VLOOKUP(MAX(C$2:C1395),A$2:F1395,2,FALSE)),"")</f>
        <v/>
      </c>
      <c r="E1395" s="5" t="str">
        <f t="shared" si="107"/>
        <v/>
      </c>
      <c r="K1395" t="str">
        <f>IFERROR(IF(VLOOKUP(E:E,'Old Report'!E:J,6,FALSE)="","",VLOOKUP(E:E,'Old Report'!E:J,6,FALSE)),"")</f>
        <v/>
      </c>
      <c r="L1395" t="str">
        <f>IFERROR(IF(VLOOKUP(E:E,'Old Report'!E:L,8,FALSE)="","",VLOOKUP(E:E,'Old Report'!E:L,8,FALSE)),"")</f>
        <v/>
      </c>
      <c r="M1395" s="5" t="str">
        <f t="shared" si="108"/>
        <v/>
      </c>
      <c r="N1395" s="5" t="str">
        <f t="shared" si="109"/>
        <v/>
      </c>
    </row>
    <row r="1396" spans="1:14" x14ac:dyDescent="0.25">
      <c r="A1396" s="5">
        <v>1395</v>
      </c>
      <c r="B1396" s="5">
        <f t="shared" si="106"/>
        <v>0</v>
      </c>
      <c r="C1396" s="5" t="str">
        <f t="shared" si="105"/>
        <v/>
      </c>
      <c r="D1396" s="5" t="str">
        <f>IFERROR(IF(F1396&lt;&gt;"",F1396,VLOOKUP(MAX(C$2:C1396),A$2:F1396,2,FALSE)),"")</f>
        <v/>
      </c>
      <c r="E1396" s="5" t="str">
        <f t="shared" si="107"/>
        <v/>
      </c>
      <c r="K1396" t="str">
        <f>IFERROR(IF(VLOOKUP(E:E,'Old Report'!E:J,6,FALSE)="","",VLOOKUP(E:E,'Old Report'!E:J,6,FALSE)),"")</f>
        <v/>
      </c>
      <c r="L1396" t="str">
        <f>IFERROR(IF(VLOOKUP(E:E,'Old Report'!E:L,8,FALSE)="","",VLOOKUP(E:E,'Old Report'!E:L,8,FALSE)),"")</f>
        <v/>
      </c>
      <c r="M1396" s="5" t="str">
        <f t="shared" si="108"/>
        <v/>
      </c>
      <c r="N1396" s="5" t="str">
        <f t="shared" si="109"/>
        <v/>
      </c>
    </row>
    <row r="1397" spans="1:14" x14ac:dyDescent="0.25">
      <c r="A1397" s="5">
        <v>1396</v>
      </c>
      <c r="B1397" s="5">
        <f t="shared" si="106"/>
        <v>0</v>
      </c>
      <c r="C1397" s="5" t="str">
        <f t="shared" si="105"/>
        <v/>
      </c>
      <c r="D1397" s="5" t="str">
        <f>IFERROR(IF(F1397&lt;&gt;"",F1397,VLOOKUP(MAX(C$2:C1397),A$2:F1397,2,FALSE)),"")</f>
        <v/>
      </c>
      <c r="E1397" s="5" t="str">
        <f t="shared" si="107"/>
        <v/>
      </c>
      <c r="K1397" t="str">
        <f>IFERROR(IF(VLOOKUP(E:E,'Old Report'!E:J,6,FALSE)="","",VLOOKUP(E:E,'Old Report'!E:J,6,FALSE)),"")</f>
        <v/>
      </c>
      <c r="L1397" t="str">
        <f>IFERROR(IF(VLOOKUP(E:E,'Old Report'!E:L,8,FALSE)="","",VLOOKUP(E:E,'Old Report'!E:L,8,FALSE)),"")</f>
        <v/>
      </c>
      <c r="M1397" s="5" t="str">
        <f t="shared" si="108"/>
        <v/>
      </c>
      <c r="N1397" s="5" t="str">
        <f t="shared" si="109"/>
        <v/>
      </c>
    </row>
    <row r="1398" spans="1:14" x14ac:dyDescent="0.25">
      <c r="A1398" s="5">
        <v>1397</v>
      </c>
      <c r="B1398" s="5">
        <f t="shared" si="106"/>
        <v>0</v>
      </c>
      <c r="C1398" s="5" t="str">
        <f t="shared" si="105"/>
        <v/>
      </c>
      <c r="D1398" s="5" t="str">
        <f>IFERROR(IF(F1398&lt;&gt;"",F1398,VLOOKUP(MAX(C$2:C1398),A$2:F1398,2,FALSE)),"")</f>
        <v/>
      </c>
      <c r="E1398" s="5" t="str">
        <f t="shared" si="107"/>
        <v/>
      </c>
      <c r="K1398" t="str">
        <f>IFERROR(IF(VLOOKUP(E:E,'Old Report'!E:J,6,FALSE)="","",VLOOKUP(E:E,'Old Report'!E:J,6,FALSE)),"")</f>
        <v/>
      </c>
      <c r="L1398" t="str">
        <f>IFERROR(IF(VLOOKUP(E:E,'Old Report'!E:L,8,FALSE)="","",VLOOKUP(E:E,'Old Report'!E:L,8,FALSE)),"")</f>
        <v/>
      </c>
      <c r="M1398" s="5" t="str">
        <f t="shared" si="108"/>
        <v/>
      </c>
      <c r="N1398" s="5" t="str">
        <f t="shared" si="109"/>
        <v/>
      </c>
    </row>
    <row r="1399" spans="1:14" x14ac:dyDescent="0.25">
      <c r="A1399" s="5">
        <v>1398</v>
      </c>
      <c r="B1399" s="5">
        <f t="shared" si="106"/>
        <v>0</v>
      </c>
      <c r="C1399" s="5" t="str">
        <f t="shared" si="105"/>
        <v/>
      </c>
      <c r="D1399" s="5" t="str">
        <f>IFERROR(IF(F1399&lt;&gt;"",F1399,VLOOKUP(MAX(C$2:C1399),A$2:F1399,2,FALSE)),"")</f>
        <v/>
      </c>
      <c r="E1399" s="5" t="str">
        <f t="shared" si="107"/>
        <v/>
      </c>
      <c r="K1399" t="str">
        <f>IFERROR(IF(VLOOKUP(E:E,'Old Report'!E:J,6,FALSE)="","",VLOOKUP(E:E,'Old Report'!E:J,6,FALSE)),"")</f>
        <v/>
      </c>
      <c r="L1399" t="str">
        <f>IFERROR(IF(VLOOKUP(E:E,'Old Report'!E:L,8,FALSE)="","",VLOOKUP(E:E,'Old Report'!E:L,8,FALSE)),"")</f>
        <v/>
      </c>
      <c r="M1399" s="5" t="str">
        <f t="shared" si="108"/>
        <v/>
      </c>
      <c r="N1399" s="5" t="str">
        <f t="shared" si="109"/>
        <v/>
      </c>
    </row>
    <row r="1400" spans="1:14" x14ac:dyDescent="0.25">
      <c r="A1400" s="5">
        <v>1399</v>
      </c>
      <c r="B1400" s="5">
        <f t="shared" si="106"/>
        <v>0</v>
      </c>
      <c r="C1400" s="5" t="str">
        <f t="shared" si="105"/>
        <v/>
      </c>
      <c r="D1400" s="5" t="str">
        <f>IFERROR(IF(F1400&lt;&gt;"",F1400,VLOOKUP(MAX(C$2:C1400),A$2:F1400,2,FALSE)),"")</f>
        <v/>
      </c>
      <c r="E1400" s="5" t="str">
        <f t="shared" si="107"/>
        <v/>
      </c>
      <c r="K1400" t="str">
        <f>IFERROR(IF(VLOOKUP(E:E,'Old Report'!E:J,6,FALSE)="","",VLOOKUP(E:E,'Old Report'!E:J,6,FALSE)),"")</f>
        <v/>
      </c>
      <c r="L1400" t="str">
        <f>IFERROR(IF(VLOOKUP(E:E,'Old Report'!E:L,8,FALSE)="","",VLOOKUP(E:E,'Old Report'!E:L,8,FALSE)),"")</f>
        <v/>
      </c>
      <c r="M1400" s="5" t="str">
        <f t="shared" si="108"/>
        <v/>
      </c>
      <c r="N1400" s="5" t="str">
        <f t="shared" si="109"/>
        <v/>
      </c>
    </row>
    <row r="1401" spans="1:14" x14ac:dyDescent="0.25">
      <c r="A1401" s="5">
        <v>1400</v>
      </c>
      <c r="B1401" s="5">
        <f t="shared" si="106"/>
        <v>0</v>
      </c>
      <c r="C1401" s="5" t="str">
        <f t="shared" si="105"/>
        <v/>
      </c>
      <c r="D1401" s="5" t="str">
        <f>IFERROR(IF(F1401&lt;&gt;"",F1401,VLOOKUP(MAX(C$2:C1401),A$2:F1401,2,FALSE)),"")</f>
        <v/>
      </c>
      <c r="E1401" s="5" t="str">
        <f t="shared" si="107"/>
        <v/>
      </c>
      <c r="K1401" t="str">
        <f>IFERROR(IF(VLOOKUP(E:E,'Old Report'!E:J,6,FALSE)="","",VLOOKUP(E:E,'Old Report'!E:J,6,FALSE)),"")</f>
        <v/>
      </c>
      <c r="L1401" t="str">
        <f>IFERROR(IF(VLOOKUP(E:E,'Old Report'!E:L,8,FALSE)="","",VLOOKUP(E:E,'Old Report'!E:L,8,FALSE)),"")</f>
        <v/>
      </c>
      <c r="M1401" s="5" t="str">
        <f t="shared" si="108"/>
        <v/>
      </c>
      <c r="N1401" s="5" t="str">
        <f t="shared" si="109"/>
        <v/>
      </c>
    </row>
    <row r="1402" spans="1:14" x14ac:dyDescent="0.25">
      <c r="A1402" s="5">
        <v>1401</v>
      </c>
      <c r="B1402" s="5">
        <f t="shared" si="106"/>
        <v>0</v>
      </c>
      <c r="C1402" s="5" t="str">
        <f t="shared" si="105"/>
        <v/>
      </c>
      <c r="D1402" s="5" t="str">
        <f>IFERROR(IF(F1402&lt;&gt;"",F1402,VLOOKUP(MAX(C$2:C1402),A$2:F1402,2,FALSE)),"")</f>
        <v/>
      </c>
      <c r="E1402" s="5" t="str">
        <f t="shared" si="107"/>
        <v/>
      </c>
      <c r="K1402" t="str">
        <f>IFERROR(IF(VLOOKUP(E:E,'Old Report'!E:J,6,FALSE)="","",VLOOKUP(E:E,'Old Report'!E:J,6,FALSE)),"")</f>
        <v/>
      </c>
      <c r="L1402" t="str">
        <f>IFERROR(IF(VLOOKUP(E:E,'Old Report'!E:L,8,FALSE)="","",VLOOKUP(E:E,'Old Report'!E:L,8,FALSE)),"")</f>
        <v/>
      </c>
      <c r="M1402" s="5" t="str">
        <f t="shared" si="108"/>
        <v/>
      </c>
      <c r="N1402" s="5" t="str">
        <f t="shared" si="109"/>
        <v/>
      </c>
    </row>
    <row r="1403" spans="1:14" x14ac:dyDescent="0.25">
      <c r="A1403" s="5">
        <v>1402</v>
      </c>
      <c r="B1403" s="5">
        <f t="shared" si="106"/>
        <v>0</v>
      </c>
      <c r="C1403" s="5" t="str">
        <f t="shared" si="105"/>
        <v/>
      </c>
      <c r="D1403" s="5" t="str">
        <f>IFERROR(IF(F1403&lt;&gt;"",F1403,VLOOKUP(MAX(C$2:C1403),A$2:F1403,2,FALSE)),"")</f>
        <v/>
      </c>
      <c r="E1403" s="5" t="str">
        <f t="shared" si="107"/>
        <v/>
      </c>
      <c r="K1403" t="str">
        <f>IFERROR(IF(VLOOKUP(E:E,'Old Report'!E:J,6,FALSE)="","",VLOOKUP(E:E,'Old Report'!E:J,6,FALSE)),"")</f>
        <v/>
      </c>
      <c r="L1403" t="str">
        <f>IFERROR(IF(VLOOKUP(E:E,'Old Report'!E:L,8,FALSE)="","",VLOOKUP(E:E,'Old Report'!E:L,8,FALSE)),"")</f>
        <v/>
      </c>
      <c r="M1403" s="5" t="str">
        <f t="shared" si="108"/>
        <v/>
      </c>
      <c r="N1403" s="5" t="str">
        <f t="shared" si="109"/>
        <v/>
      </c>
    </row>
    <row r="1404" spans="1:14" x14ac:dyDescent="0.25">
      <c r="A1404" s="5">
        <v>1403</v>
      </c>
      <c r="B1404" s="5">
        <f t="shared" si="106"/>
        <v>0</v>
      </c>
      <c r="C1404" s="5" t="str">
        <f t="shared" si="105"/>
        <v/>
      </c>
      <c r="D1404" s="5" t="str">
        <f>IFERROR(IF(F1404&lt;&gt;"",F1404,VLOOKUP(MAX(C$2:C1404),A$2:F1404,2,FALSE)),"")</f>
        <v/>
      </c>
      <c r="E1404" s="5" t="str">
        <f t="shared" si="107"/>
        <v/>
      </c>
      <c r="K1404" t="str">
        <f>IFERROR(IF(VLOOKUP(E:E,'Old Report'!E:J,6,FALSE)="","",VLOOKUP(E:E,'Old Report'!E:J,6,FALSE)),"")</f>
        <v/>
      </c>
      <c r="L1404" t="str">
        <f>IFERROR(IF(VLOOKUP(E:E,'Old Report'!E:L,8,FALSE)="","",VLOOKUP(E:E,'Old Report'!E:L,8,FALSE)),"")</f>
        <v/>
      </c>
      <c r="M1404" s="5" t="str">
        <f t="shared" si="108"/>
        <v/>
      </c>
      <c r="N1404" s="5" t="str">
        <f t="shared" si="109"/>
        <v/>
      </c>
    </row>
    <row r="1405" spans="1:14" x14ac:dyDescent="0.25">
      <c r="A1405" s="5">
        <v>1404</v>
      </c>
      <c r="B1405" s="5">
        <f t="shared" si="106"/>
        <v>0</v>
      </c>
      <c r="C1405" s="5" t="str">
        <f t="shared" si="105"/>
        <v/>
      </c>
      <c r="D1405" s="5" t="str">
        <f>IFERROR(IF(F1405&lt;&gt;"",F1405,VLOOKUP(MAX(C$2:C1405),A$2:F1405,2,FALSE)),"")</f>
        <v/>
      </c>
      <c r="E1405" s="5" t="str">
        <f t="shared" si="107"/>
        <v/>
      </c>
      <c r="K1405" t="str">
        <f>IFERROR(IF(VLOOKUP(E:E,'Old Report'!E:J,6,FALSE)="","",VLOOKUP(E:E,'Old Report'!E:J,6,FALSE)),"")</f>
        <v/>
      </c>
      <c r="L1405" t="str">
        <f>IFERROR(IF(VLOOKUP(E:E,'Old Report'!E:L,8,FALSE)="","",VLOOKUP(E:E,'Old Report'!E:L,8,FALSE)),"")</f>
        <v/>
      </c>
      <c r="M1405" s="5" t="str">
        <f t="shared" si="108"/>
        <v/>
      </c>
      <c r="N1405" s="5" t="str">
        <f t="shared" si="109"/>
        <v/>
      </c>
    </row>
    <row r="1406" spans="1:14" x14ac:dyDescent="0.25">
      <c r="A1406" s="5">
        <v>1405</v>
      </c>
      <c r="B1406" s="5">
        <f t="shared" si="106"/>
        <v>0</v>
      </c>
      <c r="C1406" s="5" t="str">
        <f t="shared" si="105"/>
        <v/>
      </c>
      <c r="D1406" s="5" t="str">
        <f>IFERROR(IF(F1406&lt;&gt;"",F1406,VLOOKUP(MAX(C$2:C1406),A$2:F1406,2,FALSE)),"")</f>
        <v/>
      </c>
      <c r="E1406" s="5" t="str">
        <f t="shared" si="107"/>
        <v/>
      </c>
      <c r="K1406" t="str">
        <f>IFERROR(IF(VLOOKUP(E:E,'Old Report'!E:J,6,FALSE)="","",VLOOKUP(E:E,'Old Report'!E:J,6,FALSE)),"")</f>
        <v/>
      </c>
      <c r="L1406" t="str">
        <f>IFERROR(IF(VLOOKUP(E:E,'Old Report'!E:L,8,FALSE)="","",VLOOKUP(E:E,'Old Report'!E:L,8,FALSE)),"")</f>
        <v/>
      </c>
      <c r="M1406" s="5" t="str">
        <f t="shared" si="108"/>
        <v/>
      </c>
      <c r="N1406" s="5" t="str">
        <f t="shared" si="109"/>
        <v/>
      </c>
    </row>
    <row r="1407" spans="1:14" x14ac:dyDescent="0.25">
      <c r="A1407" s="5">
        <v>1406</v>
      </c>
      <c r="B1407" s="5">
        <f t="shared" si="106"/>
        <v>0</v>
      </c>
      <c r="C1407" s="5" t="str">
        <f t="shared" si="105"/>
        <v/>
      </c>
      <c r="D1407" s="5" t="str">
        <f>IFERROR(IF(F1407&lt;&gt;"",F1407,VLOOKUP(MAX(C$2:C1407),A$2:F1407,2,FALSE)),"")</f>
        <v/>
      </c>
      <c r="E1407" s="5" t="str">
        <f t="shared" si="107"/>
        <v/>
      </c>
      <c r="K1407" t="str">
        <f>IFERROR(IF(VLOOKUP(E:E,'Old Report'!E:J,6,FALSE)="","",VLOOKUP(E:E,'Old Report'!E:J,6,FALSE)),"")</f>
        <v/>
      </c>
      <c r="L1407" t="str">
        <f>IFERROR(IF(VLOOKUP(E:E,'Old Report'!E:L,8,FALSE)="","",VLOOKUP(E:E,'Old Report'!E:L,8,FALSE)),"")</f>
        <v/>
      </c>
      <c r="M1407" s="5" t="str">
        <f t="shared" si="108"/>
        <v/>
      </c>
      <c r="N1407" s="5" t="str">
        <f t="shared" si="109"/>
        <v/>
      </c>
    </row>
    <row r="1408" spans="1:14" x14ac:dyDescent="0.25">
      <c r="A1408" s="5">
        <v>1407</v>
      </c>
      <c r="B1408" s="5">
        <f t="shared" si="106"/>
        <v>0</v>
      </c>
      <c r="C1408" s="5" t="str">
        <f t="shared" si="105"/>
        <v/>
      </c>
      <c r="D1408" s="5" t="str">
        <f>IFERROR(IF(F1408&lt;&gt;"",F1408,VLOOKUP(MAX(C$2:C1408),A$2:F1408,2,FALSE)),"")</f>
        <v/>
      </c>
      <c r="E1408" s="5" t="str">
        <f t="shared" si="107"/>
        <v/>
      </c>
      <c r="K1408" t="str">
        <f>IFERROR(IF(VLOOKUP(E:E,'Old Report'!E:J,6,FALSE)="","",VLOOKUP(E:E,'Old Report'!E:J,6,FALSE)),"")</f>
        <v/>
      </c>
      <c r="L1408" t="str">
        <f>IFERROR(IF(VLOOKUP(E:E,'Old Report'!E:L,8,FALSE)="","",VLOOKUP(E:E,'Old Report'!E:L,8,FALSE)),"")</f>
        <v/>
      </c>
      <c r="M1408" s="5" t="str">
        <f t="shared" si="108"/>
        <v/>
      </c>
      <c r="N1408" s="5" t="str">
        <f t="shared" si="109"/>
        <v/>
      </c>
    </row>
    <row r="1409" spans="1:14" x14ac:dyDescent="0.25">
      <c r="A1409" s="5">
        <v>1408</v>
      </c>
      <c r="B1409" s="5">
        <f t="shared" si="106"/>
        <v>0</v>
      </c>
      <c r="C1409" s="5" t="str">
        <f t="shared" si="105"/>
        <v/>
      </c>
      <c r="D1409" s="5" t="str">
        <f>IFERROR(IF(F1409&lt;&gt;"",F1409,VLOOKUP(MAX(C$2:C1409),A$2:F1409,2,FALSE)),"")</f>
        <v/>
      </c>
      <c r="E1409" s="5" t="str">
        <f t="shared" si="107"/>
        <v/>
      </c>
      <c r="K1409" t="str">
        <f>IFERROR(IF(VLOOKUP(E:E,'Old Report'!E:J,6,FALSE)="","",VLOOKUP(E:E,'Old Report'!E:J,6,FALSE)),"")</f>
        <v/>
      </c>
      <c r="L1409" t="str">
        <f>IFERROR(IF(VLOOKUP(E:E,'Old Report'!E:L,8,FALSE)="","",VLOOKUP(E:E,'Old Report'!E:L,8,FALSE)),"")</f>
        <v/>
      </c>
      <c r="M1409" s="5" t="str">
        <f t="shared" si="108"/>
        <v/>
      </c>
      <c r="N1409" s="5" t="str">
        <f t="shared" si="109"/>
        <v/>
      </c>
    </row>
    <row r="1410" spans="1:14" x14ac:dyDescent="0.25">
      <c r="A1410" s="5">
        <v>1409</v>
      </c>
      <c r="B1410" s="5">
        <f t="shared" si="106"/>
        <v>0</v>
      </c>
      <c r="C1410" s="5" t="str">
        <f t="shared" ref="C1410:C1473" si="110">IF(F1410&lt;&gt;"",A1410,"")</f>
        <v/>
      </c>
      <c r="D1410" s="5" t="str">
        <f>IFERROR(IF(F1410&lt;&gt;"",F1410,VLOOKUP(MAX(C$2:C1410),A$2:F1410,2,FALSE)),"")</f>
        <v/>
      </c>
      <c r="E1410" s="5" t="str">
        <f t="shared" si="107"/>
        <v/>
      </c>
      <c r="K1410" t="str">
        <f>IFERROR(IF(VLOOKUP(E:E,'Old Report'!E:J,6,FALSE)="","",VLOOKUP(E:E,'Old Report'!E:J,6,FALSE)),"")</f>
        <v/>
      </c>
      <c r="L1410" t="str">
        <f>IFERROR(IF(VLOOKUP(E:E,'Old Report'!E:L,8,FALSE)="","",VLOOKUP(E:E,'Old Report'!E:L,8,FALSE)),"")</f>
        <v/>
      </c>
      <c r="M1410" s="5" t="str">
        <f t="shared" si="108"/>
        <v/>
      </c>
      <c r="N1410" s="5" t="str">
        <f t="shared" si="109"/>
        <v/>
      </c>
    </row>
    <row r="1411" spans="1:14" x14ac:dyDescent="0.25">
      <c r="A1411" s="5">
        <v>1410</v>
      </c>
      <c r="B1411" s="5">
        <f t="shared" ref="B1411:B1474" si="111">IF(F1412&lt;&gt;"",F1412,F1411)</f>
        <v>0</v>
      </c>
      <c r="C1411" s="5" t="str">
        <f t="shared" si="110"/>
        <v/>
      </c>
      <c r="D1411" s="5" t="str">
        <f>IFERROR(IF(F1411&lt;&gt;"",F1411,VLOOKUP(MAX(C$2:C1411),A$2:F1411,2,FALSE)),"")</f>
        <v/>
      </c>
      <c r="E1411" s="5" t="str">
        <f t="shared" ref="E1411:E1474" si="112">IF(H1411&lt;&gt;"",CONCATENATE(D1411,".",H1411),"")</f>
        <v/>
      </c>
      <c r="K1411" t="str">
        <f>IFERROR(IF(VLOOKUP(E:E,'Old Report'!E:J,6,FALSE)="","",VLOOKUP(E:E,'Old Report'!E:J,6,FALSE)),"")</f>
        <v/>
      </c>
      <c r="L1411" t="str">
        <f>IFERROR(IF(VLOOKUP(E:E,'Old Report'!E:L,8,FALSE)="","",VLOOKUP(E:E,'Old Report'!E:L,8,FALSE)),"")</f>
        <v/>
      </c>
      <c r="M1411" s="5" t="str">
        <f t="shared" si="108"/>
        <v/>
      </c>
      <c r="N1411" s="5" t="str">
        <f t="shared" si="109"/>
        <v/>
      </c>
    </row>
    <row r="1412" spans="1:14" x14ac:dyDescent="0.25">
      <c r="A1412" s="5">
        <v>1411</v>
      </c>
      <c r="B1412" s="5">
        <f t="shared" si="111"/>
        <v>0</v>
      </c>
      <c r="C1412" s="5" t="str">
        <f t="shared" si="110"/>
        <v/>
      </c>
      <c r="D1412" s="5" t="str">
        <f>IFERROR(IF(F1412&lt;&gt;"",F1412,VLOOKUP(MAX(C$2:C1412),A$2:F1412,2,FALSE)),"")</f>
        <v/>
      </c>
      <c r="E1412" s="5" t="str">
        <f t="shared" si="112"/>
        <v/>
      </c>
      <c r="K1412" t="str">
        <f>IFERROR(IF(VLOOKUP(E:E,'Old Report'!E:J,6,FALSE)="","",VLOOKUP(E:E,'Old Report'!E:J,6,FALSE)),"")</f>
        <v/>
      </c>
      <c r="L1412" t="str">
        <f>IFERROR(IF(VLOOKUP(E:E,'Old Report'!E:L,8,FALSE)="","",VLOOKUP(E:E,'Old Report'!E:L,8,FALSE)),"")</f>
        <v/>
      </c>
      <c r="M1412" s="5" t="str">
        <f t="shared" ref="M1412:M1475" si="113">IFERROR(L1412,"")</f>
        <v/>
      </c>
      <c r="N1412" s="5" t="str">
        <f t="shared" ref="N1412:N1475" si="114">IFERROR( IF(J1412&lt;&gt;"",IF(K1412 &lt;&gt; "",IF(J1412 = K1412,"No Change",IF(J1412 &lt; K1412,CONCATENATE("Issues reduced from ",K1412," to ",J1412),IF(J1412&gt;K1412,CONCATENATE("Issues increased from ",K1412," to ",J1412),""))),"New issue - needs to be checked"),""),"")</f>
        <v/>
      </c>
    </row>
    <row r="1413" spans="1:14" x14ac:dyDescent="0.25">
      <c r="A1413" s="5">
        <v>1412</v>
      </c>
      <c r="B1413" s="5">
        <f t="shared" si="111"/>
        <v>0</v>
      </c>
      <c r="C1413" s="5" t="str">
        <f t="shared" si="110"/>
        <v/>
      </c>
      <c r="D1413" s="5" t="str">
        <f>IFERROR(IF(F1413&lt;&gt;"",F1413,VLOOKUP(MAX(C$2:C1413),A$2:F1413,2,FALSE)),"")</f>
        <v/>
      </c>
      <c r="E1413" s="5" t="str">
        <f t="shared" si="112"/>
        <v/>
      </c>
      <c r="K1413" t="str">
        <f>IFERROR(IF(VLOOKUP(E:E,'Old Report'!E:J,6,FALSE)="","",VLOOKUP(E:E,'Old Report'!E:J,6,FALSE)),"")</f>
        <v/>
      </c>
      <c r="L1413" t="str">
        <f>IFERROR(IF(VLOOKUP(E:E,'Old Report'!E:L,8,FALSE)="","",VLOOKUP(E:E,'Old Report'!E:L,8,FALSE)),"")</f>
        <v/>
      </c>
      <c r="M1413" s="5" t="str">
        <f t="shared" si="113"/>
        <v/>
      </c>
      <c r="N1413" s="5" t="str">
        <f t="shared" si="114"/>
        <v/>
      </c>
    </row>
    <row r="1414" spans="1:14" x14ac:dyDescent="0.25">
      <c r="A1414" s="5">
        <v>1413</v>
      </c>
      <c r="B1414" s="5">
        <f t="shared" si="111"/>
        <v>0</v>
      </c>
      <c r="C1414" s="5" t="str">
        <f t="shared" si="110"/>
        <v/>
      </c>
      <c r="D1414" s="5" t="str">
        <f>IFERROR(IF(F1414&lt;&gt;"",F1414,VLOOKUP(MAX(C$2:C1414),A$2:F1414,2,FALSE)),"")</f>
        <v/>
      </c>
      <c r="E1414" s="5" t="str">
        <f t="shared" si="112"/>
        <v/>
      </c>
      <c r="K1414" t="str">
        <f>IFERROR(IF(VLOOKUP(E:E,'Old Report'!E:J,6,FALSE)="","",VLOOKUP(E:E,'Old Report'!E:J,6,FALSE)),"")</f>
        <v/>
      </c>
      <c r="L1414" t="str">
        <f>IFERROR(IF(VLOOKUP(E:E,'Old Report'!E:L,8,FALSE)="","",VLOOKUP(E:E,'Old Report'!E:L,8,FALSE)),"")</f>
        <v/>
      </c>
      <c r="M1414" s="5" t="str">
        <f t="shared" si="113"/>
        <v/>
      </c>
      <c r="N1414" s="5" t="str">
        <f t="shared" si="114"/>
        <v/>
      </c>
    </row>
    <row r="1415" spans="1:14" x14ac:dyDescent="0.25">
      <c r="A1415" s="5">
        <v>1414</v>
      </c>
      <c r="B1415" s="5">
        <f t="shared" si="111"/>
        <v>0</v>
      </c>
      <c r="C1415" s="5" t="str">
        <f t="shared" si="110"/>
        <v/>
      </c>
      <c r="D1415" s="5" t="str">
        <f>IFERROR(IF(F1415&lt;&gt;"",F1415,VLOOKUP(MAX(C$2:C1415),A$2:F1415,2,FALSE)),"")</f>
        <v/>
      </c>
      <c r="E1415" s="5" t="str">
        <f t="shared" si="112"/>
        <v/>
      </c>
      <c r="K1415" t="str">
        <f>IFERROR(IF(VLOOKUP(E:E,'Old Report'!E:J,6,FALSE)="","",VLOOKUP(E:E,'Old Report'!E:J,6,FALSE)),"")</f>
        <v/>
      </c>
      <c r="L1415" t="str">
        <f>IFERROR(IF(VLOOKUP(E:E,'Old Report'!E:L,8,FALSE)="","",VLOOKUP(E:E,'Old Report'!E:L,8,FALSE)),"")</f>
        <v/>
      </c>
      <c r="M1415" s="5" t="str">
        <f t="shared" si="113"/>
        <v/>
      </c>
      <c r="N1415" s="5" t="str">
        <f t="shared" si="114"/>
        <v/>
      </c>
    </row>
    <row r="1416" spans="1:14" x14ac:dyDescent="0.25">
      <c r="A1416" s="5">
        <v>1415</v>
      </c>
      <c r="B1416" s="5">
        <f t="shared" si="111"/>
        <v>0</v>
      </c>
      <c r="C1416" s="5" t="str">
        <f t="shared" si="110"/>
        <v/>
      </c>
      <c r="D1416" s="5" t="str">
        <f>IFERROR(IF(F1416&lt;&gt;"",F1416,VLOOKUP(MAX(C$2:C1416),A$2:F1416,2,FALSE)),"")</f>
        <v/>
      </c>
      <c r="E1416" s="5" t="str">
        <f t="shared" si="112"/>
        <v/>
      </c>
      <c r="K1416" t="str">
        <f>IFERROR(IF(VLOOKUP(E:E,'Old Report'!E:J,6,FALSE)="","",VLOOKUP(E:E,'Old Report'!E:J,6,FALSE)),"")</f>
        <v/>
      </c>
      <c r="L1416" t="str">
        <f>IFERROR(IF(VLOOKUP(E:E,'Old Report'!E:L,8,FALSE)="","",VLOOKUP(E:E,'Old Report'!E:L,8,FALSE)),"")</f>
        <v/>
      </c>
      <c r="M1416" s="5" t="str">
        <f t="shared" si="113"/>
        <v/>
      </c>
      <c r="N1416" s="5" t="str">
        <f t="shared" si="114"/>
        <v/>
      </c>
    </row>
    <row r="1417" spans="1:14" x14ac:dyDescent="0.25">
      <c r="A1417" s="5">
        <v>1416</v>
      </c>
      <c r="B1417" s="5">
        <f t="shared" si="111"/>
        <v>0</v>
      </c>
      <c r="C1417" s="5" t="str">
        <f t="shared" si="110"/>
        <v/>
      </c>
      <c r="D1417" s="5" t="str">
        <f>IFERROR(IF(F1417&lt;&gt;"",F1417,VLOOKUP(MAX(C$2:C1417),A$2:F1417,2,FALSE)),"")</f>
        <v/>
      </c>
      <c r="E1417" s="5" t="str">
        <f t="shared" si="112"/>
        <v/>
      </c>
      <c r="K1417" t="str">
        <f>IFERROR(IF(VLOOKUP(E:E,'Old Report'!E:J,6,FALSE)="","",VLOOKUP(E:E,'Old Report'!E:J,6,FALSE)),"")</f>
        <v/>
      </c>
      <c r="L1417" t="str">
        <f>IFERROR(IF(VLOOKUP(E:E,'Old Report'!E:L,8,FALSE)="","",VLOOKUP(E:E,'Old Report'!E:L,8,FALSE)),"")</f>
        <v/>
      </c>
      <c r="M1417" s="5" t="str">
        <f t="shared" si="113"/>
        <v/>
      </c>
      <c r="N1417" s="5" t="str">
        <f t="shared" si="114"/>
        <v/>
      </c>
    </row>
    <row r="1418" spans="1:14" x14ac:dyDescent="0.25">
      <c r="A1418" s="5">
        <v>1417</v>
      </c>
      <c r="B1418" s="5">
        <f t="shared" si="111"/>
        <v>0</v>
      </c>
      <c r="C1418" s="5" t="str">
        <f t="shared" si="110"/>
        <v/>
      </c>
      <c r="D1418" s="5" t="str">
        <f>IFERROR(IF(F1418&lt;&gt;"",F1418,VLOOKUP(MAX(C$2:C1418),A$2:F1418,2,FALSE)),"")</f>
        <v/>
      </c>
      <c r="E1418" s="5" t="str">
        <f t="shared" si="112"/>
        <v/>
      </c>
      <c r="K1418" t="str">
        <f>IFERROR(IF(VLOOKUP(E:E,'Old Report'!E:J,6,FALSE)="","",VLOOKUP(E:E,'Old Report'!E:J,6,FALSE)),"")</f>
        <v/>
      </c>
      <c r="L1418" t="str">
        <f>IFERROR(IF(VLOOKUP(E:E,'Old Report'!E:L,8,FALSE)="","",VLOOKUP(E:E,'Old Report'!E:L,8,FALSE)),"")</f>
        <v/>
      </c>
      <c r="M1418" s="5" t="str">
        <f t="shared" si="113"/>
        <v/>
      </c>
      <c r="N1418" s="5" t="str">
        <f t="shared" si="114"/>
        <v/>
      </c>
    </row>
    <row r="1419" spans="1:14" x14ac:dyDescent="0.25">
      <c r="A1419" s="5">
        <v>1418</v>
      </c>
      <c r="B1419" s="5">
        <f t="shared" si="111"/>
        <v>0</v>
      </c>
      <c r="C1419" s="5" t="str">
        <f t="shared" si="110"/>
        <v/>
      </c>
      <c r="D1419" s="5" t="str">
        <f>IFERROR(IF(F1419&lt;&gt;"",F1419,VLOOKUP(MAX(C$2:C1419),A$2:F1419,2,FALSE)),"")</f>
        <v/>
      </c>
      <c r="E1419" s="5" t="str">
        <f t="shared" si="112"/>
        <v/>
      </c>
      <c r="K1419" t="str">
        <f>IFERROR(IF(VLOOKUP(E:E,'Old Report'!E:J,6,FALSE)="","",VLOOKUP(E:E,'Old Report'!E:J,6,FALSE)),"")</f>
        <v/>
      </c>
      <c r="L1419" t="str">
        <f>IFERROR(IF(VLOOKUP(E:E,'Old Report'!E:L,8,FALSE)="","",VLOOKUP(E:E,'Old Report'!E:L,8,FALSE)),"")</f>
        <v/>
      </c>
      <c r="M1419" s="5" t="str">
        <f t="shared" si="113"/>
        <v/>
      </c>
      <c r="N1419" s="5" t="str">
        <f t="shared" si="114"/>
        <v/>
      </c>
    </row>
    <row r="1420" spans="1:14" x14ac:dyDescent="0.25">
      <c r="A1420" s="5">
        <v>1419</v>
      </c>
      <c r="B1420" s="5">
        <f t="shared" si="111"/>
        <v>0</v>
      </c>
      <c r="C1420" s="5" t="str">
        <f t="shared" si="110"/>
        <v/>
      </c>
      <c r="D1420" s="5" t="str">
        <f>IFERROR(IF(F1420&lt;&gt;"",F1420,VLOOKUP(MAX(C$2:C1420),A$2:F1420,2,FALSE)),"")</f>
        <v/>
      </c>
      <c r="E1420" s="5" t="str">
        <f t="shared" si="112"/>
        <v/>
      </c>
      <c r="K1420" t="str">
        <f>IFERROR(IF(VLOOKUP(E:E,'Old Report'!E:J,6,FALSE)="","",VLOOKUP(E:E,'Old Report'!E:J,6,FALSE)),"")</f>
        <v/>
      </c>
      <c r="L1420" t="str">
        <f>IFERROR(IF(VLOOKUP(E:E,'Old Report'!E:L,8,FALSE)="","",VLOOKUP(E:E,'Old Report'!E:L,8,FALSE)),"")</f>
        <v/>
      </c>
      <c r="M1420" s="5" t="str">
        <f t="shared" si="113"/>
        <v/>
      </c>
      <c r="N1420" s="5" t="str">
        <f t="shared" si="114"/>
        <v/>
      </c>
    </row>
    <row r="1421" spans="1:14" x14ac:dyDescent="0.25">
      <c r="A1421" s="5">
        <v>1420</v>
      </c>
      <c r="B1421" s="5">
        <f t="shared" si="111"/>
        <v>0</v>
      </c>
      <c r="C1421" s="5" t="str">
        <f t="shared" si="110"/>
        <v/>
      </c>
      <c r="D1421" s="5" t="str">
        <f>IFERROR(IF(F1421&lt;&gt;"",F1421,VLOOKUP(MAX(C$2:C1421),A$2:F1421,2,FALSE)),"")</f>
        <v/>
      </c>
      <c r="E1421" s="5" t="str">
        <f t="shared" si="112"/>
        <v/>
      </c>
      <c r="K1421" t="str">
        <f>IFERROR(IF(VLOOKUP(E:E,'Old Report'!E:J,6,FALSE)="","",VLOOKUP(E:E,'Old Report'!E:J,6,FALSE)),"")</f>
        <v/>
      </c>
      <c r="L1421" t="str">
        <f>IFERROR(IF(VLOOKUP(E:E,'Old Report'!E:L,8,FALSE)="","",VLOOKUP(E:E,'Old Report'!E:L,8,FALSE)),"")</f>
        <v/>
      </c>
      <c r="M1421" s="5" t="str">
        <f t="shared" si="113"/>
        <v/>
      </c>
      <c r="N1421" s="5" t="str">
        <f t="shared" si="114"/>
        <v/>
      </c>
    </row>
    <row r="1422" spans="1:14" x14ac:dyDescent="0.25">
      <c r="A1422" s="5">
        <v>1421</v>
      </c>
      <c r="B1422" s="5">
        <f t="shared" si="111"/>
        <v>0</v>
      </c>
      <c r="C1422" s="5" t="str">
        <f t="shared" si="110"/>
        <v/>
      </c>
      <c r="D1422" s="5" t="str">
        <f>IFERROR(IF(F1422&lt;&gt;"",F1422,VLOOKUP(MAX(C$2:C1422),A$2:F1422,2,FALSE)),"")</f>
        <v/>
      </c>
      <c r="E1422" s="5" t="str">
        <f t="shared" si="112"/>
        <v/>
      </c>
      <c r="K1422" t="str">
        <f>IFERROR(IF(VLOOKUP(E:E,'Old Report'!E:J,6,FALSE)="","",VLOOKUP(E:E,'Old Report'!E:J,6,FALSE)),"")</f>
        <v/>
      </c>
      <c r="L1422" t="str">
        <f>IFERROR(IF(VLOOKUP(E:E,'Old Report'!E:L,8,FALSE)="","",VLOOKUP(E:E,'Old Report'!E:L,8,FALSE)),"")</f>
        <v/>
      </c>
      <c r="M1422" s="5" t="str">
        <f t="shared" si="113"/>
        <v/>
      </c>
      <c r="N1422" s="5" t="str">
        <f t="shared" si="114"/>
        <v/>
      </c>
    </row>
    <row r="1423" spans="1:14" x14ac:dyDescent="0.25">
      <c r="A1423" s="5">
        <v>1422</v>
      </c>
      <c r="B1423" s="5">
        <f t="shared" si="111"/>
        <v>0</v>
      </c>
      <c r="C1423" s="5" t="str">
        <f t="shared" si="110"/>
        <v/>
      </c>
      <c r="D1423" s="5" t="str">
        <f>IFERROR(IF(F1423&lt;&gt;"",F1423,VLOOKUP(MAX(C$2:C1423),A$2:F1423,2,FALSE)),"")</f>
        <v/>
      </c>
      <c r="E1423" s="5" t="str">
        <f t="shared" si="112"/>
        <v/>
      </c>
      <c r="K1423" t="str">
        <f>IFERROR(IF(VLOOKUP(E:E,'Old Report'!E:J,6,FALSE)="","",VLOOKUP(E:E,'Old Report'!E:J,6,FALSE)),"")</f>
        <v/>
      </c>
      <c r="L1423" t="str">
        <f>IFERROR(IF(VLOOKUP(E:E,'Old Report'!E:L,8,FALSE)="","",VLOOKUP(E:E,'Old Report'!E:L,8,FALSE)),"")</f>
        <v/>
      </c>
      <c r="M1423" s="5" t="str">
        <f t="shared" si="113"/>
        <v/>
      </c>
      <c r="N1423" s="5" t="str">
        <f t="shared" si="114"/>
        <v/>
      </c>
    </row>
    <row r="1424" spans="1:14" x14ac:dyDescent="0.25">
      <c r="A1424" s="5">
        <v>1423</v>
      </c>
      <c r="B1424" s="5">
        <f t="shared" si="111"/>
        <v>0</v>
      </c>
      <c r="C1424" s="5" t="str">
        <f t="shared" si="110"/>
        <v/>
      </c>
      <c r="D1424" s="5" t="str">
        <f>IFERROR(IF(F1424&lt;&gt;"",F1424,VLOOKUP(MAX(C$2:C1424),A$2:F1424,2,FALSE)),"")</f>
        <v/>
      </c>
      <c r="E1424" s="5" t="str">
        <f t="shared" si="112"/>
        <v/>
      </c>
      <c r="K1424" t="str">
        <f>IFERROR(IF(VLOOKUP(E:E,'Old Report'!E:J,6,FALSE)="","",VLOOKUP(E:E,'Old Report'!E:J,6,FALSE)),"")</f>
        <v/>
      </c>
      <c r="L1424" t="str">
        <f>IFERROR(IF(VLOOKUP(E:E,'Old Report'!E:L,8,FALSE)="","",VLOOKUP(E:E,'Old Report'!E:L,8,FALSE)),"")</f>
        <v/>
      </c>
      <c r="M1424" s="5" t="str">
        <f t="shared" si="113"/>
        <v/>
      </c>
      <c r="N1424" s="5" t="str">
        <f t="shared" si="114"/>
        <v/>
      </c>
    </row>
    <row r="1425" spans="1:14" x14ac:dyDescent="0.25">
      <c r="A1425" s="5">
        <v>1424</v>
      </c>
      <c r="B1425" s="5">
        <f t="shared" si="111"/>
        <v>0</v>
      </c>
      <c r="C1425" s="5" t="str">
        <f t="shared" si="110"/>
        <v/>
      </c>
      <c r="D1425" s="5" t="str">
        <f>IFERROR(IF(F1425&lt;&gt;"",F1425,VLOOKUP(MAX(C$2:C1425),A$2:F1425,2,FALSE)),"")</f>
        <v/>
      </c>
      <c r="E1425" s="5" t="str">
        <f t="shared" si="112"/>
        <v/>
      </c>
      <c r="K1425" t="str">
        <f>IFERROR(IF(VLOOKUP(E:E,'Old Report'!E:J,6,FALSE)="","",VLOOKUP(E:E,'Old Report'!E:J,6,FALSE)),"")</f>
        <v/>
      </c>
      <c r="L1425" t="str">
        <f>IFERROR(IF(VLOOKUP(E:E,'Old Report'!E:L,8,FALSE)="","",VLOOKUP(E:E,'Old Report'!E:L,8,FALSE)),"")</f>
        <v/>
      </c>
      <c r="M1425" s="5" t="str">
        <f t="shared" si="113"/>
        <v/>
      </c>
      <c r="N1425" s="5" t="str">
        <f t="shared" si="114"/>
        <v/>
      </c>
    </row>
    <row r="1426" spans="1:14" x14ac:dyDescent="0.25">
      <c r="A1426" s="5">
        <v>1425</v>
      </c>
      <c r="B1426" s="5">
        <f t="shared" si="111"/>
        <v>0</v>
      </c>
      <c r="C1426" s="5" t="str">
        <f t="shared" si="110"/>
        <v/>
      </c>
      <c r="D1426" s="5" t="str">
        <f>IFERROR(IF(F1426&lt;&gt;"",F1426,VLOOKUP(MAX(C$2:C1426),A$2:F1426,2,FALSE)),"")</f>
        <v/>
      </c>
      <c r="E1426" s="5" t="str">
        <f t="shared" si="112"/>
        <v/>
      </c>
      <c r="K1426" t="str">
        <f>IFERROR(IF(VLOOKUP(E:E,'Old Report'!E:J,6,FALSE)="","",VLOOKUP(E:E,'Old Report'!E:J,6,FALSE)),"")</f>
        <v/>
      </c>
      <c r="L1426" t="str">
        <f>IFERROR(IF(VLOOKUP(E:E,'Old Report'!E:L,8,FALSE)="","",VLOOKUP(E:E,'Old Report'!E:L,8,FALSE)),"")</f>
        <v/>
      </c>
      <c r="M1426" s="5" t="str">
        <f t="shared" si="113"/>
        <v/>
      </c>
      <c r="N1426" s="5" t="str">
        <f t="shared" si="114"/>
        <v/>
      </c>
    </row>
    <row r="1427" spans="1:14" x14ac:dyDescent="0.25">
      <c r="A1427" s="5">
        <v>1426</v>
      </c>
      <c r="B1427" s="5">
        <f t="shared" si="111"/>
        <v>0</v>
      </c>
      <c r="C1427" s="5" t="str">
        <f t="shared" si="110"/>
        <v/>
      </c>
      <c r="D1427" s="5" t="str">
        <f>IFERROR(IF(F1427&lt;&gt;"",F1427,VLOOKUP(MAX(C$2:C1427),A$2:F1427,2,FALSE)),"")</f>
        <v/>
      </c>
      <c r="E1427" s="5" t="str">
        <f t="shared" si="112"/>
        <v/>
      </c>
      <c r="K1427" t="str">
        <f>IFERROR(IF(VLOOKUP(E:E,'Old Report'!E:J,6,FALSE)="","",VLOOKUP(E:E,'Old Report'!E:J,6,FALSE)),"")</f>
        <v/>
      </c>
      <c r="L1427" t="str">
        <f>IFERROR(IF(VLOOKUP(E:E,'Old Report'!E:L,8,FALSE)="","",VLOOKUP(E:E,'Old Report'!E:L,8,FALSE)),"")</f>
        <v/>
      </c>
      <c r="M1427" s="5" t="str">
        <f t="shared" si="113"/>
        <v/>
      </c>
      <c r="N1427" s="5" t="str">
        <f t="shared" si="114"/>
        <v/>
      </c>
    </row>
    <row r="1428" spans="1:14" x14ac:dyDescent="0.25">
      <c r="A1428" s="5">
        <v>1427</v>
      </c>
      <c r="B1428" s="5">
        <f t="shared" si="111"/>
        <v>0</v>
      </c>
      <c r="C1428" s="5" t="str">
        <f t="shared" si="110"/>
        <v/>
      </c>
      <c r="D1428" s="5" t="str">
        <f>IFERROR(IF(F1428&lt;&gt;"",F1428,VLOOKUP(MAX(C$2:C1428),A$2:F1428,2,FALSE)),"")</f>
        <v/>
      </c>
      <c r="E1428" s="5" t="str">
        <f t="shared" si="112"/>
        <v/>
      </c>
      <c r="K1428" t="str">
        <f>IFERROR(IF(VLOOKUP(E:E,'Old Report'!E:J,6,FALSE)="","",VLOOKUP(E:E,'Old Report'!E:J,6,FALSE)),"")</f>
        <v/>
      </c>
      <c r="L1428" t="str">
        <f>IFERROR(IF(VLOOKUP(E:E,'Old Report'!E:L,8,FALSE)="","",VLOOKUP(E:E,'Old Report'!E:L,8,FALSE)),"")</f>
        <v/>
      </c>
      <c r="M1428" s="5" t="str">
        <f t="shared" si="113"/>
        <v/>
      </c>
      <c r="N1428" s="5" t="str">
        <f t="shared" si="114"/>
        <v/>
      </c>
    </row>
    <row r="1429" spans="1:14" x14ac:dyDescent="0.25">
      <c r="A1429" s="5">
        <v>1428</v>
      </c>
      <c r="B1429" s="5">
        <f t="shared" si="111"/>
        <v>0</v>
      </c>
      <c r="C1429" s="5" t="str">
        <f t="shared" si="110"/>
        <v/>
      </c>
      <c r="D1429" s="5" t="str">
        <f>IFERROR(IF(F1429&lt;&gt;"",F1429,VLOOKUP(MAX(C$2:C1429),A$2:F1429,2,FALSE)),"")</f>
        <v/>
      </c>
      <c r="E1429" s="5" t="str">
        <f t="shared" si="112"/>
        <v/>
      </c>
      <c r="K1429" t="str">
        <f>IFERROR(IF(VLOOKUP(E:E,'Old Report'!E:J,6,FALSE)="","",VLOOKUP(E:E,'Old Report'!E:J,6,FALSE)),"")</f>
        <v/>
      </c>
      <c r="L1429" t="str">
        <f>IFERROR(IF(VLOOKUP(E:E,'Old Report'!E:L,8,FALSE)="","",VLOOKUP(E:E,'Old Report'!E:L,8,FALSE)),"")</f>
        <v/>
      </c>
      <c r="M1429" s="5" t="str">
        <f t="shared" si="113"/>
        <v/>
      </c>
      <c r="N1429" s="5" t="str">
        <f t="shared" si="114"/>
        <v/>
      </c>
    </row>
    <row r="1430" spans="1:14" x14ac:dyDescent="0.25">
      <c r="A1430" s="5">
        <v>1429</v>
      </c>
      <c r="B1430" s="5">
        <f t="shared" si="111"/>
        <v>0</v>
      </c>
      <c r="C1430" s="5" t="str">
        <f t="shared" si="110"/>
        <v/>
      </c>
      <c r="D1430" s="5" t="str">
        <f>IFERROR(IF(F1430&lt;&gt;"",F1430,VLOOKUP(MAX(C$2:C1430),A$2:F1430,2,FALSE)),"")</f>
        <v/>
      </c>
      <c r="E1430" s="5" t="str">
        <f t="shared" si="112"/>
        <v/>
      </c>
      <c r="K1430" t="str">
        <f>IFERROR(IF(VLOOKUP(E:E,'Old Report'!E:J,6,FALSE)="","",VLOOKUP(E:E,'Old Report'!E:J,6,FALSE)),"")</f>
        <v/>
      </c>
      <c r="L1430" t="str">
        <f>IFERROR(IF(VLOOKUP(E:E,'Old Report'!E:L,8,FALSE)="","",VLOOKUP(E:E,'Old Report'!E:L,8,FALSE)),"")</f>
        <v/>
      </c>
      <c r="M1430" s="5" t="str">
        <f t="shared" si="113"/>
        <v/>
      </c>
      <c r="N1430" s="5" t="str">
        <f t="shared" si="114"/>
        <v/>
      </c>
    </row>
    <row r="1431" spans="1:14" x14ac:dyDescent="0.25">
      <c r="A1431" s="5">
        <v>1430</v>
      </c>
      <c r="B1431" s="5">
        <f t="shared" si="111"/>
        <v>0</v>
      </c>
      <c r="C1431" s="5" t="str">
        <f t="shared" si="110"/>
        <v/>
      </c>
      <c r="D1431" s="5" t="str">
        <f>IFERROR(IF(F1431&lt;&gt;"",F1431,VLOOKUP(MAX(C$2:C1431),A$2:F1431,2,FALSE)),"")</f>
        <v/>
      </c>
      <c r="E1431" s="5" t="str">
        <f t="shared" si="112"/>
        <v/>
      </c>
      <c r="K1431" t="str">
        <f>IFERROR(IF(VLOOKUP(E:E,'Old Report'!E:J,6,FALSE)="","",VLOOKUP(E:E,'Old Report'!E:J,6,FALSE)),"")</f>
        <v/>
      </c>
      <c r="L1431" t="str">
        <f>IFERROR(IF(VLOOKUP(E:E,'Old Report'!E:L,8,FALSE)="","",VLOOKUP(E:E,'Old Report'!E:L,8,FALSE)),"")</f>
        <v/>
      </c>
      <c r="M1431" s="5" t="str">
        <f t="shared" si="113"/>
        <v/>
      </c>
      <c r="N1431" s="5" t="str">
        <f t="shared" si="114"/>
        <v/>
      </c>
    </row>
    <row r="1432" spans="1:14" x14ac:dyDescent="0.25">
      <c r="A1432" s="5">
        <v>1431</v>
      </c>
      <c r="B1432" s="5">
        <f t="shared" si="111"/>
        <v>0</v>
      </c>
      <c r="C1432" s="5" t="str">
        <f t="shared" si="110"/>
        <v/>
      </c>
      <c r="D1432" s="5" t="str">
        <f>IFERROR(IF(F1432&lt;&gt;"",F1432,VLOOKUP(MAX(C$2:C1432),A$2:F1432,2,FALSE)),"")</f>
        <v/>
      </c>
      <c r="E1432" s="5" t="str">
        <f t="shared" si="112"/>
        <v/>
      </c>
      <c r="K1432" t="str">
        <f>IFERROR(IF(VLOOKUP(E:E,'Old Report'!E:J,6,FALSE)="","",VLOOKUP(E:E,'Old Report'!E:J,6,FALSE)),"")</f>
        <v/>
      </c>
      <c r="L1432" t="str">
        <f>IFERROR(IF(VLOOKUP(E:E,'Old Report'!E:L,8,FALSE)="","",VLOOKUP(E:E,'Old Report'!E:L,8,FALSE)),"")</f>
        <v/>
      </c>
      <c r="M1432" s="5" t="str">
        <f t="shared" si="113"/>
        <v/>
      </c>
      <c r="N1432" s="5" t="str">
        <f t="shared" si="114"/>
        <v/>
      </c>
    </row>
    <row r="1433" spans="1:14" x14ac:dyDescent="0.25">
      <c r="A1433" s="5">
        <v>1432</v>
      </c>
      <c r="B1433" s="5">
        <f t="shared" si="111"/>
        <v>0</v>
      </c>
      <c r="C1433" s="5" t="str">
        <f t="shared" si="110"/>
        <v/>
      </c>
      <c r="D1433" s="5" t="str">
        <f>IFERROR(IF(F1433&lt;&gt;"",F1433,VLOOKUP(MAX(C$2:C1433),A$2:F1433,2,FALSE)),"")</f>
        <v/>
      </c>
      <c r="E1433" s="5" t="str">
        <f t="shared" si="112"/>
        <v/>
      </c>
      <c r="K1433" t="str">
        <f>IFERROR(IF(VLOOKUP(E:E,'Old Report'!E:J,6,FALSE)="","",VLOOKUP(E:E,'Old Report'!E:J,6,FALSE)),"")</f>
        <v/>
      </c>
      <c r="L1433" t="str">
        <f>IFERROR(IF(VLOOKUP(E:E,'Old Report'!E:L,8,FALSE)="","",VLOOKUP(E:E,'Old Report'!E:L,8,FALSE)),"")</f>
        <v/>
      </c>
      <c r="M1433" s="5" t="str">
        <f t="shared" si="113"/>
        <v/>
      </c>
      <c r="N1433" s="5" t="str">
        <f t="shared" si="114"/>
        <v/>
      </c>
    </row>
    <row r="1434" spans="1:14" x14ac:dyDescent="0.25">
      <c r="A1434" s="5">
        <v>1433</v>
      </c>
      <c r="B1434" s="5">
        <f t="shared" si="111"/>
        <v>0</v>
      </c>
      <c r="C1434" s="5" t="str">
        <f t="shared" si="110"/>
        <v/>
      </c>
      <c r="D1434" s="5" t="str">
        <f>IFERROR(IF(F1434&lt;&gt;"",F1434,VLOOKUP(MAX(C$2:C1434),A$2:F1434,2,FALSE)),"")</f>
        <v/>
      </c>
      <c r="E1434" s="5" t="str">
        <f t="shared" si="112"/>
        <v/>
      </c>
      <c r="K1434" t="str">
        <f>IFERROR(IF(VLOOKUP(E:E,'Old Report'!E:J,6,FALSE)="","",VLOOKUP(E:E,'Old Report'!E:J,6,FALSE)),"")</f>
        <v/>
      </c>
      <c r="L1434" t="str">
        <f>IFERROR(IF(VLOOKUP(E:E,'Old Report'!E:L,8,FALSE)="","",VLOOKUP(E:E,'Old Report'!E:L,8,FALSE)),"")</f>
        <v/>
      </c>
      <c r="M1434" s="5" t="str">
        <f t="shared" si="113"/>
        <v/>
      </c>
      <c r="N1434" s="5" t="str">
        <f t="shared" si="114"/>
        <v/>
      </c>
    </row>
    <row r="1435" spans="1:14" x14ac:dyDescent="0.25">
      <c r="A1435" s="5">
        <v>1434</v>
      </c>
      <c r="B1435" s="5">
        <f t="shared" si="111"/>
        <v>0</v>
      </c>
      <c r="C1435" s="5" t="str">
        <f t="shared" si="110"/>
        <v/>
      </c>
      <c r="D1435" s="5" t="str">
        <f>IFERROR(IF(F1435&lt;&gt;"",F1435,VLOOKUP(MAX(C$2:C1435),A$2:F1435,2,FALSE)),"")</f>
        <v/>
      </c>
      <c r="E1435" s="5" t="str">
        <f t="shared" si="112"/>
        <v/>
      </c>
      <c r="K1435" t="str">
        <f>IFERROR(IF(VLOOKUP(E:E,'Old Report'!E:J,6,FALSE)="","",VLOOKUP(E:E,'Old Report'!E:J,6,FALSE)),"")</f>
        <v/>
      </c>
      <c r="L1435" t="str">
        <f>IFERROR(IF(VLOOKUP(E:E,'Old Report'!E:L,8,FALSE)="","",VLOOKUP(E:E,'Old Report'!E:L,8,FALSE)),"")</f>
        <v/>
      </c>
      <c r="M1435" s="5" t="str">
        <f t="shared" si="113"/>
        <v/>
      </c>
      <c r="N1435" s="5" t="str">
        <f t="shared" si="114"/>
        <v/>
      </c>
    </row>
    <row r="1436" spans="1:14" x14ac:dyDescent="0.25">
      <c r="A1436" s="5">
        <v>1435</v>
      </c>
      <c r="B1436" s="5">
        <f t="shared" si="111"/>
        <v>0</v>
      </c>
      <c r="C1436" s="5" t="str">
        <f t="shared" si="110"/>
        <v/>
      </c>
      <c r="D1436" s="5" t="str">
        <f>IFERROR(IF(F1436&lt;&gt;"",F1436,VLOOKUP(MAX(C$2:C1436),A$2:F1436,2,FALSE)),"")</f>
        <v/>
      </c>
      <c r="E1436" s="5" t="str">
        <f t="shared" si="112"/>
        <v/>
      </c>
      <c r="K1436" t="str">
        <f>IFERROR(IF(VLOOKUP(E:E,'Old Report'!E:J,6,FALSE)="","",VLOOKUP(E:E,'Old Report'!E:J,6,FALSE)),"")</f>
        <v/>
      </c>
      <c r="L1436" t="str">
        <f>IFERROR(IF(VLOOKUP(E:E,'Old Report'!E:L,8,FALSE)="","",VLOOKUP(E:E,'Old Report'!E:L,8,FALSE)),"")</f>
        <v/>
      </c>
      <c r="M1436" s="5" t="str">
        <f t="shared" si="113"/>
        <v/>
      </c>
      <c r="N1436" s="5" t="str">
        <f t="shared" si="114"/>
        <v/>
      </c>
    </row>
    <row r="1437" spans="1:14" x14ac:dyDescent="0.25">
      <c r="A1437" s="5">
        <v>1436</v>
      </c>
      <c r="B1437" s="5">
        <f t="shared" si="111"/>
        <v>0</v>
      </c>
      <c r="C1437" s="5" t="str">
        <f t="shared" si="110"/>
        <v/>
      </c>
      <c r="D1437" s="5" t="str">
        <f>IFERROR(IF(F1437&lt;&gt;"",F1437,VLOOKUP(MAX(C$2:C1437),A$2:F1437,2,FALSE)),"")</f>
        <v/>
      </c>
      <c r="E1437" s="5" t="str">
        <f t="shared" si="112"/>
        <v/>
      </c>
      <c r="K1437" t="str">
        <f>IFERROR(IF(VLOOKUP(E:E,'Old Report'!E:J,6,FALSE)="","",VLOOKUP(E:E,'Old Report'!E:J,6,FALSE)),"")</f>
        <v/>
      </c>
      <c r="L1437" t="str">
        <f>IFERROR(IF(VLOOKUP(E:E,'Old Report'!E:L,8,FALSE)="","",VLOOKUP(E:E,'Old Report'!E:L,8,FALSE)),"")</f>
        <v/>
      </c>
      <c r="M1437" s="5" t="str">
        <f t="shared" si="113"/>
        <v/>
      </c>
      <c r="N1437" s="5" t="str">
        <f t="shared" si="114"/>
        <v/>
      </c>
    </row>
    <row r="1438" spans="1:14" x14ac:dyDescent="0.25">
      <c r="A1438" s="5">
        <v>1437</v>
      </c>
      <c r="B1438" s="5">
        <f t="shared" si="111"/>
        <v>0</v>
      </c>
      <c r="C1438" s="5" t="str">
        <f t="shared" si="110"/>
        <v/>
      </c>
      <c r="D1438" s="5" t="str">
        <f>IFERROR(IF(F1438&lt;&gt;"",F1438,VLOOKUP(MAX(C$2:C1438),A$2:F1438,2,FALSE)),"")</f>
        <v/>
      </c>
      <c r="E1438" s="5" t="str">
        <f t="shared" si="112"/>
        <v/>
      </c>
      <c r="K1438" t="str">
        <f>IFERROR(IF(VLOOKUP(E:E,'Old Report'!E:J,6,FALSE)="","",VLOOKUP(E:E,'Old Report'!E:J,6,FALSE)),"")</f>
        <v/>
      </c>
      <c r="L1438" t="str">
        <f>IFERROR(IF(VLOOKUP(E:E,'Old Report'!E:L,8,FALSE)="","",VLOOKUP(E:E,'Old Report'!E:L,8,FALSE)),"")</f>
        <v/>
      </c>
      <c r="M1438" s="5" t="str">
        <f t="shared" si="113"/>
        <v/>
      </c>
      <c r="N1438" s="5" t="str">
        <f t="shared" si="114"/>
        <v/>
      </c>
    </row>
    <row r="1439" spans="1:14" x14ac:dyDescent="0.25">
      <c r="A1439" s="5">
        <v>1438</v>
      </c>
      <c r="B1439" s="5">
        <f t="shared" si="111"/>
        <v>0</v>
      </c>
      <c r="C1439" s="5" t="str">
        <f t="shared" si="110"/>
        <v/>
      </c>
      <c r="D1439" s="5" t="str">
        <f>IFERROR(IF(F1439&lt;&gt;"",F1439,VLOOKUP(MAX(C$2:C1439),A$2:F1439,2,FALSE)),"")</f>
        <v/>
      </c>
      <c r="E1439" s="5" t="str">
        <f t="shared" si="112"/>
        <v/>
      </c>
      <c r="K1439" t="str">
        <f>IFERROR(IF(VLOOKUP(E:E,'Old Report'!E:J,6,FALSE)="","",VLOOKUP(E:E,'Old Report'!E:J,6,FALSE)),"")</f>
        <v/>
      </c>
      <c r="L1439" t="str">
        <f>IFERROR(IF(VLOOKUP(E:E,'Old Report'!E:L,8,FALSE)="","",VLOOKUP(E:E,'Old Report'!E:L,8,FALSE)),"")</f>
        <v/>
      </c>
      <c r="M1439" s="5" t="str">
        <f t="shared" si="113"/>
        <v/>
      </c>
      <c r="N1439" s="5" t="str">
        <f t="shared" si="114"/>
        <v/>
      </c>
    </row>
    <row r="1440" spans="1:14" x14ac:dyDescent="0.25">
      <c r="A1440" s="5">
        <v>1439</v>
      </c>
      <c r="B1440" s="5">
        <f t="shared" si="111"/>
        <v>0</v>
      </c>
      <c r="C1440" s="5" t="str">
        <f t="shared" si="110"/>
        <v/>
      </c>
      <c r="D1440" s="5" t="str">
        <f>IFERROR(IF(F1440&lt;&gt;"",F1440,VLOOKUP(MAX(C$2:C1440),A$2:F1440,2,FALSE)),"")</f>
        <v/>
      </c>
      <c r="E1440" s="5" t="str">
        <f t="shared" si="112"/>
        <v/>
      </c>
      <c r="K1440" t="str">
        <f>IFERROR(IF(VLOOKUP(E:E,'Old Report'!E:J,6,FALSE)="","",VLOOKUP(E:E,'Old Report'!E:J,6,FALSE)),"")</f>
        <v/>
      </c>
      <c r="L1440" t="str">
        <f>IFERROR(IF(VLOOKUP(E:E,'Old Report'!E:L,8,FALSE)="","",VLOOKUP(E:E,'Old Report'!E:L,8,FALSE)),"")</f>
        <v/>
      </c>
      <c r="M1440" s="5" t="str">
        <f t="shared" si="113"/>
        <v/>
      </c>
      <c r="N1440" s="5" t="str">
        <f t="shared" si="114"/>
        <v/>
      </c>
    </row>
    <row r="1441" spans="1:14" x14ac:dyDescent="0.25">
      <c r="A1441" s="5">
        <v>1440</v>
      </c>
      <c r="B1441" s="5">
        <f t="shared" si="111"/>
        <v>0</v>
      </c>
      <c r="C1441" s="5" t="str">
        <f t="shared" si="110"/>
        <v/>
      </c>
      <c r="D1441" s="5" t="str">
        <f>IFERROR(IF(F1441&lt;&gt;"",F1441,VLOOKUP(MAX(C$2:C1441),A$2:F1441,2,FALSE)),"")</f>
        <v/>
      </c>
      <c r="E1441" s="5" t="str">
        <f t="shared" si="112"/>
        <v/>
      </c>
      <c r="K1441" t="str">
        <f>IFERROR(IF(VLOOKUP(E:E,'Old Report'!E:J,6,FALSE)="","",VLOOKUP(E:E,'Old Report'!E:J,6,FALSE)),"")</f>
        <v/>
      </c>
      <c r="L1441" t="str">
        <f>IFERROR(IF(VLOOKUP(E:E,'Old Report'!E:L,8,FALSE)="","",VLOOKUP(E:E,'Old Report'!E:L,8,FALSE)),"")</f>
        <v/>
      </c>
      <c r="M1441" s="5" t="str">
        <f t="shared" si="113"/>
        <v/>
      </c>
      <c r="N1441" s="5" t="str">
        <f t="shared" si="114"/>
        <v/>
      </c>
    </row>
    <row r="1442" spans="1:14" x14ac:dyDescent="0.25">
      <c r="A1442" s="5">
        <v>1441</v>
      </c>
      <c r="B1442" s="5">
        <f t="shared" si="111"/>
        <v>0</v>
      </c>
      <c r="C1442" s="5" t="str">
        <f t="shared" si="110"/>
        <v/>
      </c>
      <c r="D1442" s="5" t="str">
        <f>IFERROR(IF(F1442&lt;&gt;"",F1442,VLOOKUP(MAX(C$2:C1442),A$2:F1442,2,FALSE)),"")</f>
        <v/>
      </c>
      <c r="E1442" s="5" t="str">
        <f t="shared" si="112"/>
        <v/>
      </c>
      <c r="K1442" t="str">
        <f>IFERROR(IF(VLOOKUP(E:E,'Old Report'!E:J,6,FALSE)="","",VLOOKUP(E:E,'Old Report'!E:J,6,FALSE)),"")</f>
        <v/>
      </c>
      <c r="L1442" t="str">
        <f>IFERROR(IF(VLOOKUP(E:E,'Old Report'!E:L,8,FALSE)="","",VLOOKUP(E:E,'Old Report'!E:L,8,FALSE)),"")</f>
        <v/>
      </c>
      <c r="M1442" s="5" t="str">
        <f t="shared" si="113"/>
        <v/>
      </c>
      <c r="N1442" s="5" t="str">
        <f t="shared" si="114"/>
        <v/>
      </c>
    </row>
    <row r="1443" spans="1:14" x14ac:dyDescent="0.25">
      <c r="A1443" s="5">
        <v>1442</v>
      </c>
      <c r="B1443" s="5">
        <f t="shared" si="111"/>
        <v>0</v>
      </c>
      <c r="C1443" s="5" t="str">
        <f t="shared" si="110"/>
        <v/>
      </c>
      <c r="D1443" s="5" t="str">
        <f>IFERROR(IF(F1443&lt;&gt;"",F1443,VLOOKUP(MAX(C$2:C1443),A$2:F1443,2,FALSE)),"")</f>
        <v/>
      </c>
      <c r="E1443" s="5" t="str">
        <f t="shared" si="112"/>
        <v/>
      </c>
      <c r="K1443" t="str">
        <f>IFERROR(IF(VLOOKUP(E:E,'Old Report'!E:J,6,FALSE)="","",VLOOKUP(E:E,'Old Report'!E:J,6,FALSE)),"")</f>
        <v/>
      </c>
      <c r="L1443" t="str">
        <f>IFERROR(IF(VLOOKUP(E:E,'Old Report'!E:L,8,FALSE)="","",VLOOKUP(E:E,'Old Report'!E:L,8,FALSE)),"")</f>
        <v/>
      </c>
      <c r="M1443" s="5" t="str">
        <f t="shared" si="113"/>
        <v/>
      </c>
      <c r="N1443" s="5" t="str">
        <f t="shared" si="114"/>
        <v/>
      </c>
    </row>
    <row r="1444" spans="1:14" x14ac:dyDescent="0.25">
      <c r="A1444" s="5">
        <v>1443</v>
      </c>
      <c r="B1444" s="5">
        <f t="shared" si="111"/>
        <v>0</v>
      </c>
      <c r="C1444" s="5" t="str">
        <f t="shared" si="110"/>
        <v/>
      </c>
      <c r="D1444" s="5" t="str">
        <f>IFERROR(IF(F1444&lt;&gt;"",F1444,VLOOKUP(MAX(C$2:C1444),A$2:F1444,2,FALSE)),"")</f>
        <v/>
      </c>
      <c r="E1444" s="5" t="str">
        <f t="shared" si="112"/>
        <v/>
      </c>
      <c r="K1444" t="str">
        <f>IFERROR(IF(VLOOKUP(E:E,'Old Report'!E:J,6,FALSE)="","",VLOOKUP(E:E,'Old Report'!E:J,6,FALSE)),"")</f>
        <v/>
      </c>
      <c r="L1444" t="str">
        <f>IFERROR(IF(VLOOKUP(E:E,'Old Report'!E:L,8,FALSE)="","",VLOOKUP(E:E,'Old Report'!E:L,8,FALSE)),"")</f>
        <v/>
      </c>
      <c r="M1444" s="5" t="str">
        <f t="shared" si="113"/>
        <v/>
      </c>
      <c r="N1444" s="5" t="str">
        <f t="shared" si="114"/>
        <v/>
      </c>
    </row>
    <row r="1445" spans="1:14" x14ac:dyDescent="0.25">
      <c r="A1445" s="5">
        <v>1444</v>
      </c>
      <c r="B1445" s="5">
        <f t="shared" si="111"/>
        <v>0</v>
      </c>
      <c r="C1445" s="5" t="str">
        <f t="shared" si="110"/>
        <v/>
      </c>
      <c r="D1445" s="5" t="str">
        <f>IFERROR(IF(F1445&lt;&gt;"",F1445,VLOOKUP(MAX(C$2:C1445),A$2:F1445,2,FALSE)),"")</f>
        <v/>
      </c>
      <c r="E1445" s="5" t="str">
        <f t="shared" si="112"/>
        <v/>
      </c>
      <c r="K1445" t="str">
        <f>IFERROR(IF(VLOOKUP(E:E,'Old Report'!E:J,6,FALSE)="","",VLOOKUP(E:E,'Old Report'!E:J,6,FALSE)),"")</f>
        <v/>
      </c>
      <c r="L1445" t="str">
        <f>IFERROR(IF(VLOOKUP(E:E,'Old Report'!E:L,8,FALSE)="","",VLOOKUP(E:E,'Old Report'!E:L,8,FALSE)),"")</f>
        <v/>
      </c>
      <c r="M1445" s="5" t="str">
        <f t="shared" si="113"/>
        <v/>
      </c>
      <c r="N1445" s="5" t="str">
        <f t="shared" si="114"/>
        <v/>
      </c>
    </row>
    <row r="1446" spans="1:14" x14ac:dyDescent="0.25">
      <c r="A1446" s="5">
        <v>1445</v>
      </c>
      <c r="B1446" s="5">
        <f t="shared" si="111"/>
        <v>0</v>
      </c>
      <c r="C1446" s="5" t="str">
        <f t="shared" si="110"/>
        <v/>
      </c>
      <c r="D1446" s="5" t="str">
        <f>IFERROR(IF(F1446&lt;&gt;"",F1446,VLOOKUP(MAX(C$2:C1446),A$2:F1446,2,FALSE)),"")</f>
        <v/>
      </c>
      <c r="E1446" s="5" t="str">
        <f t="shared" si="112"/>
        <v/>
      </c>
      <c r="K1446" t="str">
        <f>IFERROR(IF(VLOOKUP(E:E,'Old Report'!E:J,6,FALSE)="","",VLOOKUP(E:E,'Old Report'!E:J,6,FALSE)),"")</f>
        <v/>
      </c>
      <c r="L1446" t="str">
        <f>IFERROR(IF(VLOOKUP(E:E,'Old Report'!E:L,8,FALSE)="","",VLOOKUP(E:E,'Old Report'!E:L,8,FALSE)),"")</f>
        <v/>
      </c>
      <c r="M1446" s="5" t="str">
        <f t="shared" si="113"/>
        <v/>
      </c>
      <c r="N1446" s="5" t="str">
        <f t="shared" si="114"/>
        <v/>
      </c>
    </row>
    <row r="1447" spans="1:14" x14ac:dyDescent="0.25">
      <c r="A1447" s="5">
        <v>1446</v>
      </c>
      <c r="B1447" s="5">
        <f t="shared" si="111"/>
        <v>0</v>
      </c>
      <c r="C1447" s="5" t="str">
        <f t="shared" si="110"/>
        <v/>
      </c>
      <c r="D1447" s="5" t="str">
        <f>IFERROR(IF(F1447&lt;&gt;"",F1447,VLOOKUP(MAX(C$2:C1447),A$2:F1447,2,FALSE)),"")</f>
        <v/>
      </c>
      <c r="E1447" s="5" t="str">
        <f t="shared" si="112"/>
        <v/>
      </c>
      <c r="K1447" t="str">
        <f>IFERROR(IF(VLOOKUP(E:E,'Old Report'!E:J,6,FALSE)="","",VLOOKUP(E:E,'Old Report'!E:J,6,FALSE)),"")</f>
        <v/>
      </c>
      <c r="L1447" t="str">
        <f>IFERROR(IF(VLOOKUP(E:E,'Old Report'!E:L,8,FALSE)="","",VLOOKUP(E:E,'Old Report'!E:L,8,FALSE)),"")</f>
        <v/>
      </c>
      <c r="M1447" s="5" t="str">
        <f t="shared" si="113"/>
        <v/>
      </c>
      <c r="N1447" s="5" t="str">
        <f t="shared" si="114"/>
        <v/>
      </c>
    </row>
    <row r="1448" spans="1:14" x14ac:dyDescent="0.25">
      <c r="A1448" s="5">
        <v>1447</v>
      </c>
      <c r="B1448" s="5">
        <f t="shared" si="111"/>
        <v>0</v>
      </c>
      <c r="C1448" s="5" t="str">
        <f t="shared" si="110"/>
        <v/>
      </c>
      <c r="D1448" s="5" t="str">
        <f>IFERROR(IF(F1448&lt;&gt;"",F1448,VLOOKUP(MAX(C$2:C1448),A$2:F1448,2,FALSE)),"")</f>
        <v/>
      </c>
      <c r="E1448" s="5" t="str">
        <f t="shared" si="112"/>
        <v/>
      </c>
      <c r="K1448" t="str">
        <f>IFERROR(IF(VLOOKUP(E:E,'Old Report'!E:J,6,FALSE)="","",VLOOKUP(E:E,'Old Report'!E:J,6,FALSE)),"")</f>
        <v/>
      </c>
      <c r="L1448" t="str">
        <f>IFERROR(IF(VLOOKUP(E:E,'Old Report'!E:L,8,FALSE)="","",VLOOKUP(E:E,'Old Report'!E:L,8,FALSE)),"")</f>
        <v/>
      </c>
      <c r="M1448" s="5" t="str">
        <f t="shared" si="113"/>
        <v/>
      </c>
      <c r="N1448" s="5" t="str">
        <f t="shared" si="114"/>
        <v/>
      </c>
    </row>
    <row r="1449" spans="1:14" x14ac:dyDescent="0.25">
      <c r="A1449" s="5">
        <v>1448</v>
      </c>
      <c r="B1449" s="5">
        <f t="shared" si="111"/>
        <v>0</v>
      </c>
      <c r="C1449" s="5" t="str">
        <f t="shared" si="110"/>
        <v/>
      </c>
      <c r="D1449" s="5" t="str">
        <f>IFERROR(IF(F1449&lt;&gt;"",F1449,VLOOKUP(MAX(C$2:C1449),A$2:F1449,2,FALSE)),"")</f>
        <v/>
      </c>
      <c r="E1449" s="5" t="str">
        <f t="shared" si="112"/>
        <v/>
      </c>
      <c r="K1449" t="str">
        <f>IFERROR(IF(VLOOKUP(E:E,'Old Report'!E:J,6,FALSE)="","",VLOOKUP(E:E,'Old Report'!E:J,6,FALSE)),"")</f>
        <v/>
      </c>
      <c r="L1449" t="str">
        <f>IFERROR(IF(VLOOKUP(E:E,'Old Report'!E:L,8,FALSE)="","",VLOOKUP(E:E,'Old Report'!E:L,8,FALSE)),"")</f>
        <v/>
      </c>
      <c r="M1449" s="5" t="str">
        <f t="shared" si="113"/>
        <v/>
      </c>
      <c r="N1449" s="5" t="str">
        <f t="shared" si="114"/>
        <v/>
      </c>
    </row>
    <row r="1450" spans="1:14" x14ac:dyDescent="0.25">
      <c r="A1450" s="5">
        <v>1449</v>
      </c>
      <c r="B1450" s="5">
        <f t="shared" si="111"/>
        <v>0</v>
      </c>
      <c r="C1450" s="5" t="str">
        <f t="shared" si="110"/>
        <v/>
      </c>
      <c r="D1450" s="5" t="str">
        <f>IFERROR(IF(F1450&lt;&gt;"",F1450,VLOOKUP(MAX(C$2:C1450),A$2:F1450,2,FALSE)),"")</f>
        <v/>
      </c>
      <c r="E1450" s="5" t="str">
        <f t="shared" si="112"/>
        <v/>
      </c>
      <c r="K1450" t="str">
        <f>IFERROR(IF(VLOOKUP(E:E,'Old Report'!E:J,6,FALSE)="","",VLOOKUP(E:E,'Old Report'!E:J,6,FALSE)),"")</f>
        <v/>
      </c>
      <c r="L1450" t="str">
        <f>IFERROR(IF(VLOOKUP(E:E,'Old Report'!E:L,8,FALSE)="","",VLOOKUP(E:E,'Old Report'!E:L,8,FALSE)),"")</f>
        <v/>
      </c>
      <c r="M1450" s="5" t="str">
        <f t="shared" si="113"/>
        <v/>
      </c>
      <c r="N1450" s="5" t="str">
        <f t="shared" si="114"/>
        <v/>
      </c>
    </row>
    <row r="1451" spans="1:14" x14ac:dyDescent="0.25">
      <c r="A1451" s="5">
        <v>1450</v>
      </c>
      <c r="B1451" s="5">
        <f t="shared" si="111"/>
        <v>0</v>
      </c>
      <c r="C1451" s="5" t="str">
        <f t="shared" si="110"/>
        <v/>
      </c>
      <c r="D1451" s="5" t="str">
        <f>IFERROR(IF(F1451&lt;&gt;"",F1451,VLOOKUP(MAX(C$2:C1451),A$2:F1451,2,FALSE)),"")</f>
        <v/>
      </c>
      <c r="E1451" s="5" t="str">
        <f t="shared" si="112"/>
        <v/>
      </c>
      <c r="K1451" t="str">
        <f>IFERROR(IF(VLOOKUP(E:E,'Old Report'!E:J,6,FALSE)="","",VLOOKUP(E:E,'Old Report'!E:J,6,FALSE)),"")</f>
        <v/>
      </c>
      <c r="L1451" t="str">
        <f>IFERROR(IF(VLOOKUP(E:E,'Old Report'!E:L,8,FALSE)="","",VLOOKUP(E:E,'Old Report'!E:L,8,FALSE)),"")</f>
        <v/>
      </c>
      <c r="M1451" s="5" t="str">
        <f t="shared" si="113"/>
        <v/>
      </c>
      <c r="N1451" s="5" t="str">
        <f t="shared" si="114"/>
        <v/>
      </c>
    </row>
    <row r="1452" spans="1:14" x14ac:dyDescent="0.25">
      <c r="A1452" s="5">
        <v>1451</v>
      </c>
      <c r="B1452" s="5">
        <f t="shared" si="111"/>
        <v>0</v>
      </c>
      <c r="C1452" s="5" t="str">
        <f t="shared" si="110"/>
        <v/>
      </c>
      <c r="D1452" s="5" t="str">
        <f>IFERROR(IF(F1452&lt;&gt;"",F1452,VLOOKUP(MAX(C$2:C1452),A$2:F1452,2,FALSE)),"")</f>
        <v/>
      </c>
      <c r="E1452" s="5" t="str">
        <f t="shared" si="112"/>
        <v/>
      </c>
      <c r="K1452" t="str">
        <f>IFERROR(IF(VLOOKUP(E:E,'Old Report'!E:J,6,FALSE)="","",VLOOKUP(E:E,'Old Report'!E:J,6,FALSE)),"")</f>
        <v/>
      </c>
      <c r="L1452" t="str">
        <f>IFERROR(IF(VLOOKUP(E:E,'Old Report'!E:L,8,FALSE)="","",VLOOKUP(E:E,'Old Report'!E:L,8,FALSE)),"")</f>
        <v/>
      </c>
      <c r="M1452" s="5" t="str">
        <f t="shared" si="113"/>
        <v/>
      </c>
      <c r="N1452" s="5" t="str">
        <f t="shared" si="114"/>
        <v/>
      </c>
    </row>
    <row r="1453" spans="1:14" x14ac:dyDescent="0.25">
      <c r="A1453" s="5">
        <v>1452</v>
      </c>
      <c r="B1453" s="5">
        <f t="shared" si="111"/>
        <v>0</v>
      </c>
      <c r="C1453" s="5" t="str">
        <f t="shared" si="110"/>
        <v/>
      </c>
      <c r="D1453" s="5" t="str">
        <f>IFERROR(IF(F1453&lt;&gt;"",F1453,VLOOKUP(MAX(C$2:C1453),A$2:F1453,2,FALSE)),"")</f>
        <v/>
      </c>
      <c r="E1453" s="5" t="str">
        <f t="shared" si="112"/>
        <v/>
      </c>
      <c r="K1453" t="str">
        <f>IFERROR(IF(VLOOKUP(E:E,'Old Report'!E:J,6,FALSE)="","",VLOOKUP(E:E,'Old Report'!E:J,6,FALSE)),"")</f>
        <v/>
      </c>
      <c r="L1453" t="str">
        <f>IFERROR(IF(VLOOKUP(E:E,'Old Report'!E:L,8,FALSE)="","",VLOOKUP(E:E,'Old Report'!E:L,8,FALSE)),"")</f>
        <v/>
      </c>
      <c r="M1453" s="5" t="str">
        <f t="shared" si="113"/>
        <v/>
      </c>
      <c r="N1453" s="5" t="str">
        <f t="shared" si="114"/>
        <v/>
      </c>
    </row>
    <row r="1454" spans="1:14" x14ac:dyDescent="0.25">
      <c r="A1454" s="5">
        <v>1453</v>
      </c>
      <c r="B1454" s="5">
        <f t="shared" si="111"/>
        <v>0</v>
      </c>
      <c r="C1454" s="5" t="str">
        <f t="shared" si="110"/>
        <v/>
      </c>
      <c r="D1454" s="5" t="str">
        <f>IFERROR(IF(F1454&lt;&gt;"",F1454,VLOOKUP(MAX(C$2:C1454),A$2:F1454,2,FALSE)),"")</f>
        <v/>
      </c>
      <c r="E1454" s="5" t="str">
        <f t="shared" si="112"/>
        <v/>
      </c>
      <c r="K1454" t="str">
        <f>IFERROR(IF(VLOOKUP(E:E,'Old Report'!E:J,6,FALSE)="","",VLOOKUP(E:E,'Old Report'!E:J,6,FALSE)),"")</f>
        <v/>
      </c>
      <c r="L1454" t="str">
        <f>IFERROR(IF(VLOOKUP(E:E,'Old Report'!E:L,8,FALSE)="","",VLOOKUP(E:E,'Old Report'!E:L,8,FALSE)),"")</f>
        <v/>
      </c>
      <c r="M1454" s="5" t="str">
        <f t="shared" si="113"/>
        <v/>
      </c>
      <c r="N1454" s="5" t="str">
        <f t="shared" si="114"/>
        <v/>
      </c>
    </row>
    <row r="1455" spans="1:14" x14ac:dyDescent="0.25">
      <c r="A1455" s="5">
        <v>1454</v>
      </c>
      <c r="B1455" s="5">
        <f t="shared" si="111"/>
        <v>0</v>
      </c>
      <c r="C1455" s="5" t="str">
        <f t="shared" si="110"/>
        <v/>
      </c>
      <c r="D1455" s="5" t="str">
        <f>IFERROR(IF(F1455&lt;&gt;"",F1455,VLOOKUP(MAX(C$2:C1455),A$2:F1455,2,FALSE)),"")</f>
        <v/>
      </c>
      <c r="E1455" s="5" t="str">
        <f t="shared" si="112"/>
        <v/>
      </c>
      <c r="K1455" t="str">
        <f>IFERROR(IF(VLOOKUP(E:E,'Old Report'!E:J,6,FALSE)="","",VLOOKUP(E:E,'Old Report'!E:J,6,FALSE)),"")</f>
        <v/>
      </c>
      <c r="L1455" t="str">
        <f>IFERROR(IF(VLOOKUP(E:E,'Old Report'!E:L,8,FALSE)="","",VLOOKUP(E:E,'Old Report'!E:L,8,FALSE)),"")</f>
        <v/>
      </c>
      <c r="M1455" s="5" t="str">
        <f t="shared" si="113"/>
        <v/>
      </c>
      <c r="N1455" s="5" t="str">
        <f t="shared" si="114"/>
        <v/>
      </c>
    </row>
    <row r="1456" spans="1:14" x14ac:dyDescent="0.25">
      <c r="A1456" s="5">
        <v>1455</v>
      </c>
      <c r="B1456" s="5">
        <f t="shared" si="111"/>
        <v>0</v>
      </c>
      <c r="C1456" s="5" t="str">
        <f t="shared" si="110"/>
        <v/>
      </c>
      <c r="D1456" s="5" t="str">
        <f>IFERROR(IF(F1456&lt;&gt;"",F1456,VLOOKUP(MAX(C$2:C1456),A$2:F1456,2,FALSE)),"")</f>
        <v/>
      </c>
      <c r="E1456" s="5" t="str">
        <f t="shared" si="112"/>
        <v/>
      </c>
      <c r="K1456" t="str">
        <f>IFERROR(IF(VLOOKUP(E:E,'Old Report'!E:J,6,FALSE)="","",VLOOKUP(E:E,'Old Report'!E:J,6,FALSE)),"")</f>
        <v/>
      </c>
      <c r="L1456" t="str">
        <f>IFERROR(IF(VLOOKUP(E:E,'Old Report'!E:L,8,FALSE)="","",VLOOKUP(E:E,'Old Report'!E:L,8,FALSE)),"")</f>
        <v/>
      </c>
      <c r="M1456" s="5" t="str">
        <f t="shared" si="113"/>
        <v/>
      </c>
      <c r="N1456" s="5" t="str">
        <f t="shared" si="114"/>
        <v/>
      </c>
    </row>
    <row r="1457" spans="1:14" x14ac:dyDescent="0.25">
      <c r="A1457" s="5">
        <v>1456</v>
      </c>
      <c r="B1457" s="5">
        <f t="shared" si="111"/>
        <v>0</v>
      </c>
      <c r="C1457" s="5" t="str">
        <f t="shared" si="110"/>
        <v/>
      </c>
      <c r="D1457" s="5" t="str">
        <f>IFERROR(IF(F1457&lt;&gt;"",F1457,VLOOKUP(MAX(C$2:C1457),A$2:F1457,2,FALSE)),"")</f>
        <v/>
      </c>
      <c r="E1457" s="5" t="str">
        <f t="shared" si="112"/>
        <v/>
      </c>
      <c r="K1457" t="str">
        <f>IFERROR(IF(VLOOKUP(E:E,'Old Report'!E:J,6,FALSE)="","",VLOOKUP(E:E,'Old Report'!E:J,6,FALSE)),"")</f>
        <v/>
      </c>
      <c r="L1457" t="str">
        <f>IFERROR(IF(VLOOKUP(E:E,'Old Report'!E:L,8,FALSE)="","",VLOOKUP(E:E,'Old Report'!E:L,8,FALSE)),"")</f>
        <v/>
      </c>
      <c r="M1457" s="5" t="str">
        <f t="shared" si="113"/>
        <v/>
      </c>
      <c r="N1457" s="5" t="str">
        <f t="shared" si="114"/>
        <v/>
      </c>
    </row>
    <row r="1458" spans="1:14" x14ac:dyDescent="0.25">
      <c r="A1458" s="5">
        <v>1457</v>
      </c>
      <c r="B1458" s="5">
        <f t="shared" si="111"/>
        <v>0</v>
      </c>
      <c r="C1458" s="5" t="str">
        <f t="shared" si="110"/>
        <v/>
      </c>
      <c r="D1458" s="5" t="str">
        <f>IFERROR(IF(F1458&lt;&gt;"",F1458,VLOOKUP(MAX(C$2:C1458),A$2:F1458,2,FALSE)),"")</f>
        <v/>
      </c>
      <c r="E1458" s="5" t="str">
        <f t="shared" si="112"/>
        <v/>
      </c>
      <c r="K1458" t="str">
        <f>IFERROR(IF(VLOOKUP(E:E,'Old Report'!E:J,6,FALSE)="","",VLOOKUP(E:E,'Old Report'!E:J,6,FALSE)),"")</f>
        <v/>
      </c>
      <c r="L1458" t="str">
        <f>IFERROR(IF(VLOOKUP(E:E,'Old Report'!E:L,8,FALSE)="","",VLOOKUP(E:E,'Old Report'!E:L,8,FALSE)),"")</f>
        <v/>
      </c>
      <c r="M1458" s="5" t="str">
        <f t="shared" si="113"/>
        <v/>
      </c>
      <c r="N1458" s="5" t="str">
        <f t="shared" si="114"/>
        <v/>
      </c>
    </row>
    <row r="1459" spans="1:14" x14ac:dyDescent="0.25">
      <c r="A1459" s="5">
        <v>1458</v>
      </c>
      <c r="B1459" s="5">
        <f t="shared" si="111"/>
        <v>0</v>
      </c>
      <c r="C1459" s="5" t="str">
        <f t="shared" si="110"/>
        <v/>
      </c>
      <c r="D1459" s="5" t="str">
        <f>IFERROR(IF(F1459&lt;&gt;"",F1459,VLOOKUP(MAX(C$2:C1459),A$2:F1459,2,FALSE)),"")</f>
        <v/>
      </c>
      <c r="E1459" s="5" t="str">
        <f t="shared" si="112"/>
        <v/>
      </c>
      <c r="K1459" t="str">
        <f>IFERROR(IF(VLOOKUP(E:E,'Old Report'!E:J,6,FALSE)="","",VLOOKUP(E:E,'Old Report'!E:J,6,FALSE)),"")</f>
        <v/>
      </c>
      <c r="L1459" t="str">
        <f>IFERROR(IF(VLOOKUP(E:E,'Old Report'!E:L,8,FALSE)="","",VLOOKUP(E:E,'Old Report'!E:L,8,FALSE)),"")</f>
        <v/>
      </c>
      <c r="M1459" s="5" t="str">
        <f t="shared" si="113"/>
        <v/>
      </c>
      <c r="N1459" s="5" t="str">
        <f t="shared" si="114"/>
        <v/>
      </c>
    </row>
    <row r="1460" spans="1:14" x14ac:dyDescent="0.25">
      <c r="A1460" s="5">
        <v>1459</v>
      </c>
      <c r="B1460" s="5">
        <f t="shared" si="111"/>
        <v>0</v>
      </c>
      <c r="C1460" s="5" t="str">
        <f t="shared" si="110"/>
        <v/>
      </c>
      <c r="D1460" s="5" t="str">
        <f>IFERROR(IF(F1460&lt;&gt;"",F1460,VLOOKUP(MAX(C$2:C1460),A$2:F1460,2,FALSE)),"")</f>
        <v/>
      </c>
      <c r="E1460" s="5" t="str">
        <f t="shared" si="112"/>
        <v/>
      </c>
      <c r="K1460" t="str">
        <f>IFERROR(IF(VLOOKUP(E:E,'Old Report'!E:J,6,FALSE)="","",VLOOKUP(E:E,'Old Report'!E:J,6,FALSE)),"")</f>
        <v/>
      </c>
      <c r="L1460" t="str">
        <f>IFERROR(IF(VLOOKUP(E:E,'Old Report'!E:L,8,FALSE)="","",VLOOKUP(E:E,'Old Report'!E:L,8,FALSE)),"")</f>
        <v/>
      </c>
      <c r="M1460" s="5" t="str">
        <f t="shared" si="113"/>
        <v/>
      </c>
      <c r="N1460" s="5" t="str">
        <f t="shared" si="114"/>
        <v/>
      </c>
    </row>
    <row r="1461" spans="1:14" x14ac:dyDescent="0.25">
      <c r="A1461" s="5">
        <v>1460</v>
      </c>
      <c r="B1461" s="5">
        <f t="shared" si="111"/>
        <v>0</v>
      </c>
      <c r="C1461" s="5" t="str">
        <f t="shared" si="110"/>
        <v/>
      </c>
      <c r="D1461" s="5" t="str">
        <f>IFERROR(IF(F1461&lt;&gt;"",F1461,VLOOKUP(MAX(C$2:C1461),A$2:F1461,2,FALSE)),"")</f>
        <v/>
      </c>
      <c r="E1461" s="5" t="str">
        <f t="shared" si="112"/>
        <v/>
      </c>
      <c r="K1461" t="str">
        <f>IFERROR(IF(VLOOKUP(E:E,'Old Report'!E:J,6,FALSE)="","",VLOOKUP(E:E,'Old Report'!E:J,6,FALSE)),"")</f>
        <v/>
      </c>
      <c r="L1461" t="str">
        <f>IFERROR(IF(VLOOKUP(E:E,'Old Report'!E:L,8,FALSE)="","",VLOOKUP(E:E,'Old Report'!E:L,8,FALSE)),"")</f>
        <v/>
      </c>
      <c r="M1461" s="5" t="str">
        <f t="shared" si="113"/>
        <v/>
      </c>
      <c r="N1461" s="5" t="str">
        <f t="shared" si="114"/>
        <v/>
      </c>
    </row>
    <row r="1462" spans="1:14" x14ac:dyDescent="0.25">
      <c r="A1462" s="5">
        <v>1461</v>
      </c>
      <c r="B1462" s="5">
        <f t="shared" si="111"/>
        <v>0</v>
      </c>
      <c r="C1462" s="5" t="str">
        <f t="shared" si="110"/>
        <v/>
      </c>
      <c r="D1462" s="5" t="str">
        <f>IFERROR(IF(F1462&lt;&gt;"",F1462,VLOOKUP(MAX(C$2:C1462),A$2:F1462,2,FALSE)),"")</f>
        <v/>
      </c>
      <c r="E1462" s="5" t="str">
        <f t="shared" si="112"/>
        <v/>
      </c>
      <c r="K1462" t="str">
        <f>IFERROR(IF(VLOOKUP(E:E,'Old Report'!E:J,6,FALSE)="","",VLOOKUP(E:E,'Old Report'!E:J,6,FALSE)),"")</f>
        <v/>
      </c>
      <c r="L1462" t="str">
        <f>IFERROR(IF(VLOOKUP(E:E,'Old Report'!E:L,8,FALSE)="","",VLOOKUP(E:E,'Old Report'!E:L,8,FALSE)),"")</f>
        <v/>
      </c>
      <c r="M1462" s="5" t="str">
        <f t="shared" si="113"/>
        <v/>
      </c>
      <c r="N1462" s="5" t="str">
        <f t="shared" si="114"/>
        <v/>
      </c>
    </row>
    <row r="1463" spans="1:14" x14ac:dyDescent="0.25">
      <c r="A1463" s="5">
        <v>1462</v>
      </c>
      <c r="B1463" s="5">
        <f t="shared" si="111"/>
        <v>0</v>
      </c>
      <c r="C1463" s="5" t="str">
        <f t="shared" si="110"/>
        <v/>
      </c>
      <c r="D1463" s="5" t="str">
        <f>IFERROR(IF(F1463&lt;&gt;"",F1463,VLOOKUP(MAX(C$2:C1463),A$2:F1463,2,FALSE)),"")</f>
        <v/>
      </c>
      <c r="E1463" s="5" t="str">
        <f t="shared" si="112"/>
        <v/>
      </c>
      <c r="K1463" t="str">
        <f>IFERROR(IF(VLOOKUP(E:E,'Old Report'!E:J,6,FALSE)="","",VLOOKUP(E:E,'Old Report'!E:J,6,FALSE)),"")</f>
        <v/>
      </c>
      <c r="L1463" t="str">
        <f>IFERROR(IF(VLOOKUP(E:E,'Old Report'!E:L,8,FALSE)="","",VLOOKUP(E:E,'Old Report'!E:L,8,FALSE)),"")</f>
        <v/>
      </c>
      <c r="M1463" s="5" t="str">
        <f t="shared" si="113"/>
        <v/>
      </c>
      <c r="N1463" s="5" t="str">
        <f t="shared" si="114"/>
        <v/>
      </c>
    </row>
    <row r="1464" spans="1:14" x14ac:dyDescent="0.25">
      <c r="A1464" s="5">
        <v>1463</v>
      </c>
      <c r="B1464" s="5">
        <f t="shared" si="111"/>
        <v>0</v>
      </c>
      <c r="C1464" s="5" t="str">
        <f t="shared" si="110"/>
        <v/>
      </c>
      <c r="D1464" s="5" t="str">
        <f>IFERROR(IF(F1464&lt;&gt;"",F1464,VLOOKUP(MAX(C$2:C1464),A$2:F1464,2,FALSE)),"")</f>
        <v/>
      </c>
      <c r="E1464" s="5" t="str">
        <f t="shared" si="112"/>
        <v/>
      </c>
      <c r="K1464" t="str">
        <f>IFERROR(IF(VLOOKUP(E:E,'Old Report'!E:J,6,FALSE)="","",VLOOKUP(E:E,'Old Report'!E:J,6,FALSE)),"")</f>
        <v/>
      </c>
      <c r="L1464" t="str">
        <f>IFERROR(IF(VLOOKUP(E:E,'Old Report'!E:L,8,FALSE)="","",VLOOKUP(E:E,'Old Report'!E:L,8,FALSE)),"")</f>
        <v/>
      </c>
      <c r="M1464" s="5" t="str">
        <f t="shared" si="113"/>
        <v/>
      </c>
      <c r="N1464" s="5" t="str">
        <f t="shared" si="114"/>
        <v/>
      </c>
    </row>
    <row r="1465" spans="1:14" x14ac:dyDescent="0.25">
      <c r="A1465" s="5">
        <v>1464</v>
      </c>
      <c r="B1465" s="5">
        <f t="shared" si="111"/>
        <v>0</v>
      </c>
      <c r="C1465" s="5" t="str">
        <f t="shared" si="110"/>
        <v/>
      </c>
      <c r="D1465" s="5" t="str">
        <f>IFERROR(IF(F1465&lt;&gt;"",F1465,VLOOKUP(MAX(C$2:C1465),A$2:F1465,2,FALSE)),"")</f>
        <v/>
      </c>
      <c r="E1465" s="5" t="str">
        <f t="shared" si="112"/>
        <v/>
      </c>
      <c r="K1465" t="str">
        <f>IFERROR(IF(VLOOKUP(E:E,'Old Report'!E:J,6,FALSE)="","",VLOOKUP(E:E,'Old Report'!E:J,6,FALSE)),"")</f>
        <v/>
      </c>
      <c r="L1465" t="str">
        <f>IFERROR(IF(VLOOKUP(E:E,'Old Report'!E:L,8,FALSE)="","",VLOOKUP(E:E,'Old Report'!E:L,8,FALSE)),"")</f>
        <v/>
      </c>
      <c r="M1465" s="5" t="str">
        <f t="shared" si="113"/>
        <v/>
      </c>
      <c r="N1465" s="5" t="str">
        <f t="shared" si="114"/>
        <v/>
      </c>
    </row>
    <row r="1466" spans="1:14" x14ac:dyDescent="0.25">
      <c r="A1466" s="5">
        <v>1465</v>
      </c>
      <c r="B1466" s="5">
        <f t="shared" si="111"/>
        <v>0</v>
      </c>
      <c r="C1466" s="5" t="str">
        <f t="shared" si="110"/>
        <v/>
      </c>
      <c r="D1466" s="5" t="str">
        <f>IFERROR(IF(F1466&lt;&gt;"",F1466,VLOOKUP(MAX(C$2:C1466),A$2:F1466,2,FALSE)),"")</f>
        <v/>
      </c>
      <c r="E1466" s="5" t="str">
        <f t="shared" si="112"/>
        <v/>
      </c>
      <c r="K1466" t="str">
        <f>IFERROR(IF(VLOOKUP(E:E,'Old Report'!E:J,6,FALSE)="","",VLOOKUP(E:E,'Old Report'!E:J,6,FALSE)),"")</f>
        <v/>
      </c>
      <c r="L1466" t="str">
        <f>IFERROR(IF(VLOOKUP(E:E,'Old Report'!E:L,8,FALSE)="","",VLOOKUP(E:E,'Old Report'!E:L,8,FALSE)),"")</f>
        <v/>
      </c>
      <c r="M1466" s="5" t="str">
        <f t="shared" si="113"/>
        <v/>
      </c>
      <c r="N1466" s="5" t="str">
        <f t="shared" si="114"/>
        <v/>
      </c>
    </row>
    <row r="1467" spans="1:14" x14ac:dyDescent="0.25">
      <c r="A1467" s="5">
        <v>1466</v>
      </c>
      <c r="B1467" s="5">
        <f t="shared" si="111"/>
        <v>0</v>
      </c>
      <c r="C1467" s="5" t="str">
        <f t="shared" si="110"/>
        <v/>
      </c>
      <c r="D1467" s="5" t="str">
        <f>IFERROR(IF(F1467&lt;&gt;"",F1467,VLOOKUP(MAX(C$2:C1467),A$2:F1467,2,FALSE)),"")</f>
        <v/>
      </c>
      <c r="E1467" s="5" t="str">
        <f t="shared" si="112"/>
        <v/>
      </c>
      <c r="K1467" t="str">
        <f>IFERROR(IF(VLOOKUP(E:E,'Old Report'!E:J,6,FALSE)="","",VLOOKUP(E:E,'Old Report'!E:J,6,FALSE)),"")</f>
        <v/>
      </c>
      <c r="L1467" t="str">
        <f>IFERROR(IF(VLOOKUP(E:E,'Old Report'!E:L,8,FALSE)="","",VLOOKUP(E:E,'Old Report'!E:L,8,FALSE)),"")</f>
        <v/>
      </c>
      <c r="M1467" s="5" t="str">
        <f t="shared" si="113"/>
        <v/>
      </c>
      <c r="N1467" s="5" t="str">
        <f t="shared" si="114"/>
        <v/>
      </c>
    </row>
    <row r="1468" spans="1:14" x14ac:dyDescent="0.25">
      <c r="A1468" s="5">
        <v>1467</v>
      </c>
      <c r="B1468" s="5">
        <f t="shared" si="111"/>
        <v>0</v>
      </c>
      <c r="C1468" s="5" t="str">
        <f t="shared" si="110"/>
        <v/>
      </c>
      <c r="D1468" s="5" t="str">
        <f>IFERROR(IF(F1468&lt;&gt;"",F1468,VLOOKUP(MAX(C$2:C1468),A$2:F1468,2,FALSE)),"")</f>
        <v/>
      </c>
      <c r="E1468" s="5" t="str">
        <f t="shared" si="112"/>
        <v/>
      </c>
      <c r="K1468" t="str">
        <f>IFERROR(IF(VLOOKUP(E:E,'Old Report'!E:J,6,FALSE)="","",VLOOKUP(E:E,'Old Report'!E:J,6,FALSE)),"")</f>
        <v/>
      </c>
      <c r="L1468" t="str">
        <f>IFERROR(IF(VLOOKUP(E:E,'Old Report'!E:L,8,FALSE)="","",VLOOKUP(E:E,'Old Report'!E:L,8,FALSE)),"")</f>
        <v/>
      </c>
      <c r="M1468" s="5" t="str">
        <f t="shared" si="113"/>
        <v/>
      </c>
      <c r="N1468" s="5" t="str">
        <f t="shared" si="114"/>
        <v/>
      </c>
    </row>
    <row r="1469" spans="1:14" x14ac:dyDescent="0.25">
      <c r="A1469" s="5">
        <v>1468</v>
      </c>
      <c r="B1469" s="5">
        <f t="shared" si="111"/>
        <v>0</v>
      </c>
      <c r="C1469" s="5" t="str">
        <f t="shared" si="110"/>
        <v/>
      </c>
      <c r="D1469" s="5" t="str">
        <f>IFERROR(IF(F1469&lt;&gt;"",F1469,VLOOKUP(MAX(C$2:C1469),A$2:F1469,2,FALSE)),"")</f>
        <v/>
      </c>
      <c r="E1469" s="5" t="str">
        <f t="shared" si="112"/>
        <v/>
      </c>
      <c r="K1469" t="str">
        <f>IFERROR(IF(VLOOKUP(E:E,'Old Report'!E:J,6,FALSE)="","",VLOOKUP(E:E,'Old Report'!E:J,6,FALSE)),"")</f>
        <v/>
      </c>
      <c r="L1469" t="str">
        <f>IFERROR(IF(VLOOKUP(E:E,'Old Report'!E:L,8,FALSE)="","",VLOOKUP(E:E,'Old Report'!E:L,8,FALSE)),"")</f>
        <v/>
      </c>
      <c r="M1469" s="5" t="str">
        <f t="shared" si="113"/>
        <v/>
      </c>
      <c r="N1469" s="5" t="str">
        <f t="shared" si="114"/>
        <v/>
      </c>
    </row>
    <row r="1470" spans="1:14" x14ac:dyDescent="0.25">
      <c r="A1470" s="5">
        <v>1469</v>
      </c>
      <c r="B1470" s="5">
        <f t="shared" si="111"/>
        <v>0</v>
      </c>
      <c r="C1470" s="5" t="str">
        <f t="shared" si="110"/>
        <v/>
      </c>
      <c r="D1470" s="5" t="str">
        <f>IFERROR(IF(F1470&lt;&gt;"",F1470,VLOOKUP(MAX(C$2:C1470),A$2:F1470,2,FALSE)),"")</f>
        <v/>
      </c>
      <c r="E1470" s="5" t="str">
        <f t="shared" si="112"/>
        <v/>
      </c>
      <c r="K1470" t="str">
        <f>IFERROR(IF(VLOOKUP(E:E,'Old Report'!E:J,6,FALSE)="","",VLOOKUP(E:E,'Old Report'!E:J,6,FALSE)),"")</f>
        <v/>
      </c>
      <c r="L1470" t="str">
        <f>IFERROR(IF(VLOOKUP(E:E,'Old Report'!E:L,8,FALSE)="","",VLOOKUP(E:E,'Old Report'!E:L,8,FALSE)),"")</f>
        <v/>
      </c>
      <c r="M1470" s="5" t="str">
        <f t="shared" si="113"/>
        <v/>
      </c>
      <c r="N1470" s="5" t="str">
        <f t="shared" si="114"/>
        <v/>
      </c>
    </row>
    <row r="1471" spans="1:14" x14ac:dyDescent="0.25">
      <c r="A1471" s="5">
        <v>1470</v>
      </c>
      <c r="B1471" s="5">
        <f t="shared" si="111"/>
        <v>0</v>
      </c>
      <c r="C1471" s="5" t="str">
        <f t="shared" si="110"/>
        <v/>
      </c>
      <c r="D1471" s="5" t="str">
        <f>IFERROR(IF(F1471&lt;&gt;"",F1471,VLOOKUP(MAX(C$2:C1471),A$2:F1471,2,FALSE)),"")</f>
        <v/>
      </c>
      <c r="E1471" s="5" t="str">
        <f t="shared" si="112"/>
        <v/>
      </c>
      <c r="K1471" t="str">
        <f>IFERROR(IF(VLOOKUP(E:E,'Old Report'!E:J,6,FALSE)="","",VLOOKUP(E:E,'Old Report'!E:J,6,FALSE)),"")</f>
        <v/>
      </c>
      <c r="L1471" t="str">
        <f>IFERROR(IF(VLOOKUP(E:E,'Old Report'!E:L,8,FALSE)="","",VLOOKUP(E:E,'Old Report'!E:L,8,FALSE)),"")</f>
        <v/>
      </c>
      <c r="M1471" s="5" t="str">
        <f t="shared" si="113"/>
        <v/>
      </c>
      <c r="N1471" s="5" t="str">
        <f t="shared" si="114"/>
        <v/>
      </c>
    </row>
    <row r="1472" spans="1:14" x14ac:dyDescent="0.25">
      <c r="A1472" s="5">
        <v>1471</v>
      </c>
      <c r="B1472" s="5">
        <f t="shared" si="111"/>
        <v>0</v>
      </c>
      <c r="C1472" s="5" t="str">
        <f t="shared" si="110"/>
        <v/>
      </c>
      <c r="D1472" s="5" t="str">
        <f>IFERROR(IF(F1472&lt;&gt;"",F1472,VLOOKUP(MAX(C$2:C1472),A$2:F1472,2,FALSE)),"")</f>
        <v/>
      </c>
      <c r="E1472" s="5" t="str">
        <f t="shared" si="112"/>
        <v/>
      </c>
      <c r="K1472" t="str">
        <f>IFERROR(IF(VLOOKUP(E:E,'Old Report'!E:J,6,FALSE)="","",VLOOKUP(E:E,'Old Report'!E:J,6,FALSE)),"")</f>
        <v/>
      </c>
      <c r="L1472" t="str">
        <f>IFERROR(IF(VLOOKUP(E:E,'Old Report'!E:L,8,FALSE)="","",VLOOKUP(E:E,'Old Report'!E:L,8,FALSE)),"")</f>
        <v/>
      </c>
      <c r="M1472" s="5" t="str">
        <f t="shared" si="113"/>
        <v/>
      </c>
      <c r="N1472" s="5" t="str">
        <f t="shared" si="114"/>
        <v/>
      </c>
    </row>
    <row r="1473" spans="1:14" x14ac:dyDescent="0.25">
      <c r="A1473" s="5">
        <v>1472</v>
      </c>
      <c r="B1473" s="5">
        <f t="shared" si="111"/>
        <v>0</v>
      </c>
      <c r="C1473" s="5" t="str">
        <f t="shared" si="110"/>
        <v/>
      </c>
      <c r="D1473" s="5" t="str">
        <f>IFERROR(IF(F1473&lt;&gt;"",F1473,VLOOKUP(MAX(C$2:C1473),A$2:F1473,2,FALSE)),"")</f>
        <v/>
      </c>
      <c r="E1473" s="5" t="str">
        <f t="shared" si="112"/>
        <v/>
      </c>
      <c r="K1473" t="str">
        <f>IFERROR(IF(VLOOKUP(E:E,'Old Report'!E:J,6,FALSE)="","",VLOOKUP(E:E,'Old Report'!E:J,6,FALSE)),"")</f>
        <v/>
      </c>
      <c r="L1473" t="str">
        <f>IFERROR(IF(VLOOKUP(E:E,'Old Report'!E:L,8,FALSE)="","",VLOOKUP(E:E,'Old Report'!E:L,8,FALSE)),"")</f>
        <v/>
      </c>
      <c r="M1473" s="5" t="str">
        <f t="shared" si="113"/>
        <v/>
      </c>
      <c r="N1473" s="5" t="str">
        <f t="shared" si="114"/>
        <v/>
      </c>
    </row>
    <row r="1474" spans="1:14" x14ac:dyDescent="0.25">
      <c r="A1474" s="5">
        <v>1473</v>
      </c>
      <c r="B1474" s="5">
        <f t="shared" si="111"/>
        <v>0</v>
      </c>
      <c r="C1474" s="5" t="str">
        <f t="shared" ref="C1474:C1500" si="115">IF(F1474&lt;&gt;"",A1474,"")</f>
        <v/>
      </c>
      <c r="D1474" s="5" t="str">
        <f>IFERROR(IF(F1474&lt;&gt;"",F1474,VLOOKUP(MAX(C$2:C1474),A$2:F1474,2,FALSE)),"")</f>
        <v/>
      </c>
      <c r="E1474" s="5" t="str">
        <f t="shared" si="112"/>
        <v/>
      </c>
      <c r="K1474" t="str">
        <f>IFERROR(IF(VLOOKUP(E:E,'Old Report'!E:J,6,FALSE)="","",VLOOKUP(E:E,'Old Report'!E:J,6,FALSE)),"")</f>
        <v/>
      </c>
      <c r="L1474" t="str">
        <f>IFERROR(IF(VLOOKUP(E:E,'Old Report'!E:L,8,FALSE)="","",VLOOKUP(E:E,'Old Report'!E:L,8,FALSE)),"")</f>
        <v/>
      </c>
      <c r="M1474" s="5" t="str">
        <f t="shared" si="113"/>
        <v/>
      </c>
      <c r="N1474" s="5" t="str">
        <f t="shared" si="114"/>
        <v/>
      </c>
    </row>
    <row r="1475" spans="1:14" x14ac:dyDescent="0.25">
      <c r="A1475" s="5">
        <v>1474</v>
      </c>
      <c r="B1475" s="5">
        <f t="shared" ref="B1475:B1500" si="116">IF(F1476&lt;&gt;"",F1476,F1475)</f>
        <v>0</v>
      </c>
      <c r="C1475" s="5" t="str">
        <f t="shared" si="115"/>
        <v/>
      </c>
      <c r="D1475" s="5" t="str">
        <f>IFERROR(IF(F1475&lt;&gt;"",F1475,VLOOKUP(MAX(C$2:C1475),A$2:F1475,2,FALSE)),"")</f>
        <v/>
      </c>
      <c r="E1475" s="5" t="str">
        <f t="shared" ref="E1475:E1500" si="117">IF(H1475&lt;&gt;"",CONCATENATE(D1475,".",H1475),"")</f>
        <v/>
      </c>
      <c r="K1475" t="str">
        <f>IFERROR(IF(VLOOKUP(E:E,'Old Report'!E:J,6,FALSE)="","",VLOOKUP(E:E,'Old Report'!E:J,6,FALSE)),"")</f>
        <v/>
      </c>
      <c r="L1475" t="str">
        <f>IFERROR(IF(VLOOKUP(E:E,'Old Report'!E:L,8,FALSE)="","",VLOOKUP(E:E,'Old Report'!E:L,8,FALSE)),"")</f>
        <v/>
      </c>
      <c r="M1475" s="5" t="str">
        <f t="shared" si="113"/>
        <v/>
      </c>
      <c r="N1475" s="5" t="str">
        <f t="shared" si="114"/>
        <v/>
      </c>
    </row>
    <row r="1476" spans="1:14" x14ac:dyDescent="0.25">
      <c r="A1476" s="5">
        <v>1475</v>
      </c>
      <c r="B1476" s="5">
        <f t="shared" si="116"/>
        <v>0</v>
      </c>
      <c r="C1476" s="5" t="str">
        <f t="shared" si="115"/>
        <v/>
      </c>
      <c r="D1476" s="5" t="str">
        <f>IFERROR(IF(F1476&lt;&gt;"",F1476,VLOOKUP(MAX(C$2:C1476),A$2:F1476,2,FALSE)),"")</f>
        <v/>
      </c>
      <c r="E1476" s="5" t="str">
        <f t="shared" si="117"/>
        <v/>
      </c>
      <c r="K1476" t="str">
        <f>IFERROR(IF(VLOOKUP(E:E,'Old Report'!E:J,6,FALSE)="","",VLOOKUP(E:E,'Old Report'!E:J,6,FALSE)),"")</f>
        <v/>
      </c>
      <c r="L1476" t="str">
        <f>IFERROR(IF(VLOOKUP(E:E,'Old Report'!E:L,8,FALSE)="","",VLOOKUP(E:E,'Old Report'!E:L,8,FALSE)),"")</f>
        <v/>
      </c>
      <c r="M1476" s="5" t="str">
        <f t="shared" ref="M1476:M1500" si="118">IFERROR(L1476,"")</f>
        <v/>
      </c>
      <c r="N1476" s="5" t="str">
        <f t="shared" ref="N1476:N1500" si="119">IFERROR( IF(J1476&lt;&gt;"",IF(K1476 &lt;&gt; "",IF(J1476 = K1476,"No Change",IF(J1476 &lt; K1476,CONCATENATE("Issues reduced from ",K1476," to ",J1476),IF(J1476&gt;K1476,CONCATENATE("Issues increased from ",K1476," to ",J1476),""))),"New issue - needs to be checked"),""),"")</f>
        <v/>
      </c>
    </row>
    <row r="1477" spans="1:14" x14ac:dyDescent="0.25">
      <c r="A1477" s="5">
        <v>1476</v>
      </c>
      <c r="B1477" s="5">
        <f t="shared" si="116"/>
        <v>0</v>
      </c>
      <c r="C1477" s="5" t="str">
        <f t="shared" si="115"/>
        <v/>
      </c>
      <c r="D1477" s="5" t="str">
        <f>IFERROR(IF(F1477&lt;&gt;"",F1477,VLOOKUP(MAX(C$2:C1477),A$2:F1477,2,FALSE)),"")</f>
        <v/>
      </c>
      <c r="E1477" s="5" t="str">
        <f t="shared" si="117"/>
        <v/>
      </c>
      <c r="K1477" t="str">
        <f>IFERROR(IF(VLOOKUP(E:E,'Old Report'!E:J,6,FALSE)="","",VLOOKUP(E:E,'Old Report'!E:J,6,FALSE)),"")</f>
        <v/>
      </c>
      <c r="L1477" t="str">
        <f>IFERROR(IF(VLOOKUP(E:E,'Old Report'!E:L,8,FALSE)="","",VLOOKUP(E:E,'Old Report'!E:L,8,FALSE)),"")</f>
        <v/>
      </c>
      <c r="M1477" s="5" t="str">
        <f t="shared" si="118"/>
        <v/>
      </c>
      <c r="N1477" s="5" t="str">
        <f t="shared" si="119"/>
        <v/>
      </c>
    </row>
    <row r="1478" spans="1:14" x14ac:dyDescent="0.25">
      <c r="A1478" s="5">
        <v>1477</v>
      </c>
      <c r="B1478" s="5">
        <f t="shared" si="116"/>
        <v>0</v>
      </c>
      <c r="C1478" s="5" t="str">
        <f t="shared" si="115"/>
        <v/>
      </c>
      <c r="D1478" s="5" t="str">
        <f>IFERROR(IF(F1478&lt;&gt;"",F1478,VLOOKUP(MAX(C$2:C1478),A$2:F1478,2,FALSE)),"")</f>
        <v/>
      </c>
      <c r="E1478" s="5" t="str">
        <f t="shared" si="117"/>
        <v/>
      </c>
      <c r="K1478" t="str">
        <f>IFERROR(IF(VLOOKUP(E:E,'Old Report'!E:J,6,FALSE)="","",VLOOKUP(E:E,'Old Report'!E:J,6,FALSE)),"")</f>
        <v/>
      </c>
      <c r="L1478" t="str">
        <f>IFERROR(IF(VLOOKUP(E:E,'Old Report'!E:L,8,FALSE)="","",VLOOKUP(E:E,'Old Report'!E:L,8,FALSE)),"")</f>
        <v/>
      </c>
      <c r="M1478" s="5" t="str">
        <f t="shared" si="118"/>
        <v/>
      </c>
      <c r="N1478" s="5" t="str">
        <f t="shared" si="119"/>
        <v/>
      </c>
    </row>
    <row r="1479" spans="1:14" x14ac:dyDescent="0.25">
      <c r="A1479" s="5">
        <v>1478</v>
      </c>
      <c r="B1479" s="5">
        <f t="shared" si="116"/>
        <v>0</v>
      </c>
      <c r="C1479" s="5" t="str">
        <f t="shared" si="115"/>
        <v/>
      </c>
      <c r="D1479" s="5" t="str">
        <f>IFERROR(IF(F1479&lt;&gt;"",F1479,VLOOKUP(MAX(C$2:C1479),A$2:F1479,2,FALSE)),"")</f>
        <v/>
      </c>
      <c r="E1479" s="5" t="str">
        <f t="shared" si="117"/>
        <v/>
      </c>
      <c r="K1479" t="str">
        <f>IFERROR(IF(VLOOKUP(E:E,'Old Report'!E:J,6,FALSE)="","",VLOOKUP(E:E,'Old Report'!E:J,6,FALSE)),"")</f>
        <v/>
      </c>
      <c r="L1479" t="str">
        <f>IFERROR(IF(VLOOKUP(E:E,'Old Report'!E:L,8,FALSE)="","",VLOOKUP(E:E,'Old Report'!E:L,8,FALSE)),"")</f>
        <v/>
      </c>
      <c r="M1479" s="5" t="str">
        <f t="shared" si="118"/>
        <v/>
      </c>
      <c r="N1479" s="5" t="str">
        <f t="shared" si="119"/>
        <v/>
      </c>
    </row>
    <row r="1480" spans="1:14" x14ac:dyDescent="0.25">
      <c r="A1480" s="5">
        <v>1479</v>
      </c>
      <c r="B1480" s="5">
        <f t="shared" si="116"/>
        <v>0</v>
      </c>
      <c r="C1480" s="5" t="str">
        <f t="shared" si="115"/>
        <v/>
      </c>
      <c r="D1480" s="5" t="str">
        <f>IFERROR(IF(F1480&lt;&gt;"",F1480,VLOOKUP(MAX(C$2:C1480),A$2:F1480,2,FALSE)),"")</f>
        <v/>
      </c>
      <c r="E1480" s="5" t="str">
        <f t="shared" si="117"/>
        <v/>
      </c>
      <c r="K1480" t="str">
        <f>IFERROR(IF(VLOOKUP(E:E,'Old Report'!E:J,6,FALSE)="","",VLOOKUP(E:E,'Old Report'!E:J,6,FALSE)),"")</f>
        <v/>
      </c>
      <c r="L1480" t="str">
        <f>IFERROR(IF(VLOOKUP(E:E,'Old Report'!E:L,8,FALSE)="","",VLOOKUP(E:E,'Old Report'!E:L,8,FALSE)),"")</f>
        <v/>
      </c>
      <c r="M1480" s="5" t="str">
        <f t="shared" si="118"/>
        <v/>
      </c>
      <c r="N1480" s="5" t="str">
        <f t="shared" si="119"/>
        <v/>
      </c>
    </row>
    <row r="1481" spans="1:14" x14ac:dyDescent="0.25">
      <c r="A1481" s="5">
        <v>1480</v>
      </c>
      <c r="B1481" s="5">
        <f t="shared" si="116"/>
        <v>0</v>
      </c>
      <c r="C1481" s="5" t="str">
        <f t="shared" si="115"/>
        <v/>
      </c>
      <c r="D1481" s="5" t="str">
        <f>IFERROR(IF(F1481&lt;&gt;"",F1481,VLOOKUP(MAX(C$2:C1481),A$2:F1481,2,FALSE)),"")</f>
        <v/>
      </c>
      <c r="E1481" s="5" t="str">
        <f t="shared" si="117"/>
        <v/>
      </c>
      <c r="K1481" t="str">
        <f>IFERROR(IF(VLOOKUP(E:E,'Old Report'!E:J,6,FALSE)="","",VLOOKUP(E:E,'Old Report'!E:J,6,FALSE)),"")</f>
        <v/>
      </c>
      <c r="L1481" t="str">
        <f>IFERROR(IF(VLOOKUP(E:E,'Old Report'!E:L,8,FALSE)="","",VLOOKUP(E:E,'Old Report'!E:L,8,FALSE)),"")</f>
        <v/>
      </c>
      <c r="M1481" s="5" t="str">
        <f t="shared" si="118"/>
        <v/>
      </c>
      <c r="N1481" s="5" t="str">
        <f t="shared" si="119"/>
        <v/>
      </c>
    </row>
    <row r="1482" spans="1:14" x14ac:dyDescent="0.25">
      <c r="A1482" s="5">
        <v>1481</v>
      </c>
      <c r="B1482" s="5">
        <f t="shared" si="116"/>
        <v>0</v>
      </c>
      <c r="C1482" s="5" t="str">
        <f t="shared" si="115"/>
        <v/>
      </c>
      <c r="D1482" s="5" t="str">
        <f>IFERROR(IF(F1482&lt;&gt;"",F1482,VLOOKUP(MAX(C$2:C1482),A$2:F1482,2,FALSE)),"")</f>
        <v/>
      </c>
      <c r="E1482" s="5" t="str">
        <f t="shared" si="117"/>
        <v/>
      </c>
      <c r="K1482" t="str">
        <f>IFERROR(IF(VLOOKUP(E:E,'Old Report'!E:J,6,FALSE)="","",VLOOKUP(E:E,'Old Report'!E:J,6,FALSE)),"")</f>
        <v/>
      </c>
      <c r="L1482" t="str">
        <f>IFERROR(IF(VLOOKUP(E:E,'Old Report'!E:L,8,FALSE)="","",VLOOKUP(E:E,'Old Report'!E:L,8,FALSE)),"")</f>
        <v/>
      </c>
      <c r="M1482" s="5" t="str">
        <f t="shared" si="118"/>
        <v/>
      </c>
      <c r="N1482" s="5" t="str">
        <f t="shared" si="119"/>
        <v/>
      </c>
    </row>
    <row r="1483" spans="1:14" x14ac:dyDescent="0.25">
      <c r="A1483" s="5">
        <v>1482</v>
      </c>
      <c r="B1483" s="5">
        <f t="shared" si="116"/>
        <v>0</v>
      </c>
      <c r="C1483" s="5" t="str">
        <f t="shared" si="115"/>
        <v/>
      </c>
      <c r="D1483" s="5" t="str">
        <f>IFERROR(IF(F1483&lt;&gt;"",F1483,VLOOKUP(MAX(C$2:C1483),A$2:F1483,2,FALSE)),"")</f>
        <v/>
      </c>
      <c r="E1483" s="5" t="str">
        <f t="shared" si="117"/>
        <v/>
      </c>
      <c r="K1483" t="str">
        <f>IFERROR(IF(VLOOKUP(E:E,'Old Report'!E:J,6,FALSE)="","",VLOOKUP(E:E,'Old Report'!E:J,6,FALSE)),"")</f>
        <v/>
      </c>
      <c r="L1483" t="str">
        <f>IFERROR(IF(VLOOKUP(E:E,'Old Report'!E:L,8,FALSE)="","",VLOOKUP(E:E,'Old Report'!E:L,8,FALSE)),"")</f>
        <v/>
      </c>
      <c r="M1483" s="5" t="str">
        <f t="shared" si="118"/>
        <v/>
      </c>
      <c r="N1483" s="5" t="str">
        <f t="shared" si="119"/>
        <v/>
      </c>
    </row>
    <row r="1484" spans="1:14" x14ac:dyDescent="0.25">
      <c r="A1484" s="5">
        <v>1483</v>
      </c>
      <c r="B1484" s="5">
        <f t="shared" si="116"/>
        <v>0</v>
      </c>
      <c r="C1484" s="5" t="str">
        <f t="shared" si="115"/>
        <v/>
      </c>
      <c r="D1484" s="5" t="str">
        <f>IFERROR(IF(F1484&lt;&gt;"",F1484,VLOOKUP(MAX(C$2:C1484),A$2:F1484,2,FALSE)),"")</f>
        <v/>
      </c>
      <c r="E1484" s="5" t="str">
        <f t="shared" si="117"/>
        <v/>
      </c>
      <c r="K1484" t="str">
        <f>IFERROR(IF(VLOOKUP(E:E,'Old Report'!E:J,6,FALSE)="","",VLOOKUP(E:E,'Old Report'!E:J,6,FALSE)),"")</f>
        <v/>
      </c>
      <c r="L1484" t="str">
        <f>IFERROR(IF(VLOOKUP(E:E,'Old Report'!E:L,8,FALSE)="","",VLOOKUP(E:E,'Old Report'!E:L,8,FALSE)),"")</f>
        <v/>
      </c>
      <c r="M1484" s="5" t="str">
        <f t="shared" si="118"/>
        <v/>
      </c>
      <c r="N1484" s="5" t="str">
        <f t="shared" si="119"/>
        <v/>
      </c>
    </row>
    <row r="1485" spans="1:14" x14ac:dyDescent="0.25">
      <c r="A1485" s="5">
        <v>1484</v>
      </c>
      <c r="B1485" s="5">
        <f t="shared" si="116"/>
        <v>0</v>
      </c>
      <c r="C1485" s="5" t="str">
        <f t="shared" si="115"/>
        <v/>
      </c>
      <c r="D1485" s="5" t="str">
        <f>IFERROR(IF(F1485&lt;&gt;"",F1485,VLOOKUP(MAX(C$2:C1485),A$2:F1485,2,FALSE)),"")</f>
        <v/>
      </c>
      <c r="E1485" s="5" t="str">
        <f t="shared" si="117"/>
        <v/>
      </c>
      <c r="K1485" t="str">
        <f>IFERROR(IF(VLOOKUP(E:E,'Old Report'!E:J,6,FALSE)="","",VLOOKUP(E:E,'Old Report'!E:J,6,FALSE)),"")</f>
        <v/>
      </c>
      <c r="L1485" t="str">
        <f>IFERROR(IF(VLOOKUP(E:E,'Old Report'!E:L,8,FALSE)="","",VLOOKUP(E:E,'Old Report'!E:L,8,FALSE)),"")</f>
        <v/>
      </c>
      <c r="M1485" s="5" t="str">
        <f t="shared" si="118"/>
        <v/>
      </c>
      <c r="N1485" s="5" t="str">
        <f t="shared" si="119"/>
        <v/>
      </c>
    </row>
    <row r="1486" spans="1:14" x14ac:dyDescent="0.25">
      <c r="A1486" s="5">
        <v>1485</v>
      </c>
      <c r="B1486" s="5">
        <f t="shared" si="116"/>
        <v>0</v>
      </c>
      <c r="C1486" s="5" t="str">
        <f t="shared" si="115"/>
        <v/>
      </c>
      <c r="D1486" s="5" t="str">
        <f>IFERROR(IF(F1486&lt;&gt;"",F1486,VLOOKUP(MAX(C$2:C1486),A$2:F1486,2,FALSE)),"")</f>
        <v/>
      </c>
      <c r="E1486" s="5" t="str">
        <f t="shared" si="117"/>
        <v/>
      </c>
      <c r="K1486" t="str">
        <f>IFERROR(IF(VLOOKUP(E:E,'Old Report'!E:J,6,FALSE)="","",VLOOKUP(E:E,'Old Report'!E:J,6,FALSE)),"")</f>
        <v/>
      </c>
      <c r="L1486" t="str">
        <f>IFERROR(IF(VLOOKUP(E:E,'Old Report'!E:L,8,FALSE)="","",VLOOKUP(E:E,'Old Report'!E:L,8,FALSE)),"")</f>
        <v/>
      </c>
      <c r="M1486" s="5" t="str">
        <f t="shared" si="118"/>
        <v/>
      </c>
      <c r="N1486" s="5" t="str">
        <f t="shared" si="119"/>
        <v/>
      </c>
    </row>
    <row r="1487" spans="1:14" x14ac:dyDescent="0.25">
      <c r="A1487" s="5">
        <v>1486</v>
      </c>
      <c r="B1487" s="5">
        <f t="shared" si="116"/>
        <v>0</v>
      </c>
      <c r="C1487" s="5" t="str">
        <f t="shared" si="115"/>
        <v/>
      </c>
      <c r="D1487" s="5" t="str">
        <f>IFERROR(IF(F1487&lt;&gt;"",F1487,VLOOKUP(MAX(C$2:C1487),A$2:F1487,2,FALSE)),"")</f>
        <v/>
      </c>
      <c r="E1487" s="5" t="str">
        <f t="shared" si="117"/>
        <v/>
      </c>
      <c r="K1487" t="str">
        <f>IFERROR(IF(VLOOKUP(E:E,'Old Report'!E:J,6,FALSE)="","",VLOOKUP(E:E,'Old Report'!E:J,6,FALSE)),"")</f>
        <v/>
      </c>
      <c r="L1487" t="str">
        <f>IFERROR(IF(VLOOKUP(E:E,'Old Report'!E:L,8,FALSE)="","",VLOOKUP(E:E,'Old Report'!E:L,8,FALSE)),"")</f>
        <v/>
      </c>
      <c r="M1487" s="5" t="str">
        <f t="shared" si="118"/>
        <v/>
      </c>
      <c r="N1487" s="5" t="str">
        <f t="shared" si="119"/>
        <v/>
      </c>
    </row>
    <row r="1488" spans="1:14" x14ac:dyDescent="0.25">
      <c r="A1488" s="5">
        <v>1487</v>
      </c>
      <c r="B1488" s="5">
        <f t="shared" si="116"/>
        <v>0</v>
      </c>
      <c r="C1488" s="5" t="str">
        <f t="shared" si="115"/>
        <v/>
      </c>
      <c r="D1488" s="5" t="str">
        <f>IFERROR(IF(F1488&lt;&gt;"",F1488,VLOOKUP(MAX(C$2:C1488),A$2:F1488,2,FALSE)),"")</f>
        <v/>
      </c>
      <c r="E1488" s="5" t="str">
        <f t="shared" si="117"/>
        <v/>
      </c>
      <c r="K1488" t="str">
        <f>IFERROR(IF(VLOOKUP(E:E,'Old Report'!E:J,6,FALSE)="","",VLOOKUP(E:E,'Old Report'!E:J,6,FALSE)),"")</f>
        <v/>
      </c>
      <c r="L1488" t="str">
        <f>IFERROR(IF(VLOOKUP(E:E,'Old Report'!E:L,8,FALSE)="","",VLOOKUP(E:E,'Old Report'!E:L,8,FALSE)),"")</f>
        <v/>
      </c>
      <c r="M1488" s="5" t="str">
        <f t="shared" si="118"/>
        <v/>
      </c>
      <c r="N1488" s="5" t="str">
        <f t="shared" si="119"/>
        <v/>
      </c>
    </row>
    <row r="1489" spans="1:14" x14ac:dyDescent="0.25">
      <c r="A1489" s="5">
        <v>1488</v>
      </c>
      <c r="B1489" s="5">
        <f t="shared" si="116"/>
        <v>0</v>
      </c>
      <c r="C1489" s="5" t="str">
        <f t="shared" si="115"/>
        <v/>
      </c>
      <c r="D1489" s="5" t="str">
        <f>IFERROR(IF(F1489&lt;&gt;"",F1489,VLOOKUP(MAX(C$2:C1489),A$2:F1489,2,FALSE)),"")</f>
        <v/>
      </c>
      <c r="E1489" s="5" t="str">
        <f t="shared" si="117"/>
        <v/>
      </c>
      <c r="K1489" t="str">
        <f>IFERROR(IF(VLOOKUP(E:E,'Old Report'!E:J,6,FALSE)="","",VLOOKUP(E:E,'Old Report'!E:J,6,FALSE)),"")</f>
        <v/>
      </c>
      <c r="L1489" t="str">
        <f>IFERROR(IF(VLOOKUP(E:E,'Old Report'!E:L,8,FALSE)="","",VLOOKUP(E:E,'Old Report'!E:L,8,FALSE)),"")</f>
        <v/>
      </c>
      <c r="M1489" s="5" t="str">
        <f t="shared" si="118"/>
        <v/>
      </c>
      <c r="N1489" s="5" t="str">
        <f t="shared" si="119"/>
        <v/>
      </c>
    </row>
    <row r="1490" spans="1:14" x14ac:dyDescent="0.25">
      <c r="A1490" s="5">
        <v>1489</v>
      </c>
      <c r="B1490" s="5">
        <f t="shared" si="116"/>
        <v>0</v>
      </c>
      <c r="C1490" s="5" t="str">
        <f t="shared" si="115"/>
        <v/>
      </c>
      <c r="D1490" s="5" t="str">
        <f>IFERROR(IF(F1490&lt;&gt;"",F1490,VLOOKUP(MAX(C$2:C1490),A$2:F1490,2,FALSE)),"")</f>
        <v/>
      </c>
      <c r="E1490" s="5" t="str">
        <f t="shared" si="117"/>
        <v/>
      </c>
      <c r="K1490" t="str">
        <f>IFERROR(IF(VLOOKUP(E:E,'Old Report'!E:J,6,FALSE)="","",VLOOKUP(E:E,'Old Report'!E:J,6,FALSE)),"")</f>
        <v/>
      </c>
      <c r="L1490" t="str">
        <f>IFERROR(IF(VLOOKUP(E:E,'Old Report'!E:L,8,FALSE)="","",VLOOKUP(E:E,'Old Report'!E:L,8,FALSE)),"")</f>
        <v/>
      </c>
      <c r="M1490" s="5" t="str">
        <f t="shared" si="118"/>
        <v/>
      </c>
      <c r="N1490" s="5" t="str">
        <f t="shared" si="119"/>
        <v/>
      </c>
    </row>
    <row r="1491" spans="1:14" x14ac:dyDescent="0.25">
      <c r="A1491" s="5">
        <v>1490</v>
      </c>
      <c r="B1491" s="5">
        <f t="shared" si="116"/>
        <v>0</v>
      </c>
      <c r="C1491" s="5" t="str">
        <f t="shared" si="115"/>
        <v/>
      </c>
      <c r="D1491" s="5" t="str">
        <f>IFERROR(IF(F1491&lt;&gt;"",F1491,VLOOKUP(MAX(C$2:C1491),A$2:F1491,2,FALSE)),"")</f>
        <v/>
      </c>
      <c r="E1491" s="5" t="str">
        <f t="shared" si="117"/>
        <v/>
      </c>
      <c r="K1491" t="str">
        <f>IFERROR(IF(VLOOKUP(E:E,'Old Report'!E:J,6,FALSE)="","",VLOOKUP(E:E,'Old Report'!E:J,6,FALSE)),"")</f>
        <v/>
      </c>
      <c r="L1491" t="str">
        <f>IFERROR(IF(VLOOKUP(E:E,'Old Report'!E:L,8,FALSE)="","",VLOOKUP(E:E,'Old Report'!E:L,8,FALSE)),"")</f>
        <v/>
      </c>
      <c r="M1491" s="5" t="str">
        <f t="shared" si="118"/>
        <v/>
      </c>
      <c r="N1491" s="5" t="str">
        <f t="shared" si="119"/>
        <v/>
      </c>
    </row>
    <row r="1492" spans="1:14" x14ac:dyDescent="0.25">
      <c r="A1492" s="5">
        <v>1491</v>
      </c>
      <c r="B1492" s="5">
        <f t="shared" si="116"/>
        <v>0</v>
      </c>
      <c r="C1492" s="5" t="str">
        <f t="shared" si="115"/>
        <v/>
      </c>
      <c r="D1492" s="5" t="str">
        <f>IFERROR(IF(F1492&lt;&gt;"",F1492,VLOOKUP(MAX(C$2:C1492),A$2:F1492,2,FALSE)),"")</f>
        <v/>
      </c>
      <c r="E1492" s="5" t="str">
        <f t="shared" si="117"/>
        <v/>
      </c>
      <c r="K1492" t="str">
        <f>IFERROR(IF(VLOOKUP(E:E,'Old Report'!E:J,6,FALSE)="","",VLOOKUP(E:E,'Old Report'!E:J,6,FALSE)),"")</f>
        <v/>
      </c>
      <c r="L1492" t="str">
        <f>IFERROR(IF(VLOOKUP(E:E,'Old Report'!E:L,8,FALSE)="","",VLOOKUP(E:E,'Old Report'!E:L,8,FALSE)),"")</f>
        <v/>
      </c>
      <c r="M1492" s="5" t="str">
        <f t="shared" si="118"/>
        <v/>
      </c>
      <c r="N1492" s="5" t="str">
        <f t="shared" si="119"/>
        <v/>
      </c>
    </row>
    <row r="1493" spans="1:14" x14ac:dyDescent="0.25">
      <c r="A1493" s="5">
        <v>1492</v>
      </c>
      <c r="B1493" s="5">
        <f t="shared" si="116"/>
        <v>0</v>
      </c>
      <c r="C1493" s="5" t="str">
        <f t="shared" si="115"/>
        <v/>
      </c>
      <c r="D1493" s="5" t="str">
        <f>IFERROR(IF(F1493&lt;&gt;"",F1493,VLOOKUP(MAX(C$2:C1493),A$2:F1493,2,FALSE)),"")</f>
        <v/>
      </c>
      <c r="E1493" s="5" t="str">
        <f t="shared" si="117"/>
        <v/>
      </c>
      <c r="K1493" t="str">
        <f>IFERROR(IF(VLOOKUP(E:E,'Old Report'!E:J,6,FALSE)="","",VLOOKUP(E:E,'Old Report'!E:J,6,FALSE)),"")</f>
        <v/>
      </c>
      <c r="L1493" t="str">
        <f>IFERROR(IF(VLOOKUP(E:E,'Old Report'!E:L,8,FALSE)="","",VLOOKUP(E:E,'Old Report'!E:L,8,FALSE)),"")</f>
        <v/>
      </c>
      <c r="M1493" s="5" t="str">
        <f t="shared" si="118"/>
        <v/>
      </c>
      <c r="N1493" s="5" t="str">
        <f t="shared" si="119"/>
        <v/>
      </c>
    </row>
    <row r="1494" spans="1:14" x14ac:dyDescent="0.25">
      <c r="A1494" s="5">
        <v>1493</v>
      </c>
      <c r="B1494" s="5">
        <f t="shared" si="116"/>
        <v>0</v>
      </c>
      <c r="C1494" s="5" t="str">
        <f t="shared" si="115"/>
        <v/>
      </c>
      <c r="D1494" s="5" t="str">
        <f>IFERROR(IF(F1494&lt;&gt;"",F1494,VLOOKUP(MAX(C$2:C1494),A$2:F1494,2,FALSE)),"")</f>
        <v/>
      </c>
      <c r="E1494" s="5" t="str">
        <f t="shared" si="117"/>
        <v/>
      </c>
      <c r="K1494" t="str">
        <f>IFERROR(IF(VLOOKUP(E:E,'Old Report'!E:J,6,FALSE)="","",VLOOKUP(E:E,'Old Report'!E:J,6,FALSE)),"")</f>
        <v/>
      </c>
      <c r="L1494" t="str">
        <f>IFERROR(IF(VLOOKUP(E:E,'Old Report'!E:L,8,FALSE)="","",VLOOKUP(E:E,'Old Report'!E:L,8,FALSE)),"")</f>
        <v/>
      </c>
      <c r="M1494" s="5" t="str">
        <f t="shared" si="118"/>
        <v/>
      </c>
      <c r="N1494" s="5" t="str">
        <f t="shared" si="119"/>
        <v/>
      </c>
    </row>
    <row r="1495" spans="1:14" x14ac:dyDescent="0.25">
      <c r="A1495" s="5">
        <v>1494</v>
      </c>
      <c r="B1495" s="5">
        <f t="shared" si="116"/>
        <v>0</v>
      </c>
      <c r="C1495" s="5" t="str">
        <f t="shared" si="115"/>
        <v/>
      </c>
      <c r="D1495" s="5" t="str">
        <f>IFERROR(IF(F1495&lt;&gt;"",F1495,VLOOKUP(MAX(C$2:C1495),A$2:F1495,2,FALSE)),"")</f>
        <v/>
      </c>
      <c r="E1495" s="5" t="str">
        <f t="shared" si="117"/>
        <v/>
      </c>
      <c r="K1495" t="str">
        <f>IFERROR(IF(VLOOKUP(E:E,'Old Report'!E:J,6,FALSE)="","",VLOOKUP(E:E,'Old Report'!E:J,6,FALSE)),"")</f>
        <v/>
      </c>
      <c r="L1495" t="str">
        <f>IFERROR(IF(VLOOKUP(E:E,'Old Report'!E:L,8,FALSE)="","",VLOOKUP(E:E,'Old Report'!E:L,8,FALSE)),"")</f>
        <v/>
      </c>
      <c r="M1495" s="5" t="str">
        <f t="shared" si="118"/>
        <v/>
      </c>
      <c r="N1495" s="5" t="str">
        <f t="shared" si="119"/>
        <v/>
      </c>
    </row>
    <row r="1496" spans="1:14" x14ac:dyDescent="0.25">
      <c r="A1496" s="5">
        <v>1495</v>
      </c>
      <c r="B1496" s="5">
        <f t="shared" si="116"/>
        <v>0</v>
      </c>
      <c r="C1496" s="5" t="str">
        <f t="shared" si="115"/>
        <v/>
      </c>
      <c r="D1496" s="5" t="str">
        <f>IFERROR(IF(F1496&lt;&gt;"",F1496,VLOOKUP(MAX(C$2:C1496),A$2:F1496,2,FALSE)),"")</f>
        <v/>
      </c>
      <c r="E1496" s="5" t="str">
        <f t="shared" si="117"/>
        <v/>
      </c>
      <c r="K1496" t="str">
        <f>IFERROR(IF(VLOOKUP(E:E,'Old Report'!E:J,6,FALSE)="","",VLOOKUP(E:E,'Old Report'!E:J,6,FALSE)),"")</f>
        <v/>
      </c>
      <c r="L1496" t="str">
        <f>IFERROR(IF(VLOOKUP(E:E,'Old Report'!E:L,8,FALSE)="","",VLOOKUP(E:E,'Old Report'!E:L,8,FALSE)),"")</f>
        <v/>
      </c>
      <c r="M1496" s="5" t="str">
        <f t="shared" si="118"/>
        <v/>
      </c>
      <c r="N1496" s="5" t="str">
        <f t="shared" si="119"/>
        <v/>
      </c>
    </row>
    <row r="1497" spans="1:14" x14ac:dyDescent="0.25">
      <c r="A1497" s="5">
        <v>1496</v>
      </c>
      <c r="B1497" s="5">
        <f t="shared" si="116"/>
        <v>0</v>
      </c>
      <c r="C1497" s="5" t="str">
        <f t="shared" si="115"/>
        <v/>
      </c>
      <c r="D1497" s="5" t="str">
        <f>IFERROR(IF(F1497&lt;&gt;"",F1497,VLOOKUP(MAX(C$2:C1497),A$2:F1497,2,FALSE)),"")</f>
        <v/>
      </c>
      <c r="E1497" s="5" t="str">
        <f t="shared" si="117"/>
        <v/>
      </c>
      <c r="K1497" t="str">
        <f>IFERROR(IF(VLOOKUP(E:E,'Old Report'!E:J,6,FALSE)="","",VLOOKUP(E:E,'Old Report'!E:J,6,FALSE)),"")</f>
        <v/>
      </c>
      <c r="L1497" t="str">
        <f>IFERROR(IF(VLOOKUP(E:E,'Old Report'!E:L,8,FALSE)="","",VLOOKUP(E:E,'Old Report'!E:L,8,FALSE)),"")</f>
        <v/>
      </c>
      <c r="M1497" s="5" t="str">
        <f t="shared" si="118"/>
        <v/>
      </c>
      <c r="N1497" s="5" t="str">
        <f t="shared" si="119"/>
        <v/>
      </c>
    </row>
    <row r="1498" spans="1:14" x14ac:dyDescent="0.25">
      <c r="A1498" s="5">
        <v>1497</v>
      </c>
      <c r="B1498" s="5">
        <f t="shared" si="116"/>
        <v>0</v>
      </c>
      <c r="C1498" s="5" t="str">
        <f t="shared" si="115"/>
        <v/>
      </c>
      <c r="D1498" s="5" t="str">
        <f>IFERROR(IF(F1498&lt;&gt;"",F1498,VLOOKUP(MAX(C$2:C1498),A$2:F1498,2,FALSE)),"")</f>
        <v/>
      </c>
      <c r="E1498" s="5" t="str">
        <f t="shared" si="117"/>
        <v/>
      </c>
      <c r="K1498" t="str">
        <f>IFERROR(IF(VLOOKUP(E:E,'Old Report'!E:J,6,FALSE)="","",VLOOKUP(E:E,'Old Report'!E:J,6,FALSE)),"")</f>
        <v/>
      </c>
      <c r="L1498" t="str">
        <f>IFERROR(IF(VLOOKUP(E:E,'Old Report'!E:L,8,FALSE)="","",VLOOKUP(E:E,'Old Report'!E:L,8,FALSE)),"")</f>
        <v/>
      </c>
      <c r="M1498" s="5" t="str">
        <f t="shared" si="118"/>
        <v/>
      </c>
      <c r="N1498" s="5" t="str">
        <f t="shared" si="119"/>
        <v/>
      </c>
    </row>
    <row r="1499" spans="1:14" x14ac:dyDescent="0.25">
      <c r="A1499" s="5">
        <v>1498</v>
      </c>
      <c r="B1499" s="5">
        <f t="shared" si="116"/>
        <v>0</v>
      </c>
      <c r="C1499" s="5" t="str">
        <f t="shared" si="115"/>
        <v/>
      </c>
      <c r="D1499" s="5" t="str">
        <f>IFERROR(IF(F1499&lt;&gt;"",F1499,VLOOKUP(MAX(C$2:C1499),A$2:F1499,2,FALSE)),"")</f>
        <v/>
      </c>
      <c r="E1499" s="5" t="str">
        <f t="shared" si="117"/>
        <v/>
      </c>
      <c r="K1499" t="str">
        <f>IFERROR(IF(VLOOKUP(E:E,'Old Report'!E:J,6,FALSE)="","",VLOOKUP(E:E,'Old Report'!E:J,6,FALSE)),"")</f>
        <v/>
      </c>
      <c r="L1499" t="str">
        <f>IFERROR(IF(VLOOKUP(E:E,'Old Report'!E:L,8,FALSE)="","",VLOOKUP(E:E,'Old Report'!E:L,8,FALSE)),"")</f>
        <v/>
      </c>
      <c r="M1499" s="5" t="str">
        <f t="shared" si="118"/>
        <v/>
      </c>
      <c r="N1499" s="5" t="str">
        <f t="shared" si="119"/>
        <v/>
      </c>
    </row>
    <row r="1500" spans="1:14" x14ac:dyDescent="0.25">
      <c r="A1500" s="5">
        <v>1499</v>
      </c>
      <c r="B1500" s="5">
        <f t="shared" si="116"/>
        <v>0</v>
      </c>
      <c r="C1500" s="5" t="str">
        <f t="shared" si="115"/>
        <v/>
      </c>
      <c r="D1500" s="5" t="str">
        <f>IFERROR(IF(F1500&lt;&gt;"",F1500,VLOOKUP(MAX(C$2:C1500),A$2:F1500,2,FALSE)),"")</f>
        <v/>
      </c>
      <c r="E1500" s="5" t="str">
        <f t="shared" si="117"/>
        <v/>
      </c>
      <c r="K1500" t="str">
        <f>IFERROR(IF(VLOOKUP(E:E,'Old Report'!E:J,6,FALSE)="","",VLOOKUP(E:E,'Old Report'!E:J,6,FALSE)),"")</f>
        <v/>
      </c>
      <c r="L1500" t="str">
        <f>IFERROR(IF(VLOOKUP(E:E,'Old Report'!E:L,8,FALSE)="","",VLOOKUP(E:E,'Old Report'!E:L,8,FALSE)),"")</f>
        <v/>
      </c>
      <c r="M1500" s="5" t="str">
        <f t="shared" si="118"/>
        <v/>
      </c>
      <c r="N1500" s="5" t="str">
        <f t="shared" si="119"/>
        <v/>
      </c>
    </row>
    <row r="1501" spans="1:14" x14ac:dyDescent="0.25">
      <c r="L1501" t="str">
        <f>IFERROR(IF(VLOOKUP(E:E,'Old Report'!E:L,8,FALSE)="","",VLOOKUP(E:E,'Old Report'!E:L,8,FALSE)),"")</f>
        <v/>
      </c>
      <c r="N1501" s="4" t="str">
        <f t="shared" ref="N1501:N1539" si="120">IFERROR( IF(J1501&lt;&gt;"",IF(K1501 &lt;&gt; "",IF(J1501 = K1501,"Same Number of Issues",IF(J1501 &lt; K1501,CONCATENATE("Issues reduced from ",K1501," to ",J1501),IF(J1501&gt;K1501,CONCATENATE("Issues increased from ",K1501," to ",J1501),""))),"New issue - needs to be checked"),""),"")</f>
        <v/>
      </c>
    </row>
    <row r="1502" spans="1:14" x14ac:dyDescent="0.25">
      <c r="N1502" s="4" t="str">
        <f t="shared" si="120"/>
        <v/>
      </c>
    </row>
    <row r="1503" spans="1:14" x14ac:dyDescent="0.25">
      <c r="N1503" s="4" t="str">
        <f t="shared" si="120"/>
        <v/>
      </c>
    </row>
    <row r="1504" spans="1:14" x14ac:dyDescent="0.25">
      <c r="N1504" s="4" t="str">
        <f t="shared" si="120"/>
        <v/>
      </c>
    </row>
    <row r="1505" spans="14:14" x14ac:dyDescent="0.25">
      <c r="N1505" s="4" t="str">
        <f t="shared" si="120"/>
        <v/>
      </c>
    </row>
    <row r="1506" spans="14:14" x14ac:dyDescent="0.25">
      <c r="N1506" s="4" t="str">
        <f t="shared" si="120"/>
        <v/>
      </c>
    </row>
    <row r="1507" spans="14:14" x14ac:dyDescent="0.25">
      <c r="N1507" s="4" t="str">
        <f t="shared" si="120"/>
        <v/>
      </c>
    </row>
    <row r="1508" spans="14:14" x14ac:dyDescent="0.25">
      <c r="N1508" s="4" t="str">
        <f t="shared" si="120"/>
        <v/>
      </c>
    </row>
    <row r="1509" spans="14:14" x14ac:dyDescent="0.25">
      <c r="N1509" s="4" t="str">
        <f t="shared" si="120"/>
        <v/>
      </c>
    </row>
    <row r="1510" spans="14:14" x14ac:dyDescent="0.25">
      <c r="N1510" s="4" t="str">
        <f t="shared" si="120"/>
        <v/>
      </c>
    </row>
    <row r="1511" spans="14:14" x14ac:dyDescent="0.25">
      <c r="N1511" s="4" t="str">
        <f t="shared" si="120"/>
        <v/>
      </c>
    </row>
    <row r="1512" spans="14:14" x14ac:dyDescent="0.25">
      <c r="N1512" s="4" t="str">
        <f t="shared" si="120"/>
        <v/>
      </c>
    </row>
    <row r="1513" spans="14:14" x14ac:dyDescent="0.25">
      <c r="N1513" s="4" t="str">
        <f t="shared" si="120"/>
        <v/>
      </c>
    </row>
    <row r="1514" spans="14:14" x14ac:dyDescent="0.25">
      <c r="N1514" s="4" t="str">
        <f t="shared" si="120"/>
        <v/>
      </c>
    </row>
    <row r="1515" spans="14:14" x14ac:dyDescent="0.25">
      <c r="N1515" s="4" t="str">
        <f t="shared" si="120"/>
        <v/>
      </c>
    </row>
    <row r="1516" spans="14:14" x14ac:dyDescent="0.25">
      <c r="N1516" s="4" t="str">
        <f t="shared" si="120"/>
        <v/>
      </c>
    </row>
    <row r="1517" spans="14:14" x14ac:dyDescent="0.25">
      <c r="N1517" s="4" t="str">
        <f t="shared" si="120"/>
        <v/>
      </c>
    </row>
    <row r="1518" spans="14:14" x14ac:dyDescent="0.25">
      <c r="N1518" s="4" t="str">
        <f t="shared" si="120"/>
        <v/>
      </c>
    </row>
    <row r="1519" spans="14:14" x14ac:dyDescent="0.25">
      <c r="N1519" s="4" t="str">
        <f t="shared" si="120"/>
        <v/>
      </c>
    </row>
    <row r="1520" spans="14:14" x14ac:dyDescent="0.25">
      <c r="N1520" s="4" t="str">
        <f t="shared" si="120"/>
        <v/>
      </c>
    </row>
    <row r="1521" spans="14:14" x14ac:dyDescent="0.25">
      <c r="N1521" s="4" t="str">
        <f t="shared" si="120"/>
        <v/>
      </c>
    </row>
    <row r="1522" spans="14:14" x14ac:dyDescent="0.25">
      <c r="N1522" s="4" t="str">
        <f t="shared" si="120"/>
        <v/>
      </c>
    </row>
    <row r="1523" spans="14:14" x14ac:dyDescent="0.25">
      <c r="N1523" s="4" t="str">
        <f t="shared" si="120"/>
        <v/>
      </c>
    </row>
    <row r="1524" spans="14:14" x14ac:dyDescent="0.25">
      <c r="N1524" s="4" t="str">
        <f t="shared" si="120"/>
        <v/>
      </c>
    </row>
    <row r="1525" spans="14:14" x14ac:dyDescent="0.25">
      <c r="N1525" s="4" t="str">
        <f t="shared" si="120"/>
        <v/>
      </c>
    </row>
    <row r="1526" spans="14:14" x14ac:dyDescent="0.25">
      <c r="N1526" s="4" t="str">
        <f t="shared" si="120"/>
        <v/>
      </c>
    </row>
    <row r="1527" spans="14:14" x14ac:dyDescent="0.25">
      <c r="N1527" s="4" t="str">
        <f t="shared" si="120"/>
        <v/>
      </c>
    </row>
    <row r="1528" spans="14:14" x14ac:dyDescent="0.25">
      <c r="N1528" s="4" t="str">
        <f t="shared" si="120"/>
        <v/>
      </c>
    </row>
    <row r="1529" spans="14:14" x14ac:dyDescent="0.25">
      <c r="N1529" s="4" t="str">
        <f t="shared" si="120"/>
        <v/>
      </c>
    </row>
    <row r="1530" spans="14:14" x14ac:dyDescent="0.25">
      <c r="N1530" s="4" t="str">
        <f t="shared" si="120"/>
        <v/>
      </c>
    </row>
    <row r="1531" spans="14:14" x14ac:dyDescent="0.25">
      <c r="N1531" s="4" t="str">
        <f t="shared" si="120"/>
        <v/>
      </c>
    </row>
    <row r="1532" spans="14:14" x14ac:dyDescent="0.25">
      <c r="N1532" s="4" t="str">
        <f t="shared" si="120"/>
        <v/>
      </c>
    </row>
    <row r="1533" spans="14:14" x14ac:dyDescent="0.25">
      <c r="N1533" s="4" t="str">
        <f t="shared" si="120"/>
        <v/>
      </c>
    </row>
    <row r="1534" spans="14:14" x14ac:dyDescent="0.25">
      <c r="N1534" s="4" t="str">
        <f t="shared" si="120"/>
        <v/>
      </c>
    </row>
    <row r="1535" spans="14:14" x14ac:dyDescent="0.25">
      <c r="N1535" s="4" t="str">
        <f t="shared" si="120"/>
        <v/>
      </c>
    </row>
    <row r="1536" spans="14:14" x14ac:dyDescent="0.25">
      <c r="N1536" s="4" t="str">
        <f t="shared" si="120"/>
        <v/>
      </c>
    </row>
    <row r="1537" spans="14:14" x14ac:dyDescent="0.25">
      <c r="N1537" s="4" t="str">
        <f t="shared" si="120"/>
        <v/>
      </c>
    </row>
    <row r="1538" spans="14:14" x14ac:dyDescent="0.25">
      <c r="N1538" s="4" t="str">
        <f t="shared" si="120"/>
        <v/>
      </c>
    </row>
    <row r="1539" spans="14:14" x14ac:dyDescent="0.25">
      <c r="N1539" s="4" t="str">
        <f t="shared" si="120"/>
        <v/>
      </c>
    </row>
    <row r="1540" spans="14:14" x14ac:dyDescent="0.25">
      <c r="N1540" s="4" t="str">
        <f t="shared" ref="N1540:N1603" si="121">IFERROR( IF(J1540&lt;&gt;"",IF(K1540 &lt;&gt; "",IF(J1540 = K1540,"Same Number of Issues",IF(J1540 &lt; K1540,CONCATENATE("Issues reduced from ",K1540," to ",J1540),IF(J1540&gt;K1540,CONCATENATE("Issues increased from ",K1540," to ",J1540),""))),"New issue - needs to be checked"),""),"")</f>
        <v/>
      </c>
    </row>
    <row r="1541" spans="14:14" x14ac:dyDescent="0.25">
      <c r="N1541" s="4" t="str">
        <f t="shared" si="121"/>
        <v/>
      </c>
    </row>
    <row r="1542" spans="14:14" x14ac:dyDescent="0.25">
      <c r="N1542" s="4" t="str">
        <f t="shared" si="121"/>
        <v/>
      </c>
    </row>
    <row r="1543" spans="14:14" x14ac:dyDescent="0.25">
      <c r="N1543" s="4" t="str">
        <f t="shared" si="121"/>
        <v/>
      </c>
    </row>
    <row r="1544" spans="14:14" x14ac:dyDescent="0.25">
      <c r="N1544" s="4" t="str">
        <f t="shared" si="121"/>
        <v/>
      </c>
    </row>
    <row r="1545" spans="14:14" x14ac:dyDescent="0.25">
      <c r="N1545" s="4" t="str">
        <f t="shared" si="121"/>
        <v/>
      </c>
    </row>
    <row r="1546" spans="14:14" x14ac:dyDescent="0.25">
      <c r="N1546" s="4" t="str">
        <f t="shared" si="121"/>
        <v/>
      </c>
    </row>
    <row r="1547" spans="14:14" x14ac:dyDescent="0.25">
      <c r="N1547" s="4" t="str">
        <f t="shared" si="121"/>
        <v/>
      </c>
    </row>
    <row r="1548" spans="14:14" x14ac:dyDescent="0.25">
      <c r="N1548" s="4" t="str">
        <f t="shared" si="121"/>
        <v/>
      </c>
    </row>
    <row r="1549" spans="14:14" x14ac:dyDescent="0.25">
      <c r="N1549" s="4" t="str">
        <f t="shared" si="121"/>
        <v/>
      </c>
    </row>
    <row r="1550" spans="14:14" x14ac:dyDescent="0.25">
      <c r="N1550" s="4" t="str">
        <f t="shared" si="121"/>
        <v/>
      </c>
    </row>
    <row r="1551" spans="14:14" x14ac:dyDescent="0.25">
      <c r="N1551" s="4" t="str">
        <f t="shared" si="121"/>
        <v/>
      </c>
    </row>
    <row r="1552" spans="14:14" x14ac:dyDescent="0.25">
      <c r="N1552" s="4" t="str">
        <f t="shared" si="121"/>
        <v/>
      </c>
    </row>
    <row r="1553" spans="14:14" x14ac:dyDescent="0.25">
      <c r="N1553" s="4" t="str">
        <f t="shared" si="121"/>
        <v/>
      </c>
    </row>
    <row r="1554" spans="14:14" x14ac:dyDescent="0.25">
      <c r="N1554" s="4" t="str">
        <f t="shared" si="121"/>
        <v/>
      </c>
    </row>
    <row r="1555" spans="14:14" x14ac:dyDescent="0.25">
      <c r="N1555" s="4" t="str">
        <f t="shared" si="121"/>
        <v/>
      </c>
    </row>
    <row r="1556" spans="14:14" x14ac:dyDescent="0.25">
      <c r="N1556" s="4" t="str">
        <f t="shared" si="121"/>
        <v/>
      </c>
    </row>
    <row r="1557" spans="14:14" x14ac:dyDescent="0.25">
      <c r="N1557" s="4" t="str">
        <f t="shared" si="121"/>
        <v/>
      </c>
    </row>
    <row r="1558" spans="14:14" x14ac:dyDescent="0.25">
      <c r="N1558" s="4" t="str">
        <f t="shared" si="121"/>
        <v/>
      </c>
    </row>
    <row r="1559" spans="14:14" x14ac:dyDescent="0.25">
      <c r="N1559" s="4" t="str">
        <f t="shared" si="121"/>
        <v/>
      </c>
    </row>
    <row r="1560" spans="14:14" x14ac:dyDescent="0.25">
      <c r="N1560" s="4" t="str">
        <f t="shared" si="121"/>
        <v/>
      </c>
    </row>
    <row r="1561" spans="14:14" x14ac:dyDescent="0.25">
      <c r="N1561" s="4" t="str">
        <f t="shared" si="121"/>
        <v/>
      </c>
    </row>
    <row r="1562" spans="14:14" x14ac:dyDescent="0.25">
      <c r="N1562" s="4" t="str">
        <f t="shared" si="121"/>
        <v/>
      </c>
    </row>
    <row r="1563" spans="14:14" x14ac:dyDescent="0.25">
      <c r="N1563" s="4" t="str">
        <f t="shared" si="121"/>
        <v/>
      </c>
    </row>
    <row r="1564" spans="14:14" x14ac:dyDescent="0.25">
      <c r="N1564" s="4" t="str">
        <f t="shared" si="121"/>
        <v/>
      </c>
    </row>
    <row r="1565" spans="14:14" x14ac:dyDescent="0.25">
      <c r="N1565" s="4" t="str">
        <f t="shared" si="121"/>
        <v/>
      </c>
    </row>
    <row r="1566" spans="14:14" x14ac:dyDescent="0.25">
      <c r="N1566" s="4" t="str">
        <f t="shared" si="121"/>
        <v/>
      </c>
    </row>
    <row r="1567" spans="14:14" x14ac:dyDescent="0.25">
      <c r="N1567" s="4" t="str">
        <f t="shared" si="121"/>
        <v/>
      </c>
    </row>
    <row r="1568" spans="14:14" x14ac:dyDescent="0.25">
      <c r="N1568" s="4" t="str">
        <f t="shared" si="121"/>
        <v/>
      </c>
    </row>
    <row r="1569" spans="14:14" x14ac:dyDescent="0.25">
      <c r="N1569" s="4" t="str">
        <f t="shared" si="121"/>
        <v/>
      </c>
    </row>
    <row r="1570" spans="14:14" x14ac:dyDescent="0.25">
      <c r="N1570" s="4" t="str">
        <f t="shared" si="121"/>
        <v/>
      </c>
    </row>
    <row r="1571" spans="14:14" x14ac:dyDescent="0.25">
      <c r="N1571" s="4" t="str">
        <f t="shared" si="121"/>
        <v/>
      </c>
    </row>
    <row r="1572" spans="14:14" x14ac:dyDescent="0.25">
      <c r="N1572" s="4" t="str">
        <f t="shared" si="121"/>
        <v/>
      </c>
    </row>
    <row r="1573" spans="14:14" x14ac:dyDescent="0.25">
      <c r="N1573" s="4" t="str">
        <f t="shared" si="121"/>
        <v/>
      </c>
    </row>
    <row r="1574" spans="14:14" x14ac:dyDescent="0.25">
      <c r="N1574" s="4" t="str">
        <f t="shared" si="121"/>
        <v/>
      </c>
    </row>
    <row r="1575" spans="14:14" x14ac:dyDescent="0.25">
      <c r="N1575" s="4" t="str">
        <f t="shared" si="121"/>
        <v/>
      </c>
    </row>
    <row r="1576" spans="14:14" x14ac:dyDescent="0.25">
      <c r="N1576" s="4" t="str">
        <f t="shared" si="121"/>
        <v/>
      </c>
    </row>
    <row r="1577" spans="14:14" x14ac:dyDescent="0.25">
      <c r="N1577" s="4" t="str">
        <f t="shared" si="121"/>
        <v/>
      </c>
    </row>
    <row r="1578" spans="14:14" x14ac:dyDescent="0.25">
      <c r="N1578" s="4" t="str">
        <f t="shared" si="121"/>
        <v/>
      </c>
    </row>
    <row r="1579" spans="14:14" x14ac:dyDescent="0.25">
      <c r="N1579" s="4" t="str">
        <f t="shared" si="121"/>
        <v/>
      </c>
    </row>
    <row r="1580" spans="14:14" x14ac:dyDescent="0.25">
      <c r="N1580" s="4" t="str">
        <f t="shared" si="121"/>
        <v/>
      </c>
    </row>
    <row r="1581" spans="14:14" x14ac:dyDescent="0.25">
      <c r="N1581" s="4" t="str">
        <f t="shared" si="121"/>
        <v/>
      </c>
    </row>
    <row r="1582" spans="14:14" x14ac:dyDescent="0.25">
      <c r="N1582" s="4" t="str">
        <f t="shared" si="121"/>
        <v/>
      </c>
    </row>
    <row r="1583" spans="14:14" x14ac:dyDescent="0.25">
      <c r="N1583" s="4" t="str">
        <f t="shared" si="121"/>
        <v/>
      </c>
    </row>
    <row r="1584" spans="14:14" x14ac:dyDescent="0.25">
      <c r="N1584" s="4" t="str">
        <f t="shared" si="121"/>
        <v/>
      </c>
    </row>
    <row r="1585" spans="14:14" x14ac:dyDescent="0.25">
      <c r="N1585" s="4" t="str">
        <f t="shared" si="121"/>
        <v/>
      </c>
    </row>
    <row r="1586" spans="14:14" x14ac:dyDescent="0.25">
      <c r="N1586" s="4" t="str">
        <f t="shared" si="121"/>
        <v/>
      </c>
    </row>
    <row r="1587" spans="14:14" x14ac:dyDescent="0.25">
      <c r="N1587" s="4" t="str">
        <f t="shared" si="121"/>
        <v/>
      </c>
    </row>
    <row r="1588" spans="14:14" x14ac:dyDescent="0.25">
      <c r="N1588" s="4" t="str">
        <f t="shared" si="121"/>
        <v/>
      </c>
    </row>
    <row r="1589" spans="14:14" x14ac:dyDescent="0.25">
      <c r="N1589" s="4" t="str">
        <f t="shared" si="121"/>
        <v/>
      </c>
    </row>
    <row r="1590" spans="14:14" x14ac:dyDescent="0.25">
      <c r="N1590" s="4" t="str">
        <f t="shared" si="121"/>
        <v/>
      </c>
    </row>
    <row r="1591" spans="14:14" x14ac:dyDescent="0.25">
      <c r="N1591" s="4" t="str">
        <f t="shared" si="121"/>
        <v/>
      </c>
    </row>
    <row r="1592" spans="14:14" x14ac:dyDescent="0.25">
      <c r="N1592" s="4" t="str">
        <f t="shared" si="121"/>
        <v/>
      </c>
    </row>
    <row r="1593" spans="14:14" x14ac:dyDescent="0.25">
      <c r="N1593" s="4" t="str">
        <f t="shared" si="121"/>
        <v/>
      </c>
    </row>
    <row r="1594" spans="14:14" x14ac:dyDescent="0.25">
      <c r="N1594" s="4" t="str">
        <f t="shared" si="121"/>
        <v/>
      </c>
    </row>
    <row r="1595" spans="14:14" x14ac:dyDescent="0.25">
      <c r="N1595" s="4" t="str">
        <f t="shared" si="121"/>
        <v/>
      </c>
    </row>
    <row r="1596" spans="14:14" x14ac:dyDescent="0.25">
      <c r="N1596" s="4" t="str">
        <f t="shared" si="121"/>
        <v/>
      </c>
    </row>
    <row r="1597" spans="14:14" x14ac:dyDescent="0.25">
      <c r="N1597" s="4" t="str">
        <f t="shared" si="121"/>
        <v/>
      </c>
    </row>
    <row r="1598" spans="14:14" x14ac:dyDescent="0.25">
      <c r="N1598" s="4" t="str">
        <f t="shared" si="121"/>
        <v/>
      </c>
    </row>
    <row r="1599" spans="14:14" x14ac:dyDescent="0.25">
      <c r="N1599" s="4" t="str">
        <f t="shared" si="121"/>
        <v/>
      </c>
    </row>
    <row r="1600" spans="14:14" x14ac:dyDescent="0.25">
      <c r="N1600" s="4" t="str">
        <f t="shared" si="121"/>
        <v/>
      </c>
    </row>
    <row r="1601" spans="14:14" x14ac:dyDescent="0.25">
      <c r="N1601" s="4" t="str">
        <f t="shared" si="121"/>
        <v/>
      </c>
    </row>
    <row r="1602" spans="14:14" x14ac:dyDescent="0.25">
      <c r="N1602" s="4" t="str">
        <f t="shared" si="121"/>
        <v/>
      </c>
    </row>
    <row r="1603" spans="14:14" x14ac:dyDescent="0.25">
      <c r="N1603" s="4" t="str">
        <f t="shared" si="121"/>
        <v/>
      </c>
    </row>
    <row r="1604" spans="14:14" x14ac:dyDescent="0.25">
      <c r="N1604" s="4" t="str">
        <f t="shared" ref="N1604:N1667" si="122">IFERROR( IF(J1604&lt;&gt;"",IF(K1604 &lt;&gt; "",IF(J1604 = K1604,"Same Number of Issues",IF(J1604 &lt; K1604,CONCATENATE("Issues reduced from ",K1604," to ",J1604),IF(J1604&gt;K1604,CONCATENATE("Issues increased from ",K1604," to ",J1604),""))),"New issue - needs to be checked"),""),"")</f>
        <v/>
      </c>
    </row>
    <row r="1605" spans="14:14" x14ac:dyDescent="0.25">
      <c r="N1605" s="4" t="str">
        <f t="shared" si="122"/>
        <v/>
      </c>
    </row>
    <row r="1606" spans="14:14" x14ac:dyDescent="0.25">
      <c r="N1606" s="4" t="str">
        <f t="shared" si="122"/>
        <v/>
      </c>
    </row>
    <row r="1607" spans="14:14" x14ac:dyDescent="0.25">
      <c r="N1607" s="4" t="str">
        <f t="shared" si="122"/>
        <v/>
      </c>
    </row>
    <row r="1608" spans="14:14" x14ac:dyDescent="0.25">
      <c r="N1608" s="4" t="str">
        <f t="shared" si="122"/>
        <v/>
      </c>
    </row>
    <row r="1609" spans="14:14" x14ac:dyDescent="0.25">
      <c r="N1609" s="4" t="str">
        <f t="shared" si="122"/>
        <v/>
      </c>
    </row>
    <row r="1610" spans="14:14" x14ac:dyDescent="0.25">
      <c r="N1610" s="4" t="str">
        <f t="shared" si="122"/>
        <v/>
      </c>
    </row>
    <row r="1611" spans="14:14" x14ac:dyDescent="0.25">
      <c r="N1611" s="4" t="str">
        <f t="shared" si="122"/>
        <v/>
      </c>
    </row>
    <row r="1612" spans="14:14" x14ac:dyDescent="0.25">
      <c r="N1612" s="4" t="str">
        <f t="shared" si="122"/>
        <v/>
      </c>
    </row>
    <row r="1613" spans="14:14" x14ac:dyDescent="0.25">
      <c r="N1613" s="4" t="str">
        <f t="shared" si="122"/>
        <v/>
      </c>
    </row>
    <row r="1614" spans="14:14" x14ac:dyDescent="0.25">
      <c r="N1614" s="4" t="str">
        <f t="shared" si="122"/>
        <v/>
      </c>
    </row>
    <row r="1615" spans="14:14" x14ac:dyDescent="0.25">
      <c r="N1615" s="4" t="str">
        <f t="shared" si="122"/>
        <v/>
      </c>
    </row>
    <row r="1616" spans="14:14" x14ac:dyDescent="0.25">
      <c r="N1616" s="4" t="str">
        <f t="shared" si="122"/>
        <v/>
      </c>
    </row>
    <row r="1617" spans="14:14" x14ac:dyDescent="0.25">
      <c r="N1617" s="4" t="str">
        <f t="shared" si="122"/>
        <v/>
      </c>
    </row>
    <row r="1618" spans="14:14" x14ac:dyDescent="0.25">
      <c r="N1618" s="4" t="str">
        <f t="shared" si="122"/>
        <v/>
      </c>
    </row>
    <row r="1619" spans="14:14" x14ac:dyDescent="0.25">
      <c r="N1619" s="4" t="str">
        <f t="shared" si="122"/>
        <v/>
      </c>
    </row>
    <row r="1620" spans="14:14" x14ac:dyDescent="0.25">
      <c r="N1620" s="4" t="str">
        <f t="shared" si="122"/>
        <v/>
      </c>
    </row>
    <row r="1621" spans="14:14" x14ac:dyDescent="0.25">
      <c r="N1621" s="4" t="str">
        <f t="shared" si="122"/>
        <v/>
      </c>
    </row>
    <row r="1622" spans="14:14" x14ac:dyDescent="0.25">
      <c r="N1622" s="4" t="str">
        <f t="shared" si="122"/>
        <v/>
      </c>
    </row>
    <row r="1623" spans="14:14" x14ac:dyDescent="0.25">
      <c r="N1623" s="4" t="str">
        <f t="shared" si="122"/>
        <v/>
      </c>
    </row>
    <row r="1624" spans="14:14" x14ac:dyDescent="0.25">
      <c r="N1624" s="4" t="str">
        <f t="shared" si="122"/>
        <v/>
      </c>
    </row>
    <row r="1625" spans="14:14" x14ac:dyDescent="0.25">
      <c r="N1625" s="4" t="str">
        <f t="shared" si="122"/>
        <v/>
      </c>
    </row>
    <row r="1626" spans="14:14" x14ac:dyDescent="0.25">
      <c r="N1626" s="4" t="str">
        <f t="shared" si="122"/>
        <v/>
      </c>
    </row>
    <row r="1627" spans="14:14" x14ac:dyDescent="0.25">
      <c r="N1627" s="4" t="str">
        <f t="shared" si="122"/>
        <v/>
      </c>
    </row>
    <row r="1628" spans="14:14" x14ac:dyDescent="0.25">
      <c r="N1628" s="4" t="str">
        <f t="shared" si="122"/>
        <v/>
      </c>
    </row>
    <row r="1629" spans="14:14" x14ac:dyDescent="0.25">
      <c r="N1629" s="4" t="str">
        <f t="shared" si="122"/>
        <v/>
      </c>
    </row>
    <row r="1630" spans="14:14" x14ac:dyDescent="0.25">
      <c r="N1630" s="4" t="str">
        <f t="shared" si="122"/>
        <v/>
      </c>
    </row>
    <row r="1631" spans="14:14" x14ac:dyDescent="0.25">
      <c r="N1631" s="4" t="str">
        <f t="shared" si="122"/>
        <v/>
      </c>
    </row>
    <row r="1632" spans="14:14" x14ac:dyDescent="0.25">
      <c r="N1632" s="4" t="str">
        <f t="shared" si="122"/>
        <v/>
      </c>
    </row>
    <row r="1633" spans="14:14" x14ac:dyDescent="0.25">
      <c r="N1633" s="4" t="str">
        <f t="shared" si="122"/>
        <v/>
      </c>
    </row>
    <row r="1634" spans="14:14" x14ac:dyDescent="0.25">
      <c r="N1634" s="4" t="str">
        <f t="shared" si="122"/>
        <v/>
      </c>
    </row>
    <row r="1635" spans="14:14" x14ac:dyDescent="0.25">
      <c r="N1635" s="4" t="str">
        <f t="shared" si="122"/>
        <v/>
      </c>
    </row>
    <row r="1636" spans="14:14" x14ac:dyDescent="0.25">
      <c r="N1636" s="4" t="str">
        <f t="shared" si="122"/>
        <v/>
      </c>
    </row>
    <row r="1637" spans="14:14" x14ac:dyDescent="0.25">
      <c r="N1637" s="4" t="str">
        <f t="shared" si="122"/>
        <v/>
      </c>
    </row>
    <row r="1638" spans="14:14" x14ac:dyDescent="0.25">
      <c r="N1638" s="4" t="str">
        <f t="shared" si="122"/>
        <v/>
      </c>
    </row>
    <row r="1639" spans="14:14" x14ac:dyDescent="0.25">
      <c r="N1639" s="4" t="str">
        <f t="shared" si="122"/>
        <v/>
      </c>
    </row>
    <row r="1640" spans="14:14" x14ac:dyDescent="0.25">
      <c r="N1640" s="4" t="str">
        <f t="shared" si="122"/>
        <v/>
      </c>
    </row>
    <row r="1641" spans="14:14" x14ac:dyDescent="0.25">
      <c r="N1641" s="4" t="str">
        <f t="shared" si="122"/>
        <v/>
      </c>
    </row>
    <row r="1642" spans="14:14" x14ac:dyDescent="0.25">
      <c r="N1642" s="4" t="str">
        <f t="shared" si="122"/>
        <v/>
      </c>
    </row>
    <row r="1643" spans="14:14" x14ac:dyDescent="0.25">
      <c r="N1643" s="4" t="str">
        <f t="shared" si="122"/>
        <v/>
      </c>
    </row>
    <row r="1644" spans="14:14" x14ac:dyDescent="0.25">
      <c r="N1644" s="4" t="str">
        <f t="shared" si="122"/>
        <v/>
      </c>
    </row>
    <row r="1645" spans="14:14" x14ac:dyDescent="0.25">
      <c r="N1645" s="4" t="str">
        <f t="shared" si="122"/>
        <v/>
      </c>
    </row>
    <row r="1646" spans="14:14" x14ac:dyDescent="0.25">
      <c r="N1646" s="4" t="str">
        <f t="shared" si="122"/>
        <v/>
      </c>
    </row>
    <row r="1647" spans="14:14" x14ac:dyDescent="0.25">
      <c r="N1647" s="4" t="str">
        <f t="shared" si="122"/>
        <v/>
      </c>
    </row>
    <row r="1648" spans="14:14" x14ac:dyDescent="0.25">
      <c r="N1648" s="4" t="str">
        <f t="shared" si="122"/>
        <v/>
      </c>
    </row>
    <row r="1649" spans="14:14" x14ac:dyDescent="0.25">
      <c r="N1649" s="4" t="str">
        <f t="shared" si="122"/>
        <v/>
      </c>
    </row>
    <row r="1650" spans="14:14" x14ac:dyDescent="0.25">
      <c r="N1650" s="4" t="str">
        <f t="shared" si="122"/>
        <v/>
      </c>
    </row>
    <row r="1651" spans="14:14" x14ac:dyDescent="0.25">
      <c r="N1651" s="4" t="str">
        <f t="shared" si="122"/>
        <v/>
      </c>
    </row>
    <row r="1652" spans="14:14" x14ac:dyDescent="0.25">
      <c r="N1652" s="4" t="str">
        <f t="shared" si="122"/>
        <v/>
      </c>
    </row>
    <row r="1653" spans="14:14" x14ac:dyDescent="0.25">
      <c r="N1653" s="4" t="str">
        <f t="shared" si="122"/>
        <v/>
      </c>
    </row>
    <row r="1654" spans="14:14" x14ac:dyDescent="0.25">
      <c r="N1654" s="4" t="str">
        <f t="shared" si="122"/>
        <v/>
      </c>
    </row>
    <row r="1655" spans="14:14" x14ac:dyDescent="0.25">
      <c r="N1655" s="4" t="str">
        <f t="shared" si="122"/>
        <v/>
      </c>
    </row>
    <row r="1656" spans="14:14" x14ac:dyDescent="0.25">
      <c r="N1656" s="4" t="str">
        <f t="shared" si="122"/>
        <v/>
      </c>
    </row>
    <row r="1657" spans="14:14" x14ac:dyDescent="0.25">
      <c r="N1657" s="4" t="str">
        <f t="shared" si="122"/>
        <v/>
      </c>
    </row>
    <row r="1658" spans="14:14" x14ac:dyDescent="0.25">
      <c r="N1658" s="4" t="str">
        <f t="shared" si="122"/>
        <v/>
      </c>
    </row>
    <row r="1659" spans="14:14" x14ac:dyDescent="0.25">
      <c r="N1659" s="4" t="str">
        <f t="shared" si="122"/>
        <v/>
      </c>
    </row>
    <row r="1660" spans="14:14" x14ac:dyDescent="0.25">
      <c r="N1660" s="4" t="str">
        <f t="shared" si="122"/>
        <v/>
      </c>
    </row>
    <row r="1661" spans="14:14" x14ac:dyDescent="0.25">
      <c r="N1661" s="4" t="str">
        <f t="shared" si="122"/>
        <v/>
      </c>
    </row>
    <row r="1662" spans="14:14" x14ac:dyDescent="0.25">
      <c r="N1662" s="4" t="str">
        <f t="shared" si="122"/>
        <v/>
      </c>
    </row>
    <row r="1663" spans="14:14" x14ac:dyDescent="0.25">
      <c r="N1663" s="4" t="str">
        <f t="shared" si="122"/>
        <v/>
      </c>
    </row>
    <row r="1664" spans="14:14" x14ac:dyDescent="0.25">
      <c r="N1664" s="4" t="str">
        <f t="shared" si="122"/>
        <v/>
      </c>
    </row>
    <row r="1665" spans="14:14" x14ac:dyDescent="0.25">
      <c r="N1665" s="4" t="str">
        <f t="shared" si="122"/>
        <v/>
      </c>
    </row>
    <row r="1666" spans="14:14" x14ac:dyDescent="0.25">
      <c r="N1666" s="4" t="str">
        <f t="shared" si="122"/>
        <v/>
      </c>
    </row>
    <row r="1667" spans="14:14" x14ac:dyDescent="0.25">
      <c r="N1667" s="4" t="str">
        <f t="shared" si="122"/>
        <v/>
      </c>
    </row>
    <row r="1668" spans="14:14" x14ac:dyDescent="0.25">
      <c r="N1668" s="4" t="str">
        <f t="shared" ref="N1668:N1731" si="123">IFERROR( IF(J1668&lt;&gt;"",IF(K1668 &lt;&gt; "",IF(J1668 = K1668,"Same Number of Issues",IF(J1668 &lt; K1668,CONCATENATE("Issues reduced from ",K1668," to ",J1668),IF(J1668&gt;K1668,CONCATENATE("Issues increased from ",K1668," to ",J1668),""))),"New issue - needs to be checked"),""),"")</f>
        <v/>
      </c>
    </row>
    <row r="1669" spans="14:14" x14ac:dyDescent="0.25">
      <c r="N1669" s="4" t="str">
        <f t="shared" si="123"/>
        <v/>
      </c>
    </row>
    <row r="1670" spans="14:14" x14ac:dyDescent="0.25">
      <c r="N1670" s="4" t="str">
        <f t="shared" si="123"/>
        <v/>
      </c>
    </row>
    <row r="1671" spans="14:14" x14ac:dyDescent="0.25">
      <c r="N1671" s="4" t="str">
        <f t="shared" si="123"/>
        <v/>
      </c>
    </row>
    <row r="1672" spans="14:14" x14ac:dyDescent="0.25">
      <c r="N1672" s="4" t="str">
        <f t="shared" si="123"/>
        <v/>
      </c>
    </row>
    <row r="1673" spans="14:14" x14ac:dyDescent="0.25">
      <c r="N1673" s="4" t="str">
        <f t="shared" si="123"/>
        <v/>
      </c>
    </row>
    <row r="1674" spans="14:14" x14ac:dyDescent="0.25">
      <c r="N1674" s="4" t="str">
        <f t="shared" si="123"/>
        <v/>
      </c>
    </row>
    <row r="1675" spans="14:14" x14ac:dyDescent="0.25">
      <c r="N1675" s="4" t="str">
        <f t="shared" si="123"/>
        <v/>
      </c>
    </row>
    <row r="1676" spans="14:14" x14ac:dyDescent="0.25">
      <c r="N1676" s="4" t="str">
        <f t="shared" si="123"/>
        <v/>
      </c>
    </row>
    <row r="1677" spans="14:14" x14ac:dyDescent="0.25">
      <c r="N1677" s="4" t="str">
        <f t="shared" si="123"/>
        <v/>
      </c>
    </row>
    <row r="1678" spans="14:14" x14ac:dyDescent="0.25">
      <c r="N1678" s="4" t="str">
        <f t="shared" si="123"/>
        <v/>
      </c>
    </row>
    <row r="1679" spans="14:14" x14ac:dyDescent="0.25">
      <c r="N1679" s="4" t="str">
        <f t="shared" si="123"/>
        <v/>
      </c>
    </row>
    <row r="1680" spans="14:14" x14ac:dyDescent="0.25">
      <c r="N1680" s="4" t="str">
        <f t="shared" si="123"/>
        <v/>
      </c>
    </row>
    <row r="1681" spans="14:14" x14ac:dyDescent="0.25">
      <c r="N1681" s="4" t="str">
        <f t="shared" si="123"/>
        <v/>
      </c>
    </row>
    <row r="1682" spans="14:14" x14ac:dyDescent="0.25">
      <c r="N1682" s="4" t="str">
        <f t="shared" si="123"/>
        <v/>
      </c>
    </row>
    <row r="1683" spans="14:14" x14ac:dyDescent="0.25">
      <c r="N1683" s="4" t="str">
        <f t="shared" si="123"/>
        <v/>
      </c>
    </row>
    <row r="1684" spans="14:14" x14ac:dyDescent="0.25">
      <c r="N1684" s="4" t="str">
        <f t="shared" si="123"/>
        <v/>
      </c>
    </row>
    <row r="1685" spans="14:14" x14ac:dyDescent="0.25">
      <c r="N1685" s="4" t="str">
        <f t="shared" si="123"/>
        <v/>
      </c>
    </row>
    <row r="1686" spans="14:14" x14ac:dyDescent="0.25">
      <c r="N1686" s="4" t="str">
        <f t="shared" si="123"/>
        <v/>
      </c>
    </row>
    <row r="1687" spans="14:14" x14ac:dyDescent="0.25">
      <c r="N1687" s="4" t="str">
        <f t="shared" si="123"/>
        <v/>
      </c>
    </row>
    <row r="1688" spans="14:14" x14ac:dyDescent="0.25">
      <c r="N1688" s="4" t="str">
        <f t="shared" si="123"/>
        <v/>
      </c>
    </row>
    <row r="1689" spans="14:14" x14ac:dyDescent="0.25">
      <c r="N1689" s="4" t="str">
        <f t="shared" si="123"/>
        <v/>
      </c>
    </row>
    <row r="1690" spans="14:14" x14ac:dyDescent="0.25">
      <c r="N1690" s="4" t="str">
        <f t="shared" si="123"/>
        <v/>
      </c>
    </row>
    <row r="1691" spans="14:14" x14ac:dyDescent="0.25">
      <c r="N1691" s="4" t="str">
        <f t="shared" si="123"/>
        <v/>
      </c>
    </row>
    <row r="1692" spans="14:14" x14ac:dyDescent="0.25">
      <c r="N1692" s="4" t="str">
        <f t="shared" si="123"/>
        <v/>
      </c>
    </row>
    <row r="1693" spans="14:14" x14ac:dyDescent="0.25">
      <c r="N1693" s="4" t="str">
        <f t="shared" si="123"/>
        <v/>
      </c>
    </row>
    <row r="1694" spans="14:14" x14ac:dyDescent="0.25">
      <c r="N1694" s="4" t="str">
        <f t="shared" si="123"/>
        <v/>
      </c>
    </row>
    <row r="1695" spans="14:14" x14ac:dyDescent="0.25">
      <c r="N1695" s="4" t="str">
        <f t="shared" si="123"/>
        <v/>
      </c>
    </row>
    <row r="1696" spans="14:14" x14ac:dyDescent="0.25">
      <c r="N1696" s="4" t="str">
        <f t="shared" si="123"/>
        <v/>
      </c>
    </row>
    <row r="1697" spans="14:14" x14ac:dyDescent="0.25">
      <c r="N1697" s="4" t="str">
        <f t="shared" si="123"/>
        <v/>
      </c>
    </row>
    <row r="1698" spans="14:14" x14ac:dyDescent="0.25">
      <c r="N1698" s="4" t="str">
        <f t="shared" si="123"/>
        <v/>
      </c>
    </row>
    <row r="1699" spans="14:14" x14ac:dyDescent="0.25">
      <c r="N1699" s="4" t="str">
        <f t="shared" si="123"/>
        <v/>
      </c>
    </row>
    <row r="1700" spans="14:14" x14ac:dyDescent="0.25">
      <c r="N1700" s="4" t="str">
        <f t="shared" si="123"/>
        <v/>
      </c>
    </row>
    <row r="1701" spans="14:14" x14ac:dyDescent="0.25">
      <c r="N1701" s="4" t="str">
        <f t="shared" si="123"/>
        <v/>
      </c>
    </row>
    <row r="1702" spans="14:14" x14ac:dyDescent="0.25">
      <c r="N1702" s="4" t="str">
        <f t="shared" si="123"/>
        <v/>
      </c>
    </row>
    <row r="1703" spans="14:14" x14ac:dyDescent="0.25">
      <c r="N1703" s="4" t="str">
        <f t="shared" si="123"/>
        <v/>
      </c>
    </row>
    <row r="1704" spans="14:14" x14ac:dyDescent="0.25">
      <c r="N1704" s="4" t="str">
        <f t="shared" si="123"/>
        <v/>
      </c>
    </row>
    <row r="1705" spans="14:14" x14ac:dyDescent="0.25">
      <c r="N1705" s="4" t="str">
        <f t="shared" si="123"/>
        <v/>
      </c>
    </row>
    <row r="1706" spans="14:14" x14ac:dyDescent="0.25">
      <c r="N1706" s="4" t="str">
        <f t="shared" si="123"/>
        <v/>
      </c>
    </row>
    <row r="1707" spans="14:14" x14ac:dyDescent="0.25">
      <c r="N1707" s="4" t="str">
        <f t="shared" si="123"/>
        <v/>
      </c>
    </row>
    <row r="1708" spans="14:14" x14ac:dyDescent="0.25">
      <c r="N1708" s="4" t="str">
        <f t="shared" si="123"/>
        <v/>
      </c>
    </row>
    <row r="1709" spans="14:14" x14ac:dyDescent="0.25">
      <c r="N1709" s="4" t="str">
        <f t="shared" si="123"/>
        <v/>
      </c>
    </row>
    <row r="1710" spans="14:14" x14ac:dyDescent="0.25">
      <c r="N1710" s="4" t="str">
        <f t="shared" si="123"/>
        <v/>
      </c>
    </row>
    <row r="1711" spans="14:14" x14ac:dyDescent="0.25">
      <c r="N1711" s="4" t="str">
        <f t="shared" si="123"/>
        <v/>
      </c>
    </row>
    <row r="1712" spans="14:14" x14ac:dyDescent="0.25">
      <c r="N1712" s="4" t="str">
        <f t="shared" si="123"/>
        <v/>
      </c>
    </row>
    <row r="1713" spans="14:14" x14ac:dyDescent="0.25">
      <c r="N1713" s="4" t="str">
        <f t="shared" si="123"/>
        <v/>
      </c>
    </row>
    <row r="1714" spans="14:14" x14ac:dyDescent="0.25">
      <c r="N1714" s="4" t="str">
        <f t="shared" si="123"/>
        <v/>
      </c>
    </row>
    <row r="1715" spans="14:14" x14ac:dyDescent="0.25">
      <c r="N1715" s="4" t="str">
        <f t="shared" si="123"/>
        <v/>
      </c>
    </row>
    <row r="1716" spans="14:14" x14ac:dyDescent="0.25">
      <c r="N1716" s="4" t="str">
        <f t="shared" si="123"/>
        <v/>
      </c>
    </row>
    <row r="1717" spans="14:14" x14ac:dyDescent="0.25">
      <c r="N1717" s="4" t="str">
        <f t="shared" si="123"/>
        <v/>
      </c>
    </row>
    <row r="1718" spans="14:14" x14ac:dyDescent="0.25">
      <c r="N1718" s="4" t="str">
        <f t="shared" si="123"/>
        <v/>
      </c>
    </row>
    <row r="1719" spans="14:14" x14ac:dyDescent="0.25">
      <c r="N1719" s="4" t="str">
        <f t="shared" si="123"/>
        <v/>
      </c>
    </row>
    <row r="1720" spans="14:14" x14ac:dyDescent="0.25">
      <c r="N1720" s="4" t="str">
        <f t="shared" si="123"/>
        <v/>
      </c>
    </row>
    <row r="1721" spans="14:14" x14ac:dyDescent="0.25">
      <c r="N1721" s="4" t="str">
        <f t="shared" si="123"/>
        <v/>
      </c>
    </row>
    <row r="1722" spans="14:14" x14ac:dyDescent="0.25">
      <c r="N1722" s="4" t="str">
        <f t="shared" si="123"/>
        <v/>
      </c>
    </row>
    <row r="1723" spans="14:14" x14ac:dyDescent="0.25">
      <c r="N1723" s="4" t="str">
        <f t="shared" si="123"/>
        <v/>
      </c>
    </row>
    <row r="1724" spans="14:14" x14ac:dyDescent="0.25">
      <c r="N1724" s="4" t="str">
        <f t="shared" si="123"/>
        <v/>
      </c>
    </row>
    <row r="1725" spans="14:14" x14ac:dyDescent="0.25">
      <c r="N1725" s="4" t="str">
        <f t="shared" si="123"/>
        <v/>
      </c>
    </row>
    <row r="1726" spans="14:14" x14ac:dyDescent="0.25">
      <c r="N1726" s="4" t="str">
        <f t="shared" si="123"/>
        <v/>
      </c>
    </row>
    <row r="1727" spans="14:14" x14ac:dyDescent="0.25">
      <c r="N1727" s="4" t="str">
        <f t="shared" si="123"/>
        <v/>
      </c>
    </row>
    <row r="1728" spans="14:14" x14ac:dyDescent="0.25">
      <c r="N1728" s="4" t="str">
        <f t="shared" si="123"/>
        <v/>
      </c>
    </row>
    <row r="1729" spans="14:14" x14ac:dyDescent="0.25">
      <c r="N1729" s="4" t="str">
        <f t="shared" si="123"/>
        <v/>
      </c>
    </row>
    <row r="1730" spans="14:14" x14ac:dyDescent="0.25">
      <c r="N1730" s="4" t="str">
        <f t="shared" si="123"/>
        <v/>
      </c>
    </row>
    <row r="1731" spans="14:14" x14ac:dyDescent="0.25">
      <c r="N1731" s="4" t="str">
        <f t="shared" si="123"/>
        <v/>
      </c>
    </row>
    <row r="1732" spans="14:14" x14ac:dyDescent="0.25">
      <c r="N1732" s="4" t="str">
        <f t="shared" ref="N1732:N1795" si="124">IFERROR( IF(J1732&lt;&gt;"",IF(K1732 &lt;&gt; "",IF(J1732 = K1732,"Same Number of Issues",IF(J1732 &lt; K1732,CONCATENATE("Issues reduced from ",K1732," to ",J1732),IF(J1732&gt;K1732,CONCATENATE("Issues increased from ",K1732," to ",J1732),""))),"New issue - needs to be checked"),""),"")</f>
        <v/>
      </c>
    </row>
    <row r="1733" spans="14:14" x14ac:dyDescent="0.25">
      <c r="N1733" s="4" t="str">
        <f t="shared" si="124"/>
        <v/>
      </c>
    </row>
    <row r="1734" spans="14:14" x14ac:dyDescent="0.25">
      <c r="N1734" s="4" t="str">
        <f t="shared" si="124"/>
        <v/>
      </c>
    </row>
    <row r="1735" spans="14:14" x14ac:dyDescent="0.25">
      <c r="N1735" s="4" t="str">
        <f t="shared" si="124"/>
        <v/>
      </c>
    </row>
    <row r="1736" spans="14:14" x14ac:dyDescent="0.25">
      <c r="N1736" s="4" t="str">
        <f t="shared" si="124"/>
        <v/>
      </c>
    </row>
    <row r="1737" spans="14:14" x14ac:dyDescent="0.25">
      <c r="N1737" s="4" t="str">
        <f t="shared" si="124"/>
        <v/>
      </c>
    </row>
    <row r="1738" spans="14:14" x14ac:dyDescent="0.25">
      <c r="N1738" s="4" t="str">
        <f t="shared" si="124"/>
        <v/>
      </c>
    </row>
    <row r="1739" spans="14:14" x14ac:dyDescent="0.25">
      <c r="N1739" s="4" t="str">
        <f t="shared" si="124"/>
        <v/>
      </c>
    </row>
    <row r="1740" spans="14:14" x14ac:dyDescent="0.25">
      <c r="N1740" s="4" t="str">
        <f t="shared" si="124"/>
        <v/>
      </c>
    </row>
    <row r="1741" spans="14:14" x14ac:dyDescent="0.25">
      <c r="N1741" s="4" t="str">
        <f t="shared" si="124"/>
        <v/>
      </c>
    </row>
    <row r="1742" spans="14:14" x14ac:dyDescent="0.25">
      <c r="N1742" s="4" t="str">
        <f t="shared" si="124"/>
        <v/>
      </c>
    </row>
    <row r="1743" spans="14:14" x14ac:dyDescent="0.25">
      <c r="N1743" s="4" t="str">
        <f t="shared" si="124"/>
        <v/>
      </c>
    </row>
    <row r="1744" spans="14:14" x14ac:dyDescent="0.25">
      <c r="N1744" s="4" t="str">
        <f t="shared" si="124"/>
        <v/>
      </c>
    </row>
    <row r="1745" spans="14:14" x14ac:dyDescent="0.25">
      <c r="N1745" s="4" t="str">
        <f t="shared" si="124"/>
        <v/>
      </c>
    </row>
    <row r="1746" spans="14:14" x14ac:dyDescent="0.25">
      <c r="N1746" s="4" t="str">
        <f t="shared" si="124"/>
        <v/>
      </c>
    </row>
    <row r="1747" spans="14:14" x14ac:dyDescent="0.25">
      <c r="N1747" s="4" t="str">
        <f t="shared" si="124"/>
        <v/>
      </c>
    </row>
    <row r="1748" spans="14:14" x14ac:dyDescent="0.25">
      <c r="N1748" s="4" t="str">
        <f t="shared" si="124"/>
        <v/>
      </c>
    </row>
    <row r="1749" spans="14:14" x14ac:dyDescent="0.25">
      <c r="N1749" s="4" t="str">
        <f t="shared" si="124"/>
        <v/>
      </c>
    </row>
    <row r="1750" spans="14:14" x14ac:dyDescent="0.25">
      <c r="N1750" s="4" t="str">
        <f t="shared" si="124"/>
        <v/>
      </c>
    </row>
    <row r="1751" spans="14:14" x14ac:dyDescent="0.25">
      <c r="N1751" s="4" t="str">
        <f t="shared" si="124"/>
        <v/>
      </c>
    </row>
    <row r="1752" spans="14:14" x14ac:dyDescent="0.25">
      <c r="N1752" s="4" t="str">
        <f t="shared" si="124"/>
        <v/>
      </c>
    </row>
    <row r="1753" spans="14:14" x14ac:dyDescent="0.25">
      <c r="N1753" s="4" t="str">
        <f t="shared" si="124"/>
        <v/>
      </c>
    </row>
    <row r="1754" spans="14:14" x14ac:dyDescent="0.25">
      <c r="N1754" s="4" t="str">
        <f t="shared" si="124"/>
        <v/>
      </c>
    </row>
    <row r="1755" spans="14:14" x14ac:dyDescent="0.25">
      <c r="N1755" s="4" t="str">
        <f t="shared" si="124"/>
        <v/>
      </c>
    </row>
    <row r="1756" spans="14:14" x14ac:dyDescent="0.25">
      <c r="N1756" s="4" t="str">
        <f t="shared" si="124"/>
        <v/>
      </c>
    </row>
    <row r="1757" spans="14:14" x14ac:dyDescent="0.25">
      <c r="N1757" s="4" t="str">
        <f t="shared" si="124"/>
        <v/>
      </c>
    </row>
    <row r="1758" spans="14:14" x14ac:dyDescent="0.25">
      <c r="N1758" s="4" t="str">
        <f t="shared" si="124"/>
        <v/>
      </c>
    </row>
    <row r="1759" spans="14:14" x14ac:dyDescent="0.25">
      <c r="N1759" s="4" t="str">
        <f t="shared" si="124"/>
        <v/>
      </c>
    </row>
    <row r="1760" spans="14:14" x14ac:dyDescent="0.25">
      <c r="N1760" s="4" t="str">
        <f t="shared" si="124"/>
        <v/>
      </c>
    </row>
    <row r="1761" spans="14:14" x14ac:dyDescent="0.25">
      <c r="N1761" s="4" t="str">
        <f t="shared" si="124"/>
        <v/>
      </c>
    </row>
    <row r="1762" spans="14:14" x14ac:dyDescent="0.25">
      <c r="N1762" s="4" t="str">
        <f t="shared" si="124"/>
        <v/>
      </c>
    </row>
    <row r="1763" spans="14:14" x14ac:dyDescent="0.25">
      <c r="N1763" s="4" t="str">
        <f t="shared" si="124"/>
        <v/>
      </c>
    </row>
    <row r="1764" spans="14:14" x14ac:dyDescent="0.25">
      <c r="N1764" s="4" t="str">
        <f t="shared" si="124"/>
        <v/>
      </c>
    </row>
    <row r="1765" spans="14:14" x14ac:dyDescent="0.25">
      <c r="N1765" s="4" t="str">
        <f t="shared" si="124"/>
        <v/>
      </c>
    </row>
    <row r="1766" spans="14:14" x14ac:dyDescent="0.25">
      <c r="N1766" s="4" t="str">
        <f t="shared" si="124"/>
        <v/>
      </c>
    </row>
    <row r="1767" spans="14:14" x14ac:dyDescent="0.25">
      <c r="N1767" s="4" t="str">
        <f t="shared" si="124"/>
        <v/>
      </c>
    </row>
    <row r="1768" spans="14:14" x14ac:dyDescent="0.25">
      <c r="N1768" s="4" t="str">
        <f t="shared" si="124"/>
        <v/>
      </c>
    </row>
    <row r="1769" spans="14:14" x14ac:dyDescent="0.25">
      <c r="N1769" s="4" t="str">
        <f t="shared" si="124"/>
        <v/>
      </c>
    </row>
    <row r="1770" spans="14:14" x14ac:dyDescent="0.25">
      <c r="N1770" s="4" t="str">
        <f t="shared" si="124"/>
        <v/>
      </c>
    </row>
    <row r="1771" spans="14:14" x14ac:dyDescent="0.25">
      <c r="N1771" s="4" t="str">
        <f t="shared" si="124"/>
        <v/>
      </c>
    </row>
    <row r="1772" spans="14:14" x14ac:dyDescent="0.25">
      <c r="N1772" s="4" t="str">
        <f t="shared" si="124"/>
        <v/>
      </c>
    </row>
    <row r="1773" spans="14:14" x14ac:dyDescent="0.25">
      <c r="N1773" s="4" t="str">
        <f t="shared" si="124"/>
        <v/>
      </c>
    </row>
    <row r="1774" spans="14:14" x14ac:dyDescent="0.25">
      <c r="N1774" s="4" t="str">
        <f t="shared" si="124"/>
        <v/>
      </c>
    </row>
    <row r="1775" spans="14:14" x14ac:dyDescent="0.25">
      <c r="N1775" s="4" t="str">
        <f t="shared" si="124"/>
        <v/>
      </c>
    </row>
    <row r="1776" spans="14:14" x14ac:dyDescent="0.25">
      <c r="N1776" s="4" t="str">
        <f t="shared" si="124"/>
        <v/>
      </c>
    </row>
    <row r="1777" spans="14:14" x14ac:dyDescent="0.25">
      <c r="N1777" s="4" t="str">
        <f t="shared" si="124"/>
        <v/>
      </c>
    </row>
    <row r="1778" spans="14:14" x14ac:dyDescent="0.25">
      <c r="N1778" s="4" t="str">
        <f t="shared" si="124"/>
        <v/>
      </c>
    </row>
    <row r="1779" spans="14:14" x14ac:dyDescent="0.25">
      <c r="N1779" s="4" t="str">
        <f t="shared" si="124"/>
        <v/>
      </c>
    </row>
    <row r="1780" spans="14:14" x14ac:dyDescent="0.25">
      <c r="N1780" s="4" t="str">
        <f t="shared" si="124"/>
        <v/>
      </c>
    </row>
    <row r="1781" spans="14:14" x14ac:dyDescent="0.25">
      <c r="N1781" s="4" t="str">
        <f t="shared" si="124"/>
        <v/>
      </c>
    </row>
    <row r="1782" spans="14:14" x14ac:dyDescent="0.25">
      <c r="N1782" s="4" t="str">
        <f t="shared" si="124"/>
        <v/>
      </c>
    </row>
    <row r="1783" spans="14:14" x14ac:dyDescent="0.25">
      <c r="N1783" s="4" t="str">
        <f t="shared" si="124"/>
        <v/>
      </c>
    </row>
    <row r="1784" spans="14:14" x14ac:dyDescent="0.25">
      <c r="N1784" s="4" t="str">
        <f t="shared" si="124"/>
        <v/>
      </c>
    </row>
    <row r="1785" spans="14:14" x14ac:dyDescent="0.25">
      <c r="N1785" s="4" t="str">
        <f t="shared" si="124"/>
        <v/>
      </c>
    </row>
    <row r="1786" spans="14:14" x14ac:dyDescent="0.25">
      <c r="N1786" s="4" t="str">
        <f t="shared" si="124"/>
        <v/>
      </c>
    </row>
    <row r="1787" spans="14:14" x14ac:dyDescent="0.25">
      <c r="N1787" s="4" t="str">
        <f t="shared" si="124"/>
        <v/>
      </c>
    </row>
    <row r="1788" spans="14:14" x14ac:dyDescent="0.25">
      <c r="N1788" s="4" t="str">
        <f t="shared" si="124"/>
        <v/>
      </c>
    </row>
    <row r="1789" spans="14:14" x14ac:dyDescent="0.25">
      <c r="N1789" s="4" t="str">
        <f t="shared" si="124"/>
        <v/>
      </c>
    </row>
    <row r="1790" spans="14:14" x14ac:dyDescent="0.25">
      <c r="N1790" s="4" t="str">
        <f t="shared" si="124"/>
        <v/>
      </c>
    </row>
    <row r="1791" spans="14:14" x14ac:dyDescent="0.25">
      <c r="N1791" s="4" t="str">
        <f t="shared" si="124"/>
        <v/>
      </c>
    </row>
    <row r="1792" spans="14:14" x14ac:dyDescent="0.25">
      <c r="N1792" s="4" t="str">
        <f t="shared" si="124"/>
        <v/>
      </c>
    </row>
    <row r="1793" spans="14:14" x14ac:dyDescent="0.25">
      <c r="N1793" s="4" t="str">
        <f t="shared" si="124"/>
        <v/>
      </c>
    </row>
    <row r="1794" spans="14:14" x14ac:dyDescent="0.25">
      <c r="N1794" s="4" t="str">
        <f t="shared" si="124"/>
        <v/>
      </c>
    </row>
    <row r="1795" spans="14:14" x14ac:dyDescent="0.25">
      <c r="N1795" s="4" t="str">
        <f t="shared" si="124"/>
        <v/>
      </c>
    </row>
    <row r="1796" spans="14:14" x14ac:dyDescent="0.25">
      <c r="N1796" s="4" t="str">
        <f t="shared" ref="N1796:N1859" si="125">IFERROR( IF(J1796&lt;&gt;"",IF(K1796 &lt;&gt; "",IF(J1796 = K1796,"Same Number of Issues",IF(J1796 &lt; K1796,CONCATENATE("Issues reduced from ",K1796," to ",J1796),IF(J1796&gt;K1796,CONCATENATE("Issues increased from ",K1796," to ",J1796),""))),"New issue - needs to be checked"),""),"")</f>
        <v/>
      </c>
    </row>
    <row r="1797" spans="14:14" x14ac:dyDescent="0.25">
      <c r="N1797" s="4" t="str">
        <f t="shared" si="125"/>
        <v/>
      </c>
    </row>
    <row r="1798" spans="14:14" x14ac:dyDescent="0.25">
      <c r="N1798" s="4" t="str">
        <f t="shared" si="125"/>
        <v/>
      </c>
    </row>
    <row r="1799" spans="14:14" x14ac:dyDescent="0.25">
      <c r="N1799" s="4" t="str">
        <f t="shared" si="125"/>
        <v/>
      </c>
    </row>
    <row r="1800" spans="14:14" x14ac:dyDescent="0.25">
      <c r="N1800" s="4" t="str">
        <f t="shared" si="125"/>
        <v/>
      </c>
    </row>
    <row r="1801" spans="14:14" x14ac:dyDescent="0.25">
      <c r="N1801" s="4" t="str">
        <f t="shared" si="125"/>
        <v/>
      </c>
    </row>
    <row r="1802" spans="14:14" x14ac:dyDescent="0.25">
      <c r="N1802" s="4" t="str">
        <f t="shared" si="125"/>
        <v/>
      </c>
    </row>
    <row r="1803" spans="14:14" x14ac:dyDescent="0.25">
      <c r="N1803" s="4" t="str">
        <f t="shared" si="125"/>
        <v/>
      </c>
    </row>
    <row r="1804" spans="14:14" x14ac:dyDescent="0.25">
      <c r="N1804" s="4" t="str">
        <f t="shared" si="125"/>
        <v/>
      </c>
    </row>
    <row r="1805" spans="14:14" x14ac:dyDescent="0.25">
      <c r="N1805" s="4" t="str">
        <f t="shared" si="125"/>
        <v/>
      </c>
    </row>
    <row r="1806" spans="14:14" x14ac:dyDescent="0.25">
      <c r="N1806" s="4" t="str">
        <f t="shared" si="125"/>
        <v/>
      </c>
    </row>
    <row r="1807" spans="14:14" x14ac:dyDescent="0.25">
      <c r="N1807" s="4" t="str">
        <f t="shared" si="125"/>
        <v/>
      </c>
    </row>
    <row r="1808" spans="14:14" x14ac:dyDescent="0.25">
      <c r="N1808" s="4" t="str">
        <f t="shared" si="125"/>
        <v/>
      </c>
    </row>
    <row r="1809" spans="14:14" x14ac:dyDescent="0.25">
      <c r="N1809" s="4" t="str">
        <f t="shared" si="125"/>
        <v/>
      </c>
    </row>
    <row r="1810" spans="14:14" x14ac:dyDescent="0.25">
      <c r="N1810" s="4" t="str">
        <f t="shared" si="125"/>
        <v/>
      </c>
    </row>
    <row r="1811" spans="14:14" x14ac:dyDescent="0.25">
      <c r="N1811" s="4" t="str">
        <f t="shared" si="125"/>
        <v/>
      </c>
    </row>
    <row r="1812" spans="14:14" x14ac:dyDescent="0.25">
      <c r="N1812" s="4" t="str">
        <f t="shared" si="125"/>
        <v/>
      </c>
    </row>
    <row r="1813" spans="14:14" x14ac:dyDescent="0.25">
      <c r="N1813" s="4" t="str">
        <f t="shared" si="125"/>
        <v/>
      </c>
    </row>
    <row r="1814" spans="14:14" x14ac:dyDescent="0.25">
      <c r="N1814" s="4" t="str">
        <f t="shared" si="125"/>
        <v/>
      </c>
    </row>
    <row r="1815" spans="14:14" x14ac:dyDescent="0.25">
      <c r="N1815" s="4" t="str">
        <f t="shared" si="125"/>
        <v/>
      </c>
    </row>
    <row r="1816" spans="14:14" x14ac:dyDescent="0.25">
      <c r="N1816" s="4" t="str">
        <f t="shared" si="125"/>
        <v/>
      </c>
    </row>
    <row r="1817" spans="14:14" x14ac:dyDescent="0.25">
      <c r="N1817" s="4" t="str">
        <f t="shared" si="125"/>
        <v/>
      </c>
    </row>
    <row r="1818" spans="14:14" x14ac:dyDescent="0.25">
      <c r="N1818" s="4" t="str">
        <f t="shared" si="125"/>
        <v/>
      </c>
    </row>
    <row r="1819" spans="14:14" x14ac:dyDescent="0.25">
      <c r="N1819" s="4" t="str">
        <f t="shared" si="125"/>
        <v/>
      </c>
    </row>
    <row r="1820" spans="14:14" x14ac:dyDescent="0.25">
      <c r="N1820" s="4" t="str">
        <f t="shared" si="125"/>
        <v/>
      </c>
    </row>
    <row r="1821" spans="14:14" x14ac:dyDescent="0.25">
      <c r="N1821" s="4" t="str">
        <f t="shared" si="125"/>
        <v/>
      </c>
    </row>
    <row r="1822" spans="14:14" x14ac:dyDescent="0.25">
      <c r="N1822" s="4" t="str">
        <f t="shared" si="125"/>
        <v/>
      </c>
    </row>
    <row r="1823" spans="14:14" x14ac:dyDescent="0.25">
      <c r="N1823" s="4" t="str">
        <f t="shared" si="125"/>
        <v/>
      </c>
    </row>
    <row r="1824" spans="14:14" x14ac:dyDescent="0.25">
      <c r="N1824" s="4" t="str">
        <f t="shared" si="125"/>
        <v/>
      </c>
    </row>
    <row r="1825" spans="14:14" x14ac:dyDescent="0.25">
      <c r="N1825" s="4" t="str">
        <f t="shared" si="125"/>
        <v/>
      </c>
    </row>
    <row r="1826" spans="14:14" x14ac:dyDescent="0.25">
      <c r="N1826" s="4" t="str">
        <f t="shared" si="125"/>
        <v/>
      </c>
    </row>
    <row r="1827" spans="14:14" x14ac:dyDescent="0.25">
      <c r="N1827" s="4" t="str">
        <f t="shared" si="125"/>
        <v/>
      </c>
    </row>
    <row r="1828" spans="14:14" x14ac:dyDescent="0.25">
      <c r="N1828" s="4" t="str">
        <f t="shared" si="125"/>
        <v/>
      </c>
    </row>
    <row r="1829" spans="14:14" x14ac:dyDescent="0.25">
      <c r="N1829" s="4" t="str">
        <f t="shared" si="125"/>
        <v/>
      </c>
    </row>
    <row r="1830" spans="14:14" x14ac:dyDescent="0.25">
      <c r="N1830" s="4" t="str">
        <f t="shared" si="125"/>
        <v/>
      </c>
    </row>
    <row r="1831" spans="14:14" x14ac:dyDescent="0.25">
      <c r="N1831" s="4" t="str">
        <f t="shared" si="125"/>
        <v/>
      </c>
    </row>
    <row r="1832" spans="14:14" x14ac:dyDescent="0.25">
      <c r="N1832" s="4" t="str">
        <f t="shared" si="125"/>
        <v/>
      </c>
    </row>
    <row r="1833" spans="14:14" x14ac:dyDescent="0.25">
      <c r="N1833" s="4" t="str">
        <f t="shared" si="125"/>
        <v/>
      </c>
    </row>
    <row r="1834" spans="14:14" x14ac:dyDescent="0.25">
      <c r="N1834" s="4" t="str">
        <f t="shared" si="125"/>
        <v/>
      </c>
    </row>
    <row r="1835" spans="14:14" x14ac:dyDescent="0.25">
      <c r="N1835" s="4" t="str">
        <f t="shared" si="125"/>
        <v/>
      </c>
    </row>
    <row r="1836" spans="14:14" x14ac:dyDescent="0.25">
      <c r="N1836" s="4" t="str">
        <f t="shared" si="125"/>
        <v/>
      </c>
    </row>
    <row r="1837" spans="14:14" x14ac:dyDescent="0.25">
      <c r="N1837" s="4" t="str">
        <f t="shared" si="125"/>
        <v/>
      </c>
    </row>
    <row r="1838" spans="14:14" x14ac:dyDescent="0.25">
      <c r="N1838" s="4" t="str">
        <f t="shared" si="125"/>
        <v/>
      </c>
    </row>
    <row r="1839" spans="14:14" x14ac:dyDescent="0.25">
      <c r="N1839" s="4" t="str">
        <f t="shared" si="125"/>
        <v/>
      </c>
    </row>
    <row r="1840" spans="14:14" x14ac:dyDescent="0.25">
      <c r="N1840" s="4" t="str">
        <f t="shared" si="125"/>
        <v/>
      </c>
    </row>
    <row r="1841" spans="14:14" x14ac:dyDescent="0.25">
      <c r="N1841" s="4" t="str">
        <f t="shared" si="125"/>
        <v/>
      </c>
    </row>
    <row r="1842" spans="14:14" x14ac:dyDescent="0.25">
      <c r="N1842" s="4" t="str">
        <f t="shared" si="125"/>
        <v/>
      </c>
    </row>
    <row r="1843" spans="14:14" x14ac:dyDescent="0.25">
      <c r="N1843" s="4" t="str">
        <f t="shared" si="125"/>
        <v/>
      </c>
    </row>
    <row r="1844" spans="14:14" x14ac:dyDescent="0.25">
      <c r="N1844" s="4" t="str">
        <f t="shared" si="125"/>
        <v/>
      </c>
    </row>
    <row r="1845" spans="14:14" x14ac:dyDescent="0.25">
      <c r="N1845" s="4" t="str">
        <f t="shared" si="125"/>
        <v/>
      </c>
    </row>
    <row r="1846" spans="14:14" x14ac:dyDescent="0.25">
      <c r="N1846" s="4" t="str">
        <f t="shared" si="125"/>
        <v/>
      </c>
    </row>
    <row r="1847" spans="14:14" x14ac:dyDescent="0.25">
      <c r="N1847" s="4" t="str">
        <f t="shared" si="125"/>
        <v/>
      </c>
    </row>
    <row r="1848" spans="14:14" x14ac:dyDescent="0.25">
      <c r="N1848" s="4" t="str">
        <f t="shared" si="125"/>
        <v/>
      </c>
    </row>
    <row r="1849" spans="14:14" x14ac:dyDescent="0.25">
      <c r="N1849" s="4" t="str">
        <f t="shared" si="125"/>
        <v/>
      </c>
    </row>
    <row r="1850" spans="14:14" x14ac:dyDescent="0.25">
      <c r="N1850" s="4" t="str">
        <f t="shared" si="125"/>
        <v/>
      </c>
    </row>
    <row r="1851" spans="14:14" x14ac:dyDescent="0.25">
      <c r="N1851" s="4" t="str">
        <f t="shared" si="125"/>
        <v/>
      </c>
    </row>
    <row r="1852" spans="14:14" x14ac:dyDescent="0.25">
      <c r="N1852" s="4" t="str">
        <f t="shared" si="125"/>
        <v/>
      </c>
    </row>
    <row r="1853" spans="14:14" x14ac:dyDescent="0.25">
      <c r="N1853" s="4" t="str">
        <f t="shared" si="125"/>
        <v/>
      </c>
    </row>
    <row r="1854" spans="14:14" x14ac:dyDescent="0.25">
      <c r="N1854" s="4" t="str">
        <f t="shared" si="125"/>
        <v/>
      </c>
    </row>
    <row r="1855" spans="14:14" x14ac:dyDescent="0.25">
      <c r="N1855" s="4" t="str">
        <f t="shared" si="125"/>
        <v/>
      </c>
    </row>
    <row r="1856" spans="14:14" x14ac:dyDescent="0.25">
      <c r="N1856" s="4" t="str">
        <f t="shared" si="125"/>
        <v/>
      </c>
    </row>
    <row r="1857" spans="14:14" x14ac:dyDescent="0.25">
      <c r="N1857" s="4" t="str">
        <f t="shared" si="125"/>
        <v/>
      </c>
    </row>
    <row r="1858" spans="14:14" x14ac:dyDescent="0.25">
      <c r="N1858" s="4" t="str">
        <f t="shared" si="125"/>
        <v/>
      </c>
    </row>
    <row r="1859" spans="14:14" x14ac:dyDescent="0.25">
      <c r="N1859" s="4" t="str">
        <f t="shared" si="125"/>
        <v/>
      </c>
    </row>
    <row r="1860" spans="14:14" x14ac:dyDescent="0.25">
      <c r="N1860" s="4" t="str">
        <f t="shared" ref="N1860:N1901" si="126">IFERROR( IF(J1860&lt;&gt;"",IF(K1860 &lt;&gt; "",IF(J1860 = K1860,"Same Number of Issues",IF(J1860 &lt; K1860,CONCATENATE("Issues reduced from ",K1860," to ",J1860),IF(J1860&gt;K1860,CONCATENATE("Issues increased from ",K1860," to ",J1860),""))),"New issue - needs to be checked"),""),"")</f>
        <v/>
      </c>
    </row>
    <row r="1861" spans="14:14" x14ac:dyDescent="0.25">
      <c r="N1861" s="4" t="str">
        <f t="shared" si="126"/>
        <v/>
      </c>
    </row>
    <row r="1862" spans="14:14" x14ac:dyDescent="0.25">
      <c r="N1862" s="4" t="str">
        <f t="shared" si="126"/>
        <v/>
      </c>
    </row>
    <row r="1863" spans="14:14" x14ac:dyDescent="0.25">
      <c r="N1863" s="4" t="str">
        <f t="shared" si="126"/>
        <v/>
      </c>
    </row>
    <row r="1864" spans="14:14" x14ac:dyDescent="0.25">
      <c r="N1864" s="4" t="str">
        <f t="shared" si="126"/>
        <v/>
      </c>
    </row>
    <row r="1865" spans="14:14" x14ac:dyDescent="0.25">
      <c r="N1865" s="4" t="str">
        <f t="shared" si="126"/>
        <v/>
      </c>
    </row>
    <row r="1866" spans="14:14" x14ac:dyDescent="0.25">
      <c r="N1866" s="4" t="str">
        <f t="shared" si="126"/>
        <v/>
      </c>
    </row>
    <row r="1867" spans="14:14" x14ac:dyDescent="0.25">
      <c r="N1867" s="4" t="str">
        <f t="shared" si="126"/>
        <v/>
      </c>
    </row>
    <row r="1868" spans="14:14" x14ac:dyDescent="0.25">
      <c r="N1868" s="4" t="str">
        <f t="shared" si="126"/>
        <v/>
      </c>
    </row>
    <row r="1869" spans="14:14" x14ac:dyDescent="0.25">
      <c r="N1869" s="4" t="str">
        <f t="shared" si="126"/>
        <v/>
      </c>
    </row>
    <row r="1870" spans="14:14" x14ac:dyDescent="0.25">
      <c r="N1870" s="4" t="str">
        <f t="shared" si="126"/>
        <v/>
      </c>
    </row>
    <row r="1871" spans="14:14" x14ac:dyDescent="0.25">
      <c r="N1871" s="4" t="str">
        <f t="shared" si="126"/>
        <v/>
      </c>
    </row>
    <row r="1872" spans="14:14" x14ac:dyDescent="0.25">
      <c r="N1872" s="4" t="str">
        <f t="shared" si="126"/>
        <v/>
      </c>
    </row>
    <row r="1873" spans="14:14" x14ac:dyDescent="0.25">
      <c r="N1873" s="4" t="str">
        <f t="shared" si="126"/>
        <v/>
      </c>
    </row>
    <row r="1874" spans="14:14" x14ac:dyDescent="0.25">
      <c r="N1874" s="4" t="str">
        <f t="shared" si="126"/>
        <v/>
      </c>
    </row>
    <row r="1875" spans="14:14" x14ac:dyDescent="0.25">
      <c r="N1875" s="4" t="str">
        <f t="shared" si="126"/>
        <v/>
      </c>
    </row>
    <row r="1876" spans="14:14" x14ac:dyDescent="0.25">
      <c r="N1876" s="4" t="str">
        <f t="shared" si="126"/>
        <v/>
      </c>
    </row>
    <row r="1877" spans="14:14" x14ac:dyDescent="0.25">
      <c r="N1877" s="4" t="str">
        <f t="shared" si="126"/>
        <v/>
      </c>
    </row>
    <row r="1878" spans="14:14" x14ac:dyDescent="0.25">
      <c r="N1878" s="4" t="str">
        <f t="shared" si="126"/>
        <v/>
      </c>
    </row>
    <row r="1879" spans="14:14" x14ac:dyDescent="0.25">
      <c r="N1879" s="4" t="str">
        <f t="shared" si="126"/>
        <v/>
      </c>
    </row>
    <row r="1880" spans="14:14" x14ac:dyDescent="0.25">
      <c r="N1880" s="4" t="str">
        <f t="shared" si="126"/>
        <v/>
      </c>
    </row>
    <row r="1881" spans="14:14" x14ac:dyDescent="0.25">
      <c r="N1881" s="4" t="str">
        <f t="shared" si="126"/>
        <v/>
      </c>
    </row>
    <row r="1882" spans="14:14" x14ac:dyDescent="0.25">
      <c r="N1882" s="4" t="str">
        <f t="shared" si="126"/>
        <v/>
      </c>
    </row>
    <row r="1883" spans="14:14" x14ac:dyDescent="0.25">
      <c r="N1883" s="4" t="str">
        <f t="shared" si="126"/>
        <v/>
      </c>
    </row>
    <row r="1884" spans="14:14" x14ac:dyDescent="0.25">
      <c r="N1884" s="4" t="str">
        <f t="shared" si="126"/>
        <v/>
      </c>
    </row>
    <row r="1885" spans="14:14" x14ac:dyDescent="0.25">
      <c r="N1885" s="4" t="str">
        <f t="shared" si="126"/>
        <v/>
      </c>
    </row>
    <row r="1886" spans="14:14" x14ac:dyDescent="0.25">
      <c r="N1886" s="4" t="str">
        <f t="shared" si="126"/>
        <v/>
      </c>
    </row>
    <row r="1887" spans="14:14" x14ac:dyDescent="0.25">
      <c r="N1887" s="4" t="str">
        <f t="shared" si="126"/>
        <v/>
      </c>
    </row>
    <row r="1888" spans="14:14" x14ac:dyDescent="0.25">
      <c r="N1888" s="4" t="str">
        <f t="shared" si="126"/>
        <v/>
      </c>
    </row>
    <row r="1889" spans="14:14" x14ac:dyDescent="0.25">
      <c r="N1889" s="4" t="str">
        <f t="shared" si="126"/>
        <v/>
      </c>
    </row>
    <row r="1890" spans="14:14" x14ac:dyDescent="0.25">
      <c r="N1890" s="4" t="str">
        <f t="shared" si="126"/>
        <v/>
      </c>
    </row>
    <row r="1891" spans="14:14" x14ac:dyDescent="0.25">
      <c r="N1891" s="4" t="str">
        <f t="shared" si="126"/>
        <v/>
      </c>
    </row>
    <row r="1892" spans="14:14" x14ac:dyDescent="0.25">
      <c r="N1892" s="4" t="str">
        <f t="shared" si="126"/>
        <v/>
      </c>
    </row>
    <row r="1893" spans="14:14" x14ac:dyDescent="0.25">
      <c r="N1893" s="4" t="str">
        <f t="shared" si="126"/>
        <v/>
      </c>
    </row>
    <row r="1894" spans="14:14" x14ac:dyDescent="0.25">
      <c r="N1894" s="4" t="str">
        <f t="shared" si="126"/>
        <v/>
      </c>
    </row>
    <row r="1895" spans="14:14" x14ac:dyDescent="0.25">
      <c r="N1895" s="4" t="str">
        <f t="shared" si="126"/>
        <v/>
      </c>
    </row>
    <row r="1896" spans="14:14" x14ac:dyDescent="0.25">
      <c r="N1896" s="4" t="str">
        <f t="shared" si="126"/>
        <v/>
      </c>
    </row>
    <row r="1897" spans="14:14" x14ac:dyDescent="0.25">
      <c r="N1897" s="4" t="str">
        <f t="shared" si="126"/>
        <v/>
      </c>
    </row>
    <row r="1898" spans="14:14" x14ac:dyDescent="0.25">
      <c r="N1898" s="4" t="str">
        <f t="shared" si="126"/>
        <v/>
      </c>
    </row>
    <row r="1899" spans="14:14" x14ac:dyDescent="0.25">
      <c r="N1899" s="4" t="str">
        <f t="shared" si="126"/>
        <v/>
      </c>
    </row>
    <row r="1900" spans="14:14" x14ac:dyDescent="0.25">
      <c r="N1900" s="4" t="str">
        <f t="shared" si="126"/>
        <v/>
      </c>
    </row>
    <row r="1901" spans="14:14" x14ac:dyDescent="0.25">
      <c r="N1901" s="4" t="str">
        <f t="shared" si="126"/>
        <v/>
      </c>
    </row>
  </sheetData>
  <autoFilter ref="A1:K1357" xr:uid="{6A17402B-62BC-4C4E-B86C-6716FC51F994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Sheet1</vt:lpstr>
      <vt:lpstr>Old Report</vt:lpstr>
      <vt:lpstr>New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Manivannan Mathialagan</dc:creator>
  <cp:lastModifiedBy>Manivannan Mathialagan</cp:lastModifiedBy>
  <dcterms:created xsi:type="dcterms:W3CDTF">2022-09-07T10:51:32Z</dcterms:created>
  <dcterms:modified xsi:type="dcterms:W3CDTF">2023-07-25T08:36:10Z</dcterms:modified>
</cp:coreProperties>
</file>